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RM " sheetId="1" r:id="rId5"/>
    <sheet state="visible" name="Lening" sheetId="2" r:id="rId6"/>
    <sheet state="visible" name="Zakelijk" sheetId="3" r:id="rId7"/>
    <sheet state="visible" name="Particulier" sheetId="4" r:id="rId8"/>
    <sheet state="visible" name="Huurkoop" sheetId="5" r:id="rId9"/>
    <sheet state="visible" name="Huur" sheetId="6" r:id="rId10"/>
    <sheet state="visible" name="Huurcontract" sheetId="7" r:id="rId11"/>
  </sheets>
  <definedNames>
    <definedName name="Padresverstrekker">Lening!$L$7:$M$7</definedName>
    <definedName name="GeleendBedrag">Lening!$D$3</definedName>
    <definedName name="Adresontvanger">Lening!$P$3</definedName>
    <definedName name="AccountNaam">'CRM '!$A$2:$A$547</definedName>
    <definedName name="Pverstrekker">Lening!$L$6:$M$6</definedName>
    <definedName name="Naamverstrekker">Lening!$L$2:$M$2</definedName>
    <definedName name="BegindatumLening">Lening!$D$6</definedName>
    <definedName name="Naamontvanger">Lening!$P$2</definedName>
    <definedName name="Iban">Lening!$L$4:$M$4</definedName>
    <definedName name="CRM">'CRM '!$A$2:$AO$547</definedName>
    <definedName name="Kenteken">Lening!$M$11</definedName>
    <definedName name="EersteBetaling">Lening!$C$10</definedName>
    <definedName name="Padresontvanger">Lening!$P$7</definedName>
    <definedName name="Adresverstrekker">Lening!$L$3:$M$3</definedName>
    <definedName name="Type">Lening!$M$14</definedName>
    <definedName name="Merk">Lening!$M$13</definedName>
    <definedName name="Verstrekker">Lening!$L$1</definedName>
    <definedName name="Veldnamenrij">Lening!$9:$9</definedName>
    <definedName name="TotaleRente">Lening!$H$5</definedName>
    <definedName name="Pontvanger">Lening!$P$6</definedName>
    <definedName name="Leningjaren">Lening!$D$5</definedName>
    <definedName name="TotaleLeningkosten">Lening!$H$6</definedName>
    <definedName name="PIban">Lening!$L$9:$M$9</definedName>
    <definedName name="VoertuigID">Lening!$M$12</definedName>
    <definedName name="Ontvanger">Lening!$P$1</definedName>
    <definedName name="AantalBetalingen">Lening!$H$4</definedName>
    <definedName name="Aflossing">Lening!$H$3</definedName>
    <definedName name="Rentevoet">Lening!$D$4</definedName>
    <definedName hidden="1" localSheetId="1" name="_xlnm._FilterDatabase">Lening!$B$9:$H$354</definedName>
  </definedNames>
  <calcPr/>
</workbook>
</file>

<file path=xl/sharedStrings.xml><?xml version="1.0" encoding="utf-8"?>
<sst xmlns="http://schemas.openxmlformats.org/spreadsheetml/2006/main" count="188" uniqueCount="131">
  <si>
    <t>AFLOSSINGSSCHEMA Lening Denis Beheer B.V. naar de heer N. Nenkov</t>
  </si>
  <si>
    <t>Lening Verstrekker</t>
  </si>
  <si>
    <t>Denis Express B.V.</t>
  </si>
  <si>
    <t>Lening Ontvanger:</t>
  </si>
  <si>
    <t>Denis Beheer B.V.</t>
  </si>
  <si>
    <t>LENINGWAARDEN</t>
  </si>
  <si>
    <t>LENINGOVERZICHT</t>
  </si>
  <si>
    <t>t.a.v.</t>
  </si>
  <si>
    <t>Geleend bedrag</t>
  </si>
  <si>
    <t>Maandelijkse betaling</t>
  </si>
  <si>
    <t>Adres:</t>
  </si>
  <si>
    <t>Jaarlijks rentepercentage</t>
  </si>
  <si>
    <t>Aantal betalingen</t>
  </si>
  <si>
    <t>IBAN:</t>
  </si>
  <si>
    <t>Looptijd in jaren</t>
  </si>
  <si>
    <t>Totale rente</t>
  </si>
  <si>
    <t>Particulier verstrekker:</t>
  </si>
  <si>
    <t>Particulier ontvanger:</t>
  </si>
  <si>
    <t>Begindatum van de lening</t>
  </si>
  <si>
    <t>Totale leningkosten</t>
  </si>
  <si>
    <t>_</t>
  </si>
  <si>
    <t>Verzamelboete</t>
  </si>
  <si>
    <t>BET.NR.</t>
  </si>
  <si>
    <t>BETALINGSDATUM</t>
  </si>
  <si>
    <t>BEGINSALDO</t>
  </si>
  <si>
    <t>BETALING</t>
  </si>
  <si>
    <t>HOOFDSOM</t>
  </si>
  <si>
    <t>RENTE</t>
  </si>
  <si>
    <t>EINDSALDO</t>
  </si>
  <si>
    <t>NL02INGB0000000000</t>
  </si>
  <si>
    <t>Kenteken</t>
  </si>
  <si>
    <t>78BKK1</t>
  </si>
  <si>
    <t>voertuigidentificatienummer</t>
  </si>
  <si>
    <t>WDB96340310235408</t>
  </si>
  <si>
    <t>Merk</t>
  </si>
  <si>
    <t>Mercedes Benz</t>
  </si>
  <si>
    <t>Type</t>
  </si>
  <si>
    <t>Voertuigcategorie N3/BC, Type 963-4-A</t>
  </si>
  <si>
    <t>Prijs</t>
  </si>
  <si>
    <t>Overeenkomst van geldlening</t>
  </si>
  <si>
    <t>De ondertekende</t>
  </si>
  <si>
    <t>en</t>
  </si>
  <si>
    <t>zijn het volgende overeengekomen:</t>
  </si>
  <si>
    <t>Artikel 1</t>
  </si>
  <si>
    <t>Artikel 2</t>
  </si>
  <si>
    <t>4.       De hoofdsom of het restant daarvan is met rente en kosten dadelijk opeisbaar zonder voorafgaande opzegging als:</t>
  </si>
  <si>
    <t>- de schuldenaar de rente niet uiterlijk op de maandelijkse vervaldatum betaalt;</t>
  </si>
  <si>
    <t>- de schuldenaar andere verplichtingen tegenover de schuldeiser niet nakomt;</t>
  </si>
  <si>
    <t>- de schuldenaar overlijdt of failliet verklaard wordt;</t>
  </si>
  <si>
    <t>- de schuldenaar surseance van betaling aanvraagt;</t>
  </si>
  <si>
    <t>- zaken van de schuldenaar geheel of gedeeltelijk in beslag worden genomen.</t>
  </si>
  <si>
    <t>5.       De schuldenaar boedelafstand doet. De schuldenaar is in gebreke indien de termijn verloopt er is geen andere akte van in verzuimstelling nodig.</t>
  </si>
  <si>
    <t>7.      Alle kosten die de schuldeiser maakt om zijn rechten uit te oefenen of te behouden en alle verdere kosten die voortkomen uit deze geldlening, zijn voor rekening van de schuldenaar.</t>
  </si>
  <si>
    <t>Ondertekening:</t>
  </si>
  <si>
    <t>OVEREENKOMST VAN HUURKOOP</t>
  </si>
  <si>
    <t>DE ONDERGETEKENDEN:</t>
  </si>
  <si>
    <t>De besloten vennootschap</t>
  </si>
  <si>
    <t>Gevestigd en kantoorhoudende te</t>
  </si>
  <si>
    <t>Wettig vertegenwoordigd door</t>
  </si>
  <si>
    <r>
      <rPr>
        <rFont val="Calibri, sans-serif"/>
        <color rgb="FF1C4587"/>
        <sz val="9.0"/>
      </rPr>
      <t xml:space="preserve">verder te noemen </t>
    </r>
    <r>
      <rPr>
        <rFont val="Calibri, sans-serif"/>
        <b/>
        <color rgb="FF1C4587"/>
        <sz val="9.0"/>
      </rPr>
      <t>verkoper</t>
    </r>
  </si>
  <si>
    <t>Zelfstandige onderneming</t>
  </si>
  <si>
    <r>
      <rPr>
        <rFont val="Calibri, sans-serif"/>
        <color rgb="FF1C4587"/>
        <sz val="9.0"/>
      </rPr>
      <t xml:space="preserve">verder te noemen </t>
    </r>
    <r>
      <rPr>
        <rFont val="Calibri, sans-serif"/>
        <b/>
        <color rgb="FF1C4587"/>
        <sz val="9.0"/>
      </rPr>
      <t>koper</t>
    </r>
  </si>
  <si>
    <t>VERKLAREN MET ELKANDER AAN TE GAAN:</t>
  </si>
  <si>
    <t>De navolgende huurkoopovereenkomst, waarbij de verkoper in huurkoop verklaart te verkopen aan de koper, die in huurkoop verklaart te kopen:</t>
  </si>
  <si>
    <t>Artikel 1 – Overdracht eigendom</t>
  </si>
  <si>
    <t>De voormelde trekker is op heden in goede staat en zonder enige beschadiging aan de koper in diens feitelijke macht en houderschap overgedragen, hetwelk deze verklaart te erkennen. De eigendom van voormelde zaak/zaken gaat over op de huurkoper onder de opschortende voorwaarde van algehele betaling van al hetgeen de huurkoper uit hoofde van deze huurkoopovereenkomst verschuldigd is.</t>
  </si>
  <si>
    <t>Artikel 2 - Termijnbetaling</t>
  </si>
  <si>
    <t>3. De verkoper is gerechtigd de door de koper maandelijks te betalen termijnen in mindering te brengen op eventuele vorderingen, welke zij heeft op de koper.</t>
  </si>
  <si>
    <t>Artikel 3 - Betaling</t>
  </si>
  <si>
    <t>1. Alle betalingen, ingevolge deze overeenkomst door de koper te doen, zullen moeten geschieden aan en ten kantore van de verkoper of de door deze aan te wijzen persoon, zonder enige korting of schuldvergelijking.</t>
  </si>
  <si>
    <t>2. Bij niet-voldoening van enige termijn overeenkomstig het hiervoor bepaalde, zal de koper een boete verbeuren van € 500,- voor elke ingegane week, dat hij langer dan een week na de bij de aan hem door de verkoper uit te brengen ingebrekestelling bepaalde dag nalatig blijft om zijn verplichting na te komen, tenzij de verkoper op grond van die niet-betaling gebruik maakt van het recht om de trekker overeenkomstig het in artikel 8 bepaalde terug te nemen.</t>
  </si>
  <si>
    <t>Artikel 4 – Risico</t>
  </si>
  <si>
    <t>De trekker is van heden af in alle opzichten geheel voor rekening en risico van de koper. Deze zal, niettegenstaande eventuele waardevermindering, beschadiging of verlies, door welke oorzaak ook, verplicht zijn tot nakoming van alle voor hem uit deze overeenkomst en de wet voortvloeiende verplichtingen. De verkoper zal tot generlei vrijwaring gehouden zijn.</t>
  </si>
  <si>
    <t>Artikel 5 – Huisvader</t>
  </si>
  <si>
    <t>Zolang de koper niet de gehele huurkoopsom en al hetgeen hij te dezer zake verschuldigd is of wordt zal hebben voldaan, zal hij de trekker niet aan derden in eigendom overdragen en zal hij gehouden zijn daarvoor als een goed huisvader te zorgen.</t>
  </si>
  <si>
    <t>Artikel 6 – Verplichtingen</t>
  </si>
  <si>
    <t>1. De koper is verplicht de trekker behoorlijk te onderhouden; alle onderhouds- en reparatie- en verzekeringskosten komen voor zijn rekening.</t>
  </si>
  <si>
    <t>2. De koper is desgevraagd verplicht de polis en de premiekwitanties m.b.t. de verzekering aan de verkoper te tonen en een eventuele vordering op de verzekeraar terzake van een uitkering tot zekerheid aan de verkoper te cederen.</t>
  </si>
  <si>
    <t>Artikel 7 – Eigendom</t>
  </si>
  <si>
    <t>Zodra de koper zal hebben betaald al datgene, wat door hem ingevolge deze overeenkomst verschuldigd is of zal worden, zal hij de eigendom van de trekker verkrijgen, zonder dat daartoe enige verklaring van de zijde van de verkoper of enige levering op andere wijze nodig zal zijn.</t>
  </si>
  <si>
    <t>Artikel 9 – Bijzondere gevallen</t>
  </si>
  <si>
    <t>In alle gevallen, waarin:</t>
  </si>
  <si>
    <t>a. de koper in gebreke blijft, na deswege in gebreke te zijn gesteld, in het betalen van een of meer termijnen van de huurkoopsom,</t>
  </si>
  <si>
    <t>b. de koper enige uit kracht van de wet of van deze overeenkomst op hem rustende verplichting niet nakomt, na deswege in gebreke te zijn gesteld en ter zake nalatig blijvende,</t>
  </si>
  <si>
    <t>c. de koper handelt in strijd met enige op hem rustende verplichting,</t>
  </si>
  <si>
    <t>d. de koper in staat van faillissement wordt verklaard, tot boedelafstand overgaat of wel een verzoek tot het bekomen van surséance van betaling indient,</t>
  </si>
  <si>
    <t>e. beslag op het geheel of een gedeelte van zijn vermogen of op het verkochte wordt gelegd,</t>
  </si>
  <si>
    <t>f. de koper komt te overlijden,</t>
  </si>
  <si>
    <t>g. de koper het gekochte gebruikt, en/of laat gebruiken voor een ander doel, dan waartoe het bestemd is, gelijk mede</t>
  </si>
  <si>
    <t>h. indien het gekochte verloren mocht gaan, door welke oorzaak ook, diefstal en verduistering daaronder begrepen,</t>
  </si>
  <si>
    <t>i. indien de trekker zodanig wordt beschadigd, dat, naar het voor beide partijen bindend oordeel van een door de verkoper aan te wijzen deskundige, herstel niet meer gerechtvaardigd is, zal de verkoper gerechtigd zijn te zijner keuze het gekochte terug te nemen, of het uit deze overeenkomst verschuldigde terstond en in zijn geheel op te eisen, dit laatste in dier voege, dat in het geval sub a daartoe slechts het recht aan de verkoper toekomt, indien de achterstand bedraagt ten aanzien van één termijn tenminste een tiende, of ten aanzien van meer termijnen tenminste een twintigste deel van de gehele koopprijs. Bovendien zal, ongeacht de door de verkoper gedane keus, de koper in de gevallen vermeld sub a, b, c en g gehouden zijn tot betaling van een boete van 15% van de totale koopprijs, onverminderd het recht van de verkoper op volledige vergoeding van de door hem geleden schade. Ingeval van overlijden van de koper zal het gehele alsdan nog verschuldigde bedrag zijn een voor diens erfgenamen ondeelbare verplichting zodat, indien niet binnen een maand na opvordering de volledige betaling daarvan zal hebben plaats gehad, ieder zijner erfgenamen door de verkoper voor het gehele alsdan nog verschuldigde bedrag zal kunnen worden aangesproken en uitgewonnen.</t>
  </si>
  <si>
    <t>Artikel 9 - Inlossing</t>
  </si>
  <si>
    <t>Indien ingevolge het in artikel 8 bepaalde de verkoper de trekker zal hebben teruggenomen, zal de koper het recht hebben –doch uitsluitend wanneer de terugneming het gevolg was van wanbetaling van verschenen termijn(en)- om gedurende veertien dagen na de terugneming de zaak/zaken in te lossen door betaling van de verschenen termijn(en) en de verschuldigde rente, boete en kosten, zullende door deze inlossing de door de terugneming ontstane ontbinding van deze overeenkomst ongedaan gemaakt zijn, zodat deze huurkoopovereenkomst alsdan zal herleven met dien verstande, dat het derde en vierde lid van artikel 7a:1576v BW alsdan toepasselijk zullen zijn.</t>
  </si>
  <si>
    <t>Artikel 10 - Kosten</t>
  </si>
  <si>
    <t>Alle kosten van deze akte en van de tenuitvoerlegging daarvan, die van de eventuele ingebrekestellingen of andere exploten en aanmaningen daaronder begrepen, zullen door de koper moeten worden betaald en gedragen.</t>
  </si>
  <si>
    <t>Artikel 11 - Rechtbank</t>
  </si>
  <si>
    <t>De ondergetekenden kiezen, ook voor daden van gerechtelijke tenuitvoerlegging, onveranderlijk woonplaats: de verkoper te zijnen kantore, de koper te zijnen kantore en, voor het geval hij te eniger tijd gevestigd zal zijn buiten de gemeente waar hij als voormeld thans gevestigd is, of geen bekende vestigingsplaats in Nederland mocht hebben, ten kantore van de verkoper.</t>
  </si>
  <si>
    <t>Verkoper</t>
  </si>
  <si>
    <t>Koper</t>
  </si>
  <si>
    <t>OVEREENKOMST VAN HUUR</t>
  </si>
  <si>
    <r>
      <rPr>
        <rFont val="Calibri, sans-serif"/>
        <color rgb="FF1C4587"/>
        <sz val="9.0"/>
      </rPr>
      <t xml:space="preserve">verder te noemen </t>
    </r>
    <r>
      <rPr>
        <rFont val="Calibri, sans-serif"/>
        <b/>
        <color rgb="FF1C4587"/>
        <sz val="9.0"/>
      </rPr>
      <t>verhuurder</t>
    </r>
  </si>
  <si>
    <t>Voertuig</t>
  </si>
  <si>
    <t>V-01-NTB</t>
  </si>
  <si>
    <r>
      <rPr>
        <rFont val="Calibri, sans-serif"/>
        <color rgb="FF1C4587"/>
        <sz val="9.0"/>
      </rPr>
      <t xml:space="preserve">verder te noemen </t>
    </r>
    <r>
      <rPr>
        <rFont val="Calibri, sans-serif"/>
        <b/>
        <color rgb="FF1C4587"/>
        <sz val="9.0"/>
      </rPr>
      <t>huurder</t>
    </r>
  </si>
  <si>
    <t xml:space="preserve">Duur: </t>
  </si>
  <si>
    <t>drie</t>
  </si>
  <si>
    <t>Ingaande</t>
  </si>
  <si>
    <t>Eindigen</t>
  </si>
  <si>
    <t>Huurprijs</t>
  </si>
  <si>
    <t>Artikel 1 – Duur van de overeenkomst</t>
  </si>
  <si>
    <t>Artikel 2 - Huurprijs</t>
  </si>
  <si>
    <t>Artikel 3 - Betalingsverzuim</t>
  </si>
  <si>
    <t xml:space="preserve">Indien huurder in gebreke blijft tijdig aan zijn betalingsverplichtingen te voldoen, vervalt deze overeenkomst van rechtswege. </t>
  </si>
  <si>
    <t>Artikel 4 – Gebruik van het gehuurde</t>
  </si>
  <si>
    <t>1. Huurder gebruikt het gehuurde uitsluitend als woonruimte.</t>
  </si>
  <si>
    <t xml:space="preserve">2. Huurder zal het gehuurde en de gemeenschappelijke ruimten gebruiken zoals een goed huurder betaamt. </t>
  </si>
  <si>
    <t xml:space="preserve">3. Het is huurder niet toegestaan het gehuurde zonder schriftelijke toestemming van verhuurder geheel of gedeeltelijk onder te verhuren. </t>
  </si>
  <si>
    <t>Artikel 5 – Overige bepalingen</t>
  </si>
  <si>
    <t xml:space="preserve">1. Huurder verklaart zich bekend met de staat van het gehuurde. </t>
  </si>
  <si>
    <t xml:space="preserve">2. Partijen verklaren dit contract naar waarheid te hebben opgesteld en ondertekend. </t>
  </si>
  <si>
    <t>Huurder</t>
  </si>
  <si>
    <t>Verhuurder</t>
  </si>
  <si>
    <t>HUUROVEREENKOMST</t>
  </si>
  <si>
    <t>Wonende te</t>
  </si>
  <si>
    <t xml:space="preserve"> </t>
  </si>
  <si>
    <r>
      <rPr>
        <rFont val="Calibri, sans-serif"/>
        <color rgb="FF1C4587"/>
        <sz val="9.0"/>
      </rPr>
      <t xml:space="preserve">verder te noemen </t>
    </r>
    <r>
      <rPr>
        <rFont val="Calibri, sans-serif"/>
        <b/>
        <color rgb="FF1C4587"/>
        <sz val="9.0"/>
      </rPr>
      <t>verhuurder</t>
    </r>
  </si>
  <si>
    <t>Pand:</t>
  </si>
  <si>
    <t>Straat en nummer</t>
  </si>
  <si>
    <t>2222XX Barendrecht</t>
  </si>
  <si>
    <r>
      <rPr>
        <rFont val="Calibri, sans-serif"/>
        <color rgb="FF1C4587"/>
        <sz val="9.0"/>
      </rPr>
      <t xml:space="preserve">verder te noemen </t>
    </r>
    <r>
      <rPr>
        <rFont val="Calibri, sans-serif"/>
        <b/>
        <color rgb="FF1C4587"/>
        <sz val="9.0"/>
      </rPr>
      <t>huurder</t>
    </r>
  </si>
  <si>
    <t>tien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</si>
</sst>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quot;-&quot;mm&quot;-&quot;yyyy"/>
    <numFmt numFmtId="165" formatCode="d&quot;-&quot;m&quot;-&quot;yyyy"/>
    <numFmt numFmtId="166" formatCode="&quot;€&quot;#,##0.00"/>
    <numFmt numFmtId="167" formatCode="[$€-2]\ #,##0.00"/>
    <numFmt numFmtId="168" formatCode="d-m-yyyy"/>
  </numFmts>
  <fonts count="30">
    <font>
      <sz val="10.0"/>
      <color rgb="FF000000"/>
      <name val="Arial"/>
      <scheme val="minor"/>
    </font>
    <font>
      <b/>
      <color rgb="FFFFFFFF"/>
      <name val="Arial"/>
      <scheme val="minor"/>
    </font>
    <font>
      <color theme="1"/>
      <name val="Arial"/>
      <scheme val="minor"/>
    </font>
    <font>
      <u/>
      <color rgb="FF0000FF"/>
    </font>
    <font>
      <b/>
      <sz val="16.0"/>
      <color rgb="FF000000"/>
      <name val="&quot;Microsoft Sans Serif&quot;"/>
    </font>
    <font>
      <b/>
      <sz val="16.0"/>
      <color rgb="FF404040"/>
      <name val="&quot;Microsoft Sans Serif&quot;"/>
    </font>
    <font/>
    <font>
      <sz val="10.0"/>
      <color rgb="FF404040"/>
      <name val="Arial"/>
    </font>
    <font>
      <b/>
      <sz val="11.0"/>
      <color rgb="FFFFFFFF"/>
      <name val="&quot;Microsoft Sans Serif&quot;"/>
    </font>
    <font>
      <b/>
      <sz val="11.0"/>
      <color rgb="FF404040"/>
      <name val="&quot;Microsoft Sans Serif&quot;"/>
    </font>
    <font>
      <sz val="11.0"/>
      <color rgb="FF404040"/>
      <name val="Arial"/>
    </font>
    <font>
      <i/>
      <sz val="11.0"/>
      <color rgb="FFFFFFFF"/>
      <name val="Arial"/>
    </font>
    <font>
      <i/>
      <sz val="11.0"/>
      <color rgb="FF595959"/>
      <name val="Arial"/>
    </font>
    <font>
      <b/>
      <sz val="10.0"/>
      <color rgb="FF404040"/>
      <name val="Arial"/>
    </font>
    <font>
      <b/>
      <sz val="10.0"/>
      <color theme="1"/>
      <name val="Arial"/>
    </font>
    <font>
      <color rgb="FFFFFFFF"/>
      <name val="Arial"/>
      <scheme val="minor"/>
    </font>
    <font>
      <color rgb="FF404040"/>
      <name val="Arial"/>
    </font>
    <font>
      <b/>
      <sz val="14.0"/>
      <color rgb="FF404040"/>
      <name val="Calibri"/>
    </font>
    <font>
      <b/>
      <color rgb="FF404040"/>
      <name val="Calibri"/>
    </font>
    <font>
      <b/>
      <u/>
      <color rgb="FF000000"/>
      <name val="Calibri"/>
    </font>
    <font>
      <color rgb="FF000000"/>
      <name val="Calibri"/>
    </font>
    <font>
      <b/>
      <color rgb="FF000000"/>
      <name val="Calibri"/>
    </font>
    <font>
      <b/>
      <color rgb="FF000000"/>
      <name val="Arial"/>
    </font>
    <font>
      <sz val="9.0"/>
      <color rgb="FF404040"/>
      <name val="Calibri"/>
    </font>
    <font>
      <b/>
      <u/>
      <sz val="9.0"/>
      <color rgb="FF404040"/>
      <name val="Calibri"/>
    </font>
    <font>
      <u/>
      <sz val="9.0"/>
      <color rgb="FF404040"/>
      <name val="Calibri"/>
    </font>
    <font>
      <sz val="9.0"/>
      <color rgb="FF1C4587"/>
      <name val="Calibri"/>
    </font>
    <font>
      <sz val="9.0"/>
      <color rgb="FF00AFEF"/>
      <name val="Calibri"/>
    </font>
    <font>
      <b/>
      <sz val="9.0"/>
      <color rgb="FF404040"/>
      <name val="Calibri"/>
    </font>
    <font>
      <i/>
      <sz val="9.0"/>
      <color rgb="FF404040"/>
      <name val="Calibri"/>
    </font>
  </fonts>
  <fills count="6">
    <fill>
      <patternFill patternType="none"/>
    </fill>
    <fill>
      <patternFill patternType="lightGray"/>
    </fill>
    <fill>
      <patternFill patternType="solid">
        <fgColor rgb="FF0B5394"/>
        <bgColor rgb="FF0B5394"/>
      </patternFill>
    </fill>
    <fill>
      <patternFill patternType="solid">
        <fgColor rgb="FFE6F2E6"/>
        <bgColor rgb="FFE6F2E6"/>
      </patternFill>
    </fill>
    <fill>
      <patternFill patternType="solid">
        <fgColor rgb="FFFAE2D8"/>
        <bgColor rgb="FFFAE2D8"/>
      </patternFill>
    </fill>
    <fill>
      <patternFill patternType="solid">
        <fgColor rgb="FFD9D9D9"/>
        <bgColor rgb="FFD9D9D9"/>
      </patternFill>
    </fill>
  </fills>
  <borders count="6">
    <border/>
    <border>
      <bottom style="thick">
        <color rgb="FF38761D"/>
      </bottom>
    </border>
    <border>
      <bottom style="medium">
        <color rgb="FF38761D"/>
      </bottom>
    </border>
    <border>
      <bottom style="thin">
        <color rgb="FF808080"/>
      </bottom>
    </border>
    <border>
      <top style="thin">
        <color rgb="FF808080"/>
      </top>
      <bottom style="thin">
        <color rgb="FF808080"/>
      </bottom>
    </border>
    <border>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2" fontId="1" numFmtId="0" xfId="0" applyFill="1" applyFont="1"/>
    <xf borderId="0" fillId="2" fontId="1" numFmtId="49" xfId="0" applyFont="1" applyNumberFormat="1"/>
    <xf borderId="0" fillId="2" fontId="1" numFmtId="164" xfId="0" applyFont="1" applyNumberFormat="1"/>
    <xf borderId="0" fillId="2" fontId="1" numFmtId="164" xfId="0" applyFont="1" applyNumberFormat="1"/>
    <xf borderId="0" fillId="2" fontId="1" numFmtId="165" xfId="0" applyFont="1" applyNumberFormat="1"/>
    <xf borderId="0" fillId="0" fontId="2" numFmtId="0" xfId="0" applyFont="1"/>
    <xf borderId="0" fillId="0" fontId="2" numFmtId="49" xfId="0" applyFont="1" applyNumberFormat="1"/>
    <xf borderId="0" fillId="0" fontId="2" numFmtId="164" xfId="0" applyFont="1" applyNumberFormat="1"/>
    <xf borderId="0" fillId="0" fontId="2" numFmtId="164" xfId="0" applyFont="1" applyNumberFormat="1"/>
    <xf borderId="0" fillId="0" fontId="3" numFmtId="0" xfId="0" applyFont="1"/>
    <xf borderId="0" fillId="0" fontId="4" numFmtId="0" xfId="0" applyAlignment="1" applyFont="1">
      <alignment readingOrder="0" shrinkToFit="0" wrapText="0"/>
    </xf>
    <xf borderId="1" fillId="0" fontId="5" numFmtId="0" xfId="0" applyAlignment="1" applyBorder="1" applyFont="1">
      <alignment readingOrder="0" shrinkToFit="0" vertical="center" wrapText="0"/>
    </xf>
    <xf borderId="1" fillId="0" fontId="6" numFmtId="0" xfId="0" applyBorder="1" applyFont="1"/>
    <xf borderId="0" fillId="0" fontId="7" numFmtId="0" xfId="0" applyAlignment="1" applyFont="1">
      <alignment readingOrder="0" shrinkToFit="0" vertical="center" wrapText="0"/>
    </xf>
    <xf borderId="0" fillId="3" fontId="7" numFmtId="0" xfId="0" applyAlignment="1" applyFill="1" applyFont="1">
      <alignment readingOrder="0" shrinkToFit="0" vertical="center" wrapText="0"/>
    </xf>
    <xf borderId="0" fillId="0" fontId="7" numFmtId="0" xfId="0" applyAlignment="1" applyFont="1">
      <alignment shrinkToFit="0" wrapText="0"/>
    </xf>
    <xf borderId="0" fillId="4" fontId="7" numFmtId="0" xfId="0" applyAlignment="1" applyFill="1" applyFont="1">
      <alignment readingOrder="0" shrinkToFit="0" vertical="center" wrapText="0"/>
    </xf>
    <xf borderId="0" fillId="0" fontId="8" numFmtId="0" xfId="0" applyAlignment="1" applyFont="1">
      <alignment readingOrder="0" shrinkToFit="0" vertical="bottom" wrapText="0"/>
    </xf>
    <xf borderId="2" fillId="0" fontId="9" numFmtId="0" xfId="0" applyAlignment="1" applyBorder="1" applyFont="1">
      <alignment readingOrder="0" shrinkToFit="0" vertical="bottom" wrapText="0"/>
    </xf>
    <xf borderId="2" fillId="0" fontId="6" numFmtId="0" xfId="0" applyBorder="1" applyFont="1"/>
    <xf borderId="2" fillId="0" fontId="9" numFmtId="0" xfId="0" applyAlignment="1" applyBorder="1" applyFont="1">
      <alignment shrinkToFit="0" vertical="bottom" wrapText="0"/>
    </xf>
    <xf borderId="0" fillId="0" fontId="10" numFmtId="0" xfId="0" applyAlignment="1" applyFont="1">
      <alignment shrinkToFit="0" wrapText="0"/>
    </xf>
    <xf borderId="0" fillId="0" fontId="7" numFmtId="0" xfId="0" applyAlignment="1" applyFont="1">
      <alignment readingOrder="0" shrinkToFit="0" wrapText="0"/>
    </xf>
    <xf borderId="0" fillId="0" fontId="11" numFmtId="0" xfId="0" applyAlignment="1" applyFont="1">
      <alignment readingOrder="0" shrinkToFit="0" wrapText="0"/>
    </xf>
    <xf borderId="3" fillId="0" fontId="12" numFmtId="0" xfId="0" applyAlignment="1" applyBorder="1" applyFont="1">
      <alignment readingOrder="0" shrinkToFit="0" wrapText="0"/>
    </xf>
    <xf borderId="3" fillId="0" fontId="6" numFmtId="0" xfId="0" applyBorder="1" applyFont="1"/>
    <xf borderId="3" fillId="5" fontId="10" numFmtId="166" xfId="0" applyAlignment="1" applyBorder="1" applyFill="1" applyFont="1" applyNumberFormat="1">
      <alignment horizontal="right" readingOrder="0" shrinkToFit="0" vertical="bottom" wrapText="0"/>
    </xf>
    <xf borderId="4" fillId="0" fontId="12" numFmtId="0" xfId="0" applyAlignment="1" applyBorder="1" applyFont="1">
      <alignment readingOrder="0" shrinkToFit="0" wrapText="0"/>
    </xf>
    <xf borderId="4" fillId="0" fontId="6" numFmtId="0" xfId="0" applyBorder="1" applyFont="1"/>
    <xf borderId="3" fillId="5" fontId="10" numFmtId="10" xfId="0" applyAlignment="1" applyBorder="1" applyFont="1" applyNumberFormat="1">
      <alignment horizontal="right" readingOrder="0" shrinkToFit="0" vertical="bottom" wrapText="0"/>
    </xf>
    <xf borderId="3" fillId="5" fontId="10" numFmtId="0" xfId="0" applyAlignment="1" applyBorder="1" applyFont="1">
      <alignment horizontal="right" readingOrder="0" shrinkToFit="0" vertical="bottom" wrapText="0"/>
    </xf>
    <xf borderId="5" fillId="0" fontId="7" numFmtId="0" xfId="0" applyAlignment="1" applyBorder="1" applyFont="1">
      <alignment readingOrder="0" shrinkToFit="0" wrapText="0"/>
    </xf>
    <xf borderId="5" fillId="0" fontId="6" numFmtId="0" xfId="0" applyBorder="1" applyFont="1"/>
    <xf borderId="5" fillId="0" fontId="7" numFmtId="0" xfId="0" applyAlignment="1" applyBorder="1" applyFont="1">
      <alignment shrinkToFit="0" wrapText="0"/>
    </xf>
    <xf borderId="0" fillId="0" fontId="13" numFmtId="0" xfId="0" applyAlignment="1" applyFont="1">
      <alignment readingOrder="0" shrinkToFit="0" wrapText="0"/>
    </xf>
    <xf borderId="3" fillId="5" fontId="10" numFmtId="164" xfId="0" applyAlignment="1" applyBorder="1" applyFont="1" applyNumberFormat="1">
      <alignment horizontal="right" readingOrder="0" shrinkToFit="0" vertical="bottom" wrapText="0"/>
    </xf>
    <xf borderId="0" fillId="0" fontId="11" numFmtId="0" xfId="0" applyAlignment="1" applyFont="1">
      <alignment shrinkToFit="0" wrapText="0"/>
    </xf>
    <xf borderId="3" fillId="0" fontId="11" numFmtId="0" xfId="0" applyAlignment="1" applyBorder="1" applyFont="1">
      <alignment readingOrder="0" shrinkToFit="0" wrapText="0"/>
    </xf>
    <xf borderId="3" fillId="0" fontId="12" numFmtId="0" xfId="0" applyAlignment="1" applyBorder="1" applyFont="1">
      <alignment shrinkToFit="0" wrapText="0"/>
    </xf>
    <xf borderId="5" fillId="5" fontId="10" numFmtId="0" xfId="0" applyAlignment="1" applyBorder="1" applyFont="1">
      <alignment shrinkToFit="0" vertical="bottom" wrapText="0"/>
    </xf>
    <xf borderId="5" fillId="5" fontId="10" numFmtId="0" xfId="0" applyAlignment="1" applyBorder="1" applyFont="1">
      <alignment horizontal="right" shrinkToFit="0" vertical="bottom" wrapText="0"/>
    </xf>
    <xf borderId="0" fillId="0" fontId="14" numFmtId="0" xfId="0" applyAlignment="1" applyFont="1">
      <alignment horizontal="left" readingOrder="0" vertical="center"/>
    </xf>
    <xf borderId="0" fillId="0" fontId="14" numFmtId="0" xfId="0" applyAlignment="1" applyFont="1">
      <alignment horizontal="right" readingOrder="0" vertical="center"/>
    </xf>
    <xf borderId="0" fillId="0" fontId="14" numFmtId="0" xfId="0" applyAlignment="1" applyFont="1">
      <alignment horizontal="left" readingOrder="0" shrinkToFit="0" vertical="center" wrapText="0"/>
    </xf>
    <xf borderId="0" fillId="0" fontId="14" numFmtId="0" xfId="0" applyAlignment="1" applyFont="1">
      <alignment horizontal="right" readingOrder="0" shrinkToFit="0" vertical="center" wrapText="0"/>
    </xf>
    <xf borderId="0" fillId="0" fontId="15" numFmtId="0" xfId="0" applyFont="1"/>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167" xfId="0" applyAlignment="1" applyFont="1" applyNumberFormat="1">
      <alignment shrinkToFit="0" vertical="center" wrapText="0"/>
    </xf>
    <xf borderId="0" fillId="0" fontId="2" numFmtId="0" xfId="0" applyAlignment="1" applyFont="1">
      <alignment shrinkToFit="0" vertical="center" wrapText="0"/>
    </xf>
    <xf borderId="0" fillId="0" fontId="10" numFmtId="0" xfId="0" applyAlignment="1" applyFont="1">
      <alignment readingOrder="0" shrinkToFit="0" wrapText="0"/>
    </xf>
    <xf borderId="0" fillId="0" fontId="10" numFmtId="166" xfId="0" applyAlignment="1" applyFont="1" applyNumberFormat="1">
      <alignment horizontal="right" readingOrder="0" shrinkToFit="0" wrapText="0"/>
    </xf>
    <xf borderId="0" fillId="0" fontId="16" numFmtId="0" xfId="0" applyAlignment="1" applyFont="1">
      <alignment shrinkToFit="0" wrapText="1"/>
    </xf>
    <xf borderId="0" fillId="0" fontId="2" numFmtId="0" xfId="0" applyAlignment="1" applyFont="1">
      <alignment shrinkToFit="0" wrapText="1"/>
    </xf>
    <xf borderId="0" fillId="0" fontId="17" numFmtId="0" xfId="0" applyAlignment="1" applyFont="1">
      <alignment horizontal="center" readingOrder="0" shrinkToFit="0" wrapText="1"/>
    </xf>
    <xf borderId="0" fillId="0" fontId="18" numFmtId="0" xfId="0" applyAlignment="1" applyFont="1">
      <alignment shrinkToFit="0" wrapText="1"/>
    </xf>
    <xf borderId="0" fillId="0" fontId="19" numFmtId="0" xfId="0" applyAlignment="1" applyFont="1">
      <alignment readingOrder="0" shrinkToFit="0" vertical="top" wrapText="1"/>
    </xf>
    <xf borderId="0" fillId="0" fontId="16" numFmtId="0" xfId="0" applyAlignment="1" applyFont="1">
      <alignment shrinkToFit="0" vertical="top" wrapText="1"/>
    </xf>
    <xf borderId="0" fillId="0" fontId="20" numFmtId="0" xfId="0" applyAlignment="1" applyFont="1">
      <alignment readingOrder="0" shrinkToFit="0" vertical="top" wrapText="1"/>
    </xf>
    <xf borderId="0" fillId="0" fontId="20" numFmtId="0" xfId="0" applyAlignment="1" applyFont="1">
      <alignment shrinkToFit="0" wrapText="1"/>
    </xf>
    <xf borderId="0" fillId="0" fontId="20" numFmtId="0" xfId="0" applyAlignment="1" applyFont="1">
      <alignment shrinkToFit="0" vertical="top" wrapText="1"/>
    </xf>
    <xf borderId="0" fillId="0" fontId="21" numFmtId="0" xfId="0" applyAlignment="1" applyFont="1">
      <alignment readingOrder="0" shrinkToFit="0" vertical="top" wrapText="1"/>
    </xf>
    <xf borderId="0" fillId="0" fontId="22" numFmtId="0" xfId="0" applyAlignment="1" applyFont="1">
      <alignment readingOrder="0" shrinkToFit="0" vertical="top" wrapText="1"/>
    </xf>
    <xf borderId="0" fillId="0" fontId="20" numFmtId="0" xfId="0" applyAlignment="1" applyFont="1">
      <alignment horizontal="left" readingOrder="0" shrinkToFit="0" vertical="top" wrapText="1"/>
    </xf>
    <xf borderId="0" fillId="0" fontId="20" numFmtId="0" xfId="0" applyAlignment="1" applyFont="1">
      <alignment horizontal="left" shrinkToFit="0" vertical="top" wrapText="1"/>
    </xf>
    <xf borderId="0" fillId="0" fontId="16" numFmtId="0" xfId="0" applyAlignment="1" applyFont="1">
      <alignment readingOrder="0" shrinkToFit="0" wrapText="1"/>
    </xf>
    <xf borderId="0" fillId="0" fontId="16" numFmtId="0" xfId="0" applyAlignment="1" applyFont="1">
      <alignment horizontal="left" shrinkToFit="0" vertical="top" wrapText="1"/>
    </xf>
    <xf borderId="0" fillId="0" fontId="23" numFmtId="0" xfId="0" applyFont="1"/>
    <xf borderId="0" fillId="0" fontId="17" numFmtId="0" xfId="0" applyAlignment="1" applyFont="1">
      <alignment horizontal="center" readingOrder="0"/>
    </xf>
    <xf borderId="0" fillId="0" fontId="23" numFmtId="0" xfId="0" applyAlignment="1" applyFont="1">
      <alignment readingOrder="0"/>
    </xf>
    <xf borderId="0" fillId="0" fontId="24" numFmtId="0" xfId="0" applyAlignment="1" applyFont="1">
      <alignment readingOrder="0"/>
    </xf>
    <xf borderId="0" fillId="0" fontId="25" numFmtId="0" xfId="0" applyAlignment="1" applyFont="1">
      <alignment readingOrder="0"/>
    </xf>
    <xf borderId="0" fillId="0" fontId="26" numFmtId="0" xfId="0" applyAlignment="1" applyFont="1">
      <alignment readingOrder="0"/>
    </xf>
    <xf borderId="0" fillId="0" fontId="27" numFmtId="0" xfId="0" applyFont="1"/>
    <xf borderId="0" fillId="0" fontId="27" numFmtId="0" xfId="0" applyAlignment="1" applyFont="1">
      <alignment readingOrder="0"/>
    </xf>
    <xf borderId="0" fillId="0" fontId="28" numFmtId="0" xfId="0" applyFont="1"/>
    <xf borderId="0" fillId="0" fontId="23" numFmtId="0" xfId="0" applyAlignment="1" applyFont="1">
      <alignment horizontal="left" readingOrder="0"/>
    </xf>
    <xf borderId="0" fillId="0" fontId="23" numFmtId="0" xfId="0" applyAlignment="1" applyFont="1">
      <alignment horizontal="left"/>
    </xf>
    <xf borderId="0" fillId="0" fontId="23" numFmtId="0" xfId="0" applyAlignment="1" applyFont="1">
      <alignment horizontal="left" readingOrder="0" shrinkToFit="0" wrapText="1"/>
    </xf>
    <xf borderId="0" fillId="0" fontId="23" numFmtId="0" xfId="0" applyAlignment="1" applyFont="1">
      <alignment horizontal="left" shrinkToFit="0" wrapText="1"/>
    </xf>
    <xf borderId="0" fillId="0" fontId="28" numFmtId="0" xfId="0" applyAlignment="1" applyFont="1">
      <alignment horizontal="left" readingOrder="0" shrinkToFit="0" wrapText="1"/>
    </xf>
    <xf borderId="0" fillId="0" fontId="28" numFmtId="0" xfId="0" applyAlignment="1" applyFont="1">
      <alignment shrinkToFit="0" vertical="bottom" wrapText="1"/>
    </xf>
    <xf borderId="0" fillId="0" fontId="29" numFmtId="0" xfId="0" applyAlignment="1" applyFont="1">
      <alignment shrinkToFit="0" vertical="bottom" wrapText="1"/>
    </xf>
    <xf borderId="0" fillId="0" fontId="23" numFmtId="0" xfId="0" applyAlignment="1" applyFont="1">
      <alignment shrinkToFit="0" vertical="bottom" wrapText="1"/>
    </xf>
    <xf borderId="0" fillId="0" fontId="2" numFmtId="0" xfId="0" applyAlignment="1" applyFont="1">
      <alignment readingOrder="0"/>
    </xf>
    <xf borderId="0" fillId="0" fontId="2" numFmtId="168" xfId="0" applyAlignment="1" applyFont="1" applyNumberFormat="1">
      <alignment readingOrder="0"/>
    </xf>
    <xf borderId="0" fillId="0" fontId="2" numFmtId="168" xfId="0" applyFont="1" applyNumberFormat="1"/>
    <xf borderId="0" fillId="0" fontId="2" numFmtId="167"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D9EAD3"/>
          <bgColor rgb="FFD9EAD3"/>
        </patternFill>
      </fill>
      <border/>
    </dxf>
    <dxf>
      <border>
        <left style="thin">
          <color rgb="FF356854"/>
        </left>
        <right style="thin">
          <color rgb="FF356854"/>
        </right>
        <top style="thin">
          <color rgb="FF356854"/>
        </top>
        <bottom style="thin">
          <color rgb="FF356854"/>
        </bottom>
      </border>
    </dxf>
  </dxfs>
  <tableStyles count="1">
    <tableStyle count="4" pivot="0" name="Len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9:H354" displayName="Lening" name="Lening" id="1">
  <autoFilter ref="$B$9:$H$354"/>
  <tableColumns count="7">
    <tableColumn name="BET.NR." id="1"/>
    <tableColumn name="BETALINGSDATUM" id="2"/>
    <tableColumn name="BEGINSALDO" id="3"/>
    <tableColumn name="BETALING" id="4"/>
    <tableColumn name="HOOFDSOM" id="5"/>
    <tableColumn name="RENTE" id="6"/>
    <tableColumn name="EINDSALDO" id="7"/>
  </tableColumns>
  <tableStyleInfo name="Len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oonshop.nl" TargetMode="External"/><Relationship Id="rId2" Type="http://schemas.openxmlformats.org/officeDocument/2006/relationships/hyperlink" Target="http://loonshop.nl"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IFERROR(__xludf.DUMMYFUNCTION("IMPORTRANGE(""1GdTinF6-0i_lvTatB4CP3cB__lgNzE6_ZfISkzeXnv8"",""CRM!A2:AO"")"),"KvKNaam")</f>
        <v>KvKNaam</v>
      </c>
      <c r="B1" s="1" t="str">
        <f>IFERROR(__xludf.DUMMYFUNCTION("""COMPUTED_VALUE"""),"Bedrijfsnaam")</f>
        <v>Bedrijfsnaam</v>
      </c>
      <c r="C1" s="1" t="str">
        <f>IFERROR(__xludf.DUMMYFUNCTION("""COMPUTED_VALUE"""),"Map")</f>
        <v>Map</v>
      </c>
      <c r="D1" s="1" t="str">
        <f>IFERROR(__xludf.DUMMYFUNCTION("""COMPUTED_VALUE"""),"Eigendom")</f>
        <v>Eigendom</v>
      </c>
      <c r="E1" s="1" t="str">
        <f>IFERROR(__xludf.DUMMYFUNCTION("""COMPUTED_VALUE"""),"SBI_Code")</f>
        <v>SBI_Code</v>
      </c>
      <c r="F1" s="2" t="str">
        <f>IFERROR(__xludf.DUMMYFUNCTION("""COMPUTED_VALUE"""),"HoofdTel")</f>
        <v>HoofdTel</v>
      </c>
      <c r="G1" s="1" t="str">
        <f>IFERROR(__xludf.DUMMYFUNCTION("""COMPUTED_VALUE"""),"Email1Acc")</f>
        <v>Email1Acc</v>
      </c>
      <c r="H1" s="1" t="str">
        <f>IFERROR(__xludf.DUMMYFUNCTION("""COMPUTED_VALUE"""),"StraatFactuur")</f>
        <v>StraatFactuur</v>
      </c>
      <c r="I1" s="1" t="str">
        <f>IFERROR(__xludf.DUMMYFUNCTION("""COMPUTED_VALUE"""),"PCFactuur")</f>
        <v>PCFactuur</v>
      </c>
      <c r="J1" s="1" t="str">
        <f>IFERROR(__xludf.DUMMYFUNCTION("""COMPUTED_VALUE"""),"PlaatsFactuur")</f>
        <v>PlaatsFactuur</v>
      </c>
      <c r="K1" s="1" t="str">
        <f>IFERROR(__xludf.DUMMYFUNCTION("""COMPUTED_VALUE"""),"LandFactuur")</f>
        <v>LandFactuur</v>
      </c>
      <c r="L1" s="1" t="str">
        <f>IFERROR(__xludf.DUMMYFUNCTION("""COMPUTED_VALUE"""),"BulgaarseNaam")</f>
        <v>BulgaarseNaam</v>
      </c>
      <c r="M1" s="3" t="str">
        <f>IFERROR(__xludf.DUMMYFUNCTION("""COMPUTED_VALUE"""),"KlantVanaf")</f>
        <v>KlantVanaf</v>
      </c>
      <c r="N1" s="1" t="str">
        <f>IFERROR(__xludf.DUMMYFUNCTION("""COMPUTED_VALUE"""),"BTWNummer")</f>
        <v>BTWNummer</v>
      </c>
      <c r="O1" s="1" t="str">
        <f>IFERROR(__xludf.DUMMYFUNCTION("""COMPUTED_VALUE"""),"KvKNummer")</f>
        <v>KvKNummer</v>
      </c>
      <c r="P1" s="1" t="str">
        <f>IFERROR(__xludf.DUMMYFUNCTION("""COMPUTED_VALUE"""),"IBANZakelijk")</f>
        <v>IBANZakelijk</v>
      </c>
      <c r="Q1" s="4" t="str">
        <f>IFERROR(__xludf.DUMMYFUNCTION("""COMPUTED_VALUE"""),"KvKInschrijving")</f>
        <v>KvKInschrijving</v>
      </c>
      <c r="R1" s="4" t="str">
        <f>IFERROR(__xludf.DUMMYFUNCTION("""COMPUTED_VALUE"""),"KvKUitschrijving")</f>
        <v>KvKUitschrijving</v>
      </c>
      <c r="S1" s="1" t="str">
        <f>IFERROR(__xludf.DUMMYFUNCTION("""COMPUTED_VALUE"""),"BTWID")</f>
        <v>BTWID</v>
      </c>
      <c r="T1" s="1" t="str">
        <f>IFERROR(__xludf.DUMMYFUNCTION("""COMPUTED_VALUE"""),"RSIN")</f>
        <v>RSIN</v>
      </c>
      <c r="U1" s="1" t="str">
        <f>IFERROR(__xludf.DUMMYFUNCTION("""COMPUTED_VALUE"""),"Rechtsvorm")</f>
        <v>Rechtsvorm</v>
      </c>
      <c r="V1" s="1" t="str">
        <f>IFERROR(__xludf.DUMMYFUNCTION("""COMPUTED_VALUE"""),"KvKVestigingsnummer")</f>
        <v>KvKVestigingsnummer</v>
      </c>
      <c r="W1" s="1" t="str">
        <f>IFERROR(__xludf.DUMMYFUNCTION("""COMPUTED_VALUE"""),"EmailInkopen")</f>
        <v>EmailInkopen</v>
      </c>
      <c r="X1" s="1" t="str">
        <f>IFERROR(__xludf.DUMMYFUNCTION("""COMPUTED_VALUE"""),"EmailVerkopen")</f>
        <v>EmailVerkopen</v>
      </c>
      <c r="Y1" s="1" t="str">
        <f>IFERROR(__xludf.DUMMYFUNCTION("""COMPUTED_VALUE"""),"Aanhef")</f>
        <v>Aanhef</v>
      </c>
      <c r="Z1" s="1" t="str">
        <f>IFERROR(__xludf.DUMMYFUNCTION("""COMPUTED_VALUE"""),"Voornaam")</f>
        <v>Voornaam</v>
      </c>
      <c r="AA1" s="1" t="str">
        <f>IFERROR(__xludf.DUMMYFUNCTION("""COMPUTED_VALUE"""),"Achternaam")</f>
        <v>Achternaam</v>
      </c>
      <c r="AB1" s="1" t="str">
        <f>IFERROR(__xludf.DUMMYFUNCTION("""COMPUTED_VALUE"""),"Voorletters")</f>
        <v>Voorletters</v>
      </c>
      <c r="AC1" s="1" t="str">
        <f>IFERROR(__xludf.DUMMYFUNCTION("""COMPUTED_VALUE"""),"BSN")</f>
        <v>BSN</v>
      </c>
      <c r="AD1" s="5" t="str">
        <f>IFERROR(__xludf.DUMMYFUNCTION("""COMPUTED_VALUE"""),"GeborteDatum")</f>
        <v>GeborteDatum</v>
      </c>
      <c r="AE1" s="1" t="str">
        <f>IFERROR(__xludf.DUMMYFUNCTION("""COMPUTED_VALUE"""),"Taal")</f>
        <v>Taal</v>
      </c>
      <c r="AF1" s="1" t="str">
        <f>IFERROR(__xludf.DUMMYFUNCTION("""COMPUTED_VALUE"""),"GeboortePlaats")</f>
        <v>GeboortePlaats</v>
      </c>
      <c r="AG1" s="1" t="str">
        <f>IFERROR(__xludf.DUMMYFUNCTION("""COMPUTED_VALUE"""),"VolNaam")</f>
        <v>VolNaam</v>
      </c>
      <c r="AH1" s="1" t="str">
        <f>IFERROR(__xludf.DUMMYFUNCTION("""COMPUTED_VALUE"""),"IBAN Prive")</f>
        <v>IBAN Prive</v>
      </c>
      <c r="AI1" s="1" t="str">
        <f>IFERROR(__xludf.DUMMYFUNCTION("""COMPUTED_VALUE"""),"GBAReg")</f>
        <v>GBAReg</v>
      </c>
      <c r="AJ1" s="1" t="str">
        <f>IFERROR(__xludf.DUMMYFUNCTION("""COMPUTED_VALUE"""),"IDSoort")</f>
        <v>IDSoort</v>
      </c>
      <c r="AK1" s="1" t="str">
        <f>IFERROR(__xludf.DUMMYFUNCTION("""COMPUTED_VALUE"""),"IDNummer")</f>
        <v>IDNummer</v>
      </c>
      <c r="AL1" s="1" t="str">
        <f>IFERROR(__xludf.DUMMYFUNCTION("""COMPUTED_VALUE"""),"IDVerloop")</f>
        <v>IDVerloop</v>
      </c>
      <c r="AM1" s="1" t="str">
        <f>IFERROR(__xludf.DUMMYFUNCTION("""COMPUTED_VALUE"""),"GebLand")</f>
        <v>GebLand</v>
      </c>
      <c r="AN1" s="1" t="str">
        <f>IFERROR(__xludf.DUMMYFUNCTION("""COMPUTED_VALUE"""),"CNaam")</f>
        <v>CNaam</v>
      </c>
      <c r="AO1" s="1" t="str">
        <f>IFERROR(__xludf.DUMMYFUNCTION("""COMPUTED_VALUE"""),"KlantNr")</f>
        <v>KlantNr</v>
      </c>
    </row>
    <row r="2">
      <c r="A2" s="6" t="str">
        <f>IFERROR(__xludf.DUMMYFUNCTION("""COMPUTED_VALUE"""),"A. Georgiev")</f>
        <v>A. Georgiev</v>
      </c>
      <c r="B2" s="6" t="str">
        <f>IFERROR(__xludf.DUMMYFUNCTION("""COMPUTED_VALUE"""),"A. Georgiev Services")</f>
        <v>A. Georgiev Services</v>
      </c>
      <c r="C2" s="6">
        <f>IFERROR(__xludf.DUMMYFUNCTION("""COMPUTED_VALUE"""),1051.0)</f>
        <v>1051</v>
      </c>
      <c r="D2" s="7" t="str">
        <f>IFERROR(__xludf.DUMMYFUNCTION("""COMPUTED_VALUE"""),"Anton Pavlov Georgiev")</f>
        <v>Anton Pavlov Georgiev</v>
      </c>
      <c r="E2" s="7" t="str">
        <f>IFERROR(__xludf.DUMMYFUNCTION("""COMPUTED_VALUE"""),"SBI-code: 4120 - Algemene burgerlijke en utiliteitsbouw")</f>
        <v>SBI-code: 4120 - Algemene burgerlijke en utiliteitsbouw</v>
      </c>
      <c r="F2" s="7" t="str">
        <f>IFERROR(__xludf.DUMMYFUNCTION("""COMPUTED_VALUE"""),"0649674189")</f>
        <v>0649674189</v>
      </c>
      <c r="G2" s="6" t="str">
        <f>IFERROR(__xludf.DUMMYFUNCTION("""COMPUTED_VALUE"""),"antonfant@gmail.com")</f>
        <v>antonfant@gmail.com</v>
      </c>
      <c r="H2" s="6" t="str">
        <f>IFERROR(__xludf.DUMMYFUNCTION("""COMPUTED_VALUE"""),"Aaraustraat 19")</f>
        <v>Aaraustraat 19</v>
      </c>
      <c r="I2" s="6" t="str">
        <f>IFERROR(__xludf.DUMMYFUNCTION("""COMPUTED_VALUE"""),"2612BP")</f>
        <v>2612BP</v>
      </c>
      <c r="J2" s="6" t="str">
        <f>IFERROR(__xludf.DUMMYFUNCTION("""COMPUTED_VALUE"""),"Delft")</f>
        <v>Delft</v>
      </c>
      <c r="K2" s="6" t="str">
        <f>IFERROR(__xludf.DUMMYFUNCTION("""COMPUTED_VALUE"""),"Nederland")</f>
        <v>Nederland</v>
      </c>
      <c r="L2" s="6" t="str">
        <f>IFERROR(__xludf.DUMMYFUNCTION("""COMPUTED_VALUE"""),"Георгиев")</f>
        <v>Георгиев</v>
      </c>
      <c r="M2" s="8">
        <f>IFERROR(__xludf.DUMMYFUNCTION("""COMPUTED_VALUE"""),44193.0)</f>
        <v>44193</v>
      </c>
      <c r="N2" s="6" t="str">
        <f>IFERROR(__xludf.DUMMYFUNCTION("""COMPUTED_VALUE"""),"NL693607014B02")</f>
        <v>NL693607014B02</v>
      </c>
      <c r="O2" s="6">
        <f>IFERROR(__xludf.DUMMYFUNCTION("""COMPUTED_VALUE"""),9.9942506E7)</f>
        <v>99942506</v>
      </c>
      <c r="P2" s="6" t="str">
        <f>IFERROR(__xludf.DUMMYFUNCTION("""COMPUTED_VALUE"""),"NL")</f>
        <v>NL</v>
      </c>
      <c r="Q2" s="9">
        <f>IFERROR(__xludf.DUMMYFUNCTION("""COMPUTED_VALUE"""),45992.0)</f>
        <v>45992</v>
      </c>
      <c r="R2" s="6"/>
      <c r="S2" s="6" t="str">
        <f>IFERROR(__xludf.DUMMYFUNCTION("""COMPUTED_VALUE"""),"NL005365781B76")</f>
        <v>NL005365781B76</v>
      </c>
      <c r="T2" s="6">
        <f>IFERROR(__xludf.DUMMYFUNCTION("""COMPUTED_VALUE"""),6.93607014E8)</f>
        <v>693607014</v>
      </c>
      <c r="U2" s="7" t="str">
        <f>IFERROR(__xludf.DUMMYFUNCTION("""COMPUTED_VALUE"""),"Eenmanszaak")</f>
        <v>Eenmanszaak</v>
      </c>
      <c r="V2" s="7" t="str">
        <f>IFERROR(__xludf.DUMMYFUNCTION("""COMPUTED_VALUE"""),"000064070603")</f>
        <v>000064070603</v>
      </c>
      <c r="W2" s="6" t="str">
        <f>IFERROR(__xludf.DUMMYFUNCTION("""COMPUTED_VALUE"""),"ink.a.georgiev.2288aa@zarabota.nl")</f>
        <v>ink.a.georgiev.2288aa@zarabota.nl</v>
      </c>
      <c r="X2" s="6" t="str">
        <f>IFERROR(__xludf.DUMMYFUNCTION("""COMPUTED_VALUE"""),"ver.a.georgiev.2288aa@zarabota.nl")</f>
        <v>ver.a.georgiev.2288aa@zarabota.nl</v>
      </c>
      <c r="Y2" s="6" t="str">
        <f>IFERROR(__xludf.DUMMYFUNCTION("""COMPUTED_VALUE"""),"Hr.")</f>
        <v>Hr.</v>
      </c>
      <c r="Z2" s="6" t="str">
        <f>IFERROR(__xludf.DUMMYFUNCTION("""COMPUTED_VALUE"""),"Anton Pavlov")</f>
        <v>Anton Pavlov</v>
      </c>
      <c r="AA2" s="6" t="str">
        <f>IFERROR(__xludf.DUMMYFUNCTION("""COMPUTED_VALUE"""),"Georgiev")</f>
        <v>Georgiev</v>
      </c>
      <c r="AB2" s="6" t="str">
        <f>IFERROR(__xludf.DUMMYFUNCTION("""COMPUTED_VALUE"""),"A.P.")</f>
        <v>A.P.</v>
      </c>
      <c r="AC2" s="6">
        <f>IFERROR(__xludf.DUMMYFUNCTION("""COMPUTED_VALUE"""),6.93607014E8)</f>
        <v>693607014</v>
      </c>
      <c r="AD2" s="9">
        <f>IFERROR(__xludf.DUMMYFUNCTION("""COMPUTED_VALUE"""),28738.0)</f>
        <v>28738</v>
      </c>
      <c r="AE2" s="6" t="str">
        <f>IFERROR(__xludf.DUMMYFUNCTION("""COMPUTED_VALUE"""),"bg")</f>
        <v>bg</v>
      </c>
      <c r="AF2" s="6" t="str">
        <f>IFERROR(__xludf.DUMMYFUNCTION("""COMPUTED_VALUE"""),"Sofia")</f>
        <v>Sofia</v>
      </c>
      <c r="AG2" s="6" t="str">
        <f>IFERROR(__xludf.DUMMYFUNCTION("""COMPUTED_VALUE"""),"Hr. A.P. Georgiev")</f>
        <v>Hr. A.P. Georgiev</v>
      </c>
      <c r="AH2" s="6"/>
      <c r="AI2" s="6"/>
      <c r="AJ2" s="6" t="str">
        <f>IFERROR(__xludf.DUMMYFUNCTION("""COMPUTED_VALUE"""),"ID Kaart")</f>
        <v>ID Kaart</v>
      </c>
      <c r="AK2" s="6">
        <f>IFERROR(__xludf.DUMMYFUNCTION("""COMPUTED_VALUE"""),6.46497506E8)</f>
        <v>646497506</v>
      </c>
      <c r="AL2" s="9">
        <f>IFERROR(__xludf.DUMMYFUNCTION("""COMPUTED_VALUE"""),46201.0)</f>
        <v>46201</v>
      </c>
      <c r="AM2" s="6" t="str">
        <f>IFERROR(__xludf.DUMMYFUNCTION("""COMPUTED_VALUE"""),"Bulgarije")</f>
        <v>Bulgarije</v>
      </c>
      <c r="AN2" s="6" t="str">
        <f>IFERROR(__xludf.DUMMYFUNCTION("""COMPUTED_VALUE"""),"Anton Pavlov Georgiev")</f>
        <v>Anton Pavlov Georgiev</v>
      </c>
      <c r="AO2" s="6">
        <f>IFERROR(__xludf.DUMMYFUNCTION("""COMPUTED_VALUE"""),1051.0)</f>
        <v>1051</v>
      </c>
    </row>
    <row r="3">
      <c r="A3" s="6" t="str">
        <f>IFERROR(__xludf.DUMMYFUNCTION("""COMPUTED_VALUE"""),"A. Iliev")</f>
        <v>A. Iliev</v>
      </c>
      <c r="B3" s="6" t="str">
        <f>IFERROR(__xludf.DUMMYFUNCTION("""COMPUTED_VALUE"""),"A. Iliev")</f>
        <v>A. Iliev</v>
      </c>
      <c r="C3" s="6">
        <f>IFERROR(__xludf.DUMMYFUNCTION("""COMPUTED_VALUE"""),1333.0)</f>
        <v>1333</v>
      </c>
      <c r="D3" s="7" t="str">
        <f>IFERROR(__xludf.DUMMYFUNCTION("""COMPUTED_VALUE"""),"Aleksandar Nikolaev Iliev")</f>
        <v>Aleksandar Nikolaev Iliev</v>
      </c>
      <c r="E3" s="7" t="str">
        <f>IFERROR(__xludf.DUMMYFUNCTION("""COMPUTED_VALUE"""),"SBI-code: 4120 - Algemene burgerlijke en utiliteitsbouw")</f>
        <v>SBI-code: 4120 - Algemene burgerlijke en utiliteitsbouw</v>
      </c>
      <c r="F3" s="7" t="str">
        <f>IFERROR(__xludf.DUMMYFUNCTION("""COMPUTED_VALUE"""),"+359882707869")</f>
        <v>+359882707869</v>
      </c>
      <c r="G3" s="6" t="str">
        <f>IFERROR(__xludf.DUMMYFUNCTION("""COMPUTED_VALUE"""),"aleksandur91@gmail.com")</f>
        <v>aleksandur91@gmail.com</v>
      </c>
      <c r="H3" s="6" t="str">
        <f>IFERROR(__xludf.DUMMYFUNCTION("""COMPUTED_VALUE"""),"Springersdiep 21")</f>
        <v>Springersdiep 21</v>
      </c>
      <c r="I3" s="6" t="str">
        <f>IFERROR(__xludf.DUMMYFUNCTION("""COMPUTED_VALUE"""),"2904ET")</f>
        <v>2904ET</v>
      </c>
      <c r="J3" s="6" t="str">
        <f>IFERROR(__xludf.DUMMYFUNCTION("""COMPUTED_VALUE"""),"Capelle aan den IJssel")</f>
        <v>Capelle aan den IJssel</v>
      </c>
      <c r="K3" s="6" t="str">
        <f>IFERROR(__xludf.DUMMYFUNCTION("""COMPUTED_VALUE"""),"Nederland")</f>
        <v>Nederland</v>
      </c>
      <c r="L3" s="6" t="str">
        <f>IFERROR(__xludf.DUMMYFUNCTION("""COMPUTED_VALUE"""),"Илиев")</f>
        <v>Илиев</v>
      </c>
      <c r="M3" s="8">
        <f>IFERROR(__xludf.DUMMYFUNCTION("""COMPUTED_VALUE"""),44606.0)</f>
        <v>44606</v>
      </c>
      <c r="N3" s="6" t="str">
        <f>IFERROR(__xludf.DUMMYFUNCTION("""COMPUTED_VALUE"""),"NL694524268B01")</f>
        <v>NL694524268B01</v>
      </c>
      <c r="O3" s="6">
        <f>IFERROR(__xludf.DUMMYFUNCTION("""COMPUTED_VALUE"""),8.5495239E7)</f>
        <v>85495239</v>
      </c>
      <c r="P3" s="6" t="str">
        <f>IFERROR(__xludf.DUMMYFUNCTION("""COMPUTED_VALUE"""),"NL27INGB0390009083")</f>
        <v>NL27INGB0390009083</v>
      </c>
      <c r="Q3" s="9">
        <f>IFERROR(__xludf.DUMMYFUNCTION("""COMPUTED_VALUE"""),44606.0)</f>
        <v>44606</v>
      </c>
      <c r="R3" s="6"/>
      <c r="S3" s="6" t="str">
        <f>IFERROR(__xludf.DUMMYFUNCTION("""COMPUTED_VALUE"""),"NL004103132B76")</f>
        <v>NL004103132B76</v>
      </c>
      <c r="T3" s="6">
        <f>IFERROR(__xludf.DUMMYFUNCTION("""COMPUTED_VALUE"""),6.94524268E8)</f>
        <v>694524268</v>
      </c>
      <c r="U3" s="7" t="str">
        <f>IFERROR(__xludf.DUMMYFUNCTION("""COMPUTED_VALUE"""),"Eenmanszaak")</f>
        <v>Eenmanszaak</v>
      </c>
      <c r="V3" s="7" t="str">
        <f>IFERROR(__xludf.DUMMYFUNCTION("""COMPUTED_VALUE"""),"000051537753")</f>
        <v>000051537753</v>
      </c>
      <c r="W3" s="6" t="str">
        <f>IFERROR(__xludf.DUMMYFUNCTION("""COMPUTED_VALUE"""),"ink.ailiev.2288aa@zarabota.nl")</f>
        <v>ink.ailiev.2288aa@zarabota.nl</v>
      </c>
      <c r="X3" s="6" t="str">
        <f>IFERROR(__xludf.DUMMYFUNCTION("""COMPUTED_VALUE"""),"ver.ailiev.2288aa@zarabota.nl")</f>
        <v>ver.ailiev.2288aa@zarabota.nl</v>
      </c>
      <c r="Y3" s="6" t="str">
        <f>IFERROR(__xludf.DUMMYFUNCTION("""COMPUTED_VALUE"""),"Hr.")</f>
        <v>Hr.</v>
      </c>
      <c r="Z3" s="6" t="str">
        <f>IFERROR(__xludf.DUMMYFUNCTION("""COMPUTED_VALUE"""),"Aleksandar Nikolaev")</f>
        <v>Aleksandar Nikolaev</v>
      </c>
      <c r="AA3" s="6" t="str">
        <f>IFERROR(__xludf.DUMMYFUNCTION("""COMPUTED_VALUE"""),"Iliev")</f>
        <v>Iliev</v>
      </c>
      <c r="AB3" s="6" t="str">
        <f>IFERROR(__xludf.DUMMYFUNCTION("""COMPUTED_VALUE"""),"A.N.")</f>
        <v>A.N.</v>
      </c>
      <c r="AC3" s="6">
        <f>IFERROR(__xludf.DUMMYFUNCTION("""COMPUTED_VALUE"""),6.94524268E8)</f>
        <v>694524268</v>
      </c>
      <c r="AD3" s="9">
        <f>IFERROR(__xludf.DUMMYFUNCTION("""COMPUTED_VALUE"""),34490.0)</f>
        <v>34490</v>
      </c>
      <c r="AE3" s="6" t="str">
        <f>IFERROR(__xludf.DUMMYFUNCTION("""COMPUTED_VALUE"""),"bg")</f>
        <v>bg</v>
      </c>
      <c r="AF3" s="6" t="str">
        <f>IFERROR(__xludf.DUMMYFUNCTION("""COMPUTED_VALUE"""),"Veliko Tarnovo")</f>
        <v>Veliko Tarnovo</v>
      </c>
      <c r="AG3" s="6" t="str">
        <f>IFERROR(__xludf.DUMMYFUNCTION("""COMPUTED_VALUE"""),"Hr. A.N. Iliev")</f>
        <v>Hr. A.N. Iliev</v>
      </c>
      <c r="AH3" s="6"/>
      <c r="AI3" s="6"/>
      <c r="AJ3" s="6" t="str">
        <f>IFERROR(__xludf.DUMMYFUNCTION("""COMPUTED_VALUE"""),"ID Kaart")</f>
        <v>ID Kaart</v>
      </c>
      <c r="AK3" s="6">
        <f>IFERROR(__xludf.DUMMYFUNCTION("""COMPUTED_VALUE"""),6.51372198E8)</f>
        <v>651372198</v>
      </c>
      <c r="AL3" s="9">
        <f>IFERROR(__xludf.DUMMYFUNCTION("""COMPUTED_VALUE"""),48211.0)</f>
        <v>48211</v>
      </c>
      <c r="AM3" s="6" t="str">
        <f>IFERROR(__xludf.DUMMYFUNCTION("""COMPUTED_VALUE"""),"Bulgarije")</f>
        <v>Bulgarije</v>
      </c>
      <c r="AN3" s="6" t="str">
        <f>IFERROR(__xludf.DUMMYFUNCTION("""COMPUTED_VALUE"""),"Aleksandar Nikolaev Iliev")</f>
        <v>Aleksandar Nikolaev Iliev</v>
      </c>
      <c r="AO3" s="6">
        <f>IFERROR(__xludf.DUMMYFUNCTION("""COMPUTED_VALUE"""),1333.0)</f>
        <v>1333</v>
      </c>
    </row>
    <row r="4">
      <c r="A4" s="6" t="str">
        <f>IFERROR(__xludf.DUMMYFUNCTION("""COMPUTED_VALUE"""),"A.A. Kazakov")</f>
        <v>A.A. Kazakov</v>
      </c>
      <c r="B4" s="6" t="str">
        <f>IFERROR(__xludf.DUMMYFUNCTION("""COMPUTED_VALUE"""),"A.A. Kazakov")</f>
        <v>A.A. Kazakov</v>
      </c>
      <c r="C4" s="6">
        <f>IFERROR(__xludf.DUMMYFUNCTION("""COMPUTED_VALUE"""),1074.0)</f>
        <v>1074</v>
      </c>
      <c r="D4" s="7" t="str">
        <f>IFERROR(__xludf.DUMMYFUNCTION("""COMPUTED_VALUE"""),"Asen Andreev Kazakov")</f>
        <v>Asen Andreev Kazakov</v>
      </c>
      <c r="E4" s="7" t="str">
        <f>IFERROR(__xludf.DUMMYFUNCTION("""COMPUTED_VALUE"""),"SBI-code: 4120 - Algemene burgerlijke en utiliteitsbouw")</f>
        <v>SBI-code: 4120 - Algemene burgerlijke en utiliteitsbouw</v>
      </c>
      <c r="F4" s="7" t="str">
        <f>IFERROR(__xludf.DUMMYFUNCTION("""COMPUTED_VALUE"""),"0685411440")</f>
        <v>0685411440</v>
      </c>
      <c r="G4" s="6" t="str">
        <f>IFERROR(__xludf.DUMMYFUNCTION("""COMPUTED_VALUE"""),"kazakovasen5@gmail.com")</f>
        <v>kazakovasen5@gmail.com</v>
      </c>
      <c r="H4" s="6" t="str">
        <f>IFERROR(__xludf.DUMMYFUNCTION("""COMPUTED_VALUE"""),"Loosduinseweg 867")</f>
        <v>Loosduinseweg 867</v>
      </c>
      <c r="I4" s="6" t="str">
        <f>IFERROR(__xludf.DUMMYFUNCTION("""COMPUTED_VALUE"""),"2571AV")</f>
        <v>2571AV</v>
      </c>
      <c r="J4" s="6" t="str">
        <f>IFERROR(__xludf.DUMMYFUNCTION("""COMPUTED_VALUE"""),"s-Gravenhage")</f>
        <v>s-Gravenhage</v>
      </c>
      <c r="K4" s="6" t="str">
        <f>IFERROR(__xludf.DUMMYFUNCTION("""COMPUTED_VALUE"""),"Nederland")</f>
        <v>Nederland</v>
      </c>
      <c r="L4" s="6" t="str">
        <f>IFERROR(__xludf.DUMMYFUNCTION("""COMPUTED_VALUE"""),"Казаков")</f>
        <v>Казаков</v>
      </c>
      <c r="M4" s="8">
        <f>IFERROR(__xludf.DUMMYFUNCTION("""COMPUTED_VALUE"""),44238.0)</f>
        <v>44238</v>
      </c>
      <c r="N4" s="6" t="str">
        <f>IFERROR(__xludf.DUMMYFUNCTION("""COMPUTED_VALUE"""),"NL673253570B01")</f>
        <v>NL673253570B01</v>
      </c>
      <c r="O4" s="6">
        <f>IFERROR(__xludf.DUMMYFUNCTION("""COMPUTED_VALUE"""),8.2225443E7)</f>
        <v>82225443</v>
      </c>
      <c r="P4" s="6" t="str">
        <f>IFERROR(__xludf.DUMMYFUNCTION("""COMPUTED_VALUE"""),"NL87INGB0007300808")</f>
        <v>NL87INGB0007300808</v>
      </c>
      <c r="Q4" s="9">
        <f>IFERROR(__xludf.DUMMYFUNCTION("""COMPUTED_VALUE"""),44238.0)</f>
        <v>44238</v>
      </c>
      <c r="R4" s="6"/>
      <c r="S4" s="6" t="str">
        <f>IFERROR(__xludf.DUMMYFUNCTION("""COMPUTED_VALUE"""),"NL003657916B47")</f>
        <v>NL003657916B47</v>
      </c>
      <c r="T4" s="6">
        <f>IFERROR(__xludf.DUMMYFUNCTION("""COMPUTED_VALUE"""),6.7325357E8)</f>
        <v>673253570</v>
      </c>
      <c r="U4" s="7" t="str">
        <f>IFERROR(__xludf.DUMMYFUNCTION("""COMPUTED_VALUE"""),"Eenmanszaak")</f>
        <v>Eenmanszaak</v>
      </c>
      <c r="V4" s="7" t="str">
        <f>IFERROR(__xludf.DUMMYFUNCTION("""COMPUTED_VALUE"""),"000048473502")</f>
        <v>000048473502</v>
      </c>
      <c r="W4" s="6" t="str">
        <f>IFERROR(__xludf.DUMMYFUNCTION("""COMPUTED_VALUE"""),"ink.aakazakov.2288aa@zarabota.nl")</f>
        <v>ink.aakazakov.2288aa@zarabota.nl</v>
      </c>
      <c r="X4" s="6" t="str">
        <f>IFERROR(__xludf.DUMMYFUNCTION("""COMPUTED_VALUE"""),"ver.aakazakov.2288aa@zarabota.nl")</f>
        <v>ver.aakazakov.2288aa@zarabota.nl</v>
      </c>
      <c r="Y4" s="6" t="str">
        <f>IFERROR(__xludf.DUMMYFUNCTION("""COMPUTED_VALUE"""),"Hr.")</f>
        <v>Hr.</v>
      </c>
      <c r="Z4" s="6" t="str">
        <f>IFERROR(__xludf.DUMMYFUNCTION("""COMPUTED_VALUE"""),"Asen Andreev")</f>
        <v>Asen Andreev</v>
      </c>
      <c r="AA4" s="6" t="str">
        <f>IFERROR(__xludf.DUMMYFUNCTION("""COMPUTED_VALUE"""),"Kazakov")</f>
        <v>Kazakov</v>
      </c>
      <c r="AB4" s="6" t="str">
        <f>IFERROR(__xludf.DUMMYFUNCTION("""COMPUTED_VALUE"""),"A.A.")</f>
        <v>A.A.</v>
      </c>
      <c r="AC4" s="6">
        <f>IFERROR(__xludf.DUMMYFUNCTION("""COMPUTED_VALUE"""),6.7325357E8)</f>
        <v>673253570</v>
      </c>
      <c r="AD4" s="9">
        <f>IFERROR(__xludf.DUMMYFUNCTION("""COMPUTED_VALUE"""),28527.0)</f>
        <v>28527</v>
      </c>
      <c r="AE4" s="6" t="str">
        <f>IFERROR(__xludf.DUMMYFUNCTION("""COMPUTED_VALUE"""),"bg")</f>
        <v>bg</v>
      </c>
      <c r="AF4" s="6" t="str">
        <f>IFERROR(__xludf.DUMMYFUNCTION("""COMPUTED_VALUE"""),"Svilengrad")</f>
        <v>Svilengrad</v>
      </c>
      <c r="AG4" s="6" t="str">
        <f>IFERROR(__xludf.DUMMYFUNCTION("""COMPUTED_VALUE"""),"Hr. A.A. Kazakov")</f>
        <v>Hr. A.A. Kazakov</v>
      </c>
      <c r="AH4" s="6" t="str">
        <f>IFERROR(__xludf.DUMMYFUNCTION("""COMPUTED_VALUE"""),"NL46INGB0796616833")</f>
        <v>NL46INGB0796616833</v>
      </c>
      <c r="AI4" s="9">
        <f>IFERROR(__xludf.DUMMYFUNCTION("""COMPUTED_VALUE"""),43727.0)</f>
        <v>43727</v>
      </c>
      <c r="AJ4" s="6" t="str">
        <f>IFERROR(__xludf.DUMMYFUNCTION("""COMPUTED_VALUE"""),"ID Kaart")</f>
        <v>ID Kaart</v>
      </c>
      <c r="AK4" s="6">
        <f>IFERROR(__xludf.DUMMYFUNCTION("""COMPUTED_VALUE"""),6.46715056E8)</f>
        <v>646715056</v>
      </c>
      <c r="AL4" s="9">
        <f>IFERROR(__xludf.DUMMYFUNCTION("""COMPUTED_VALUE"""),46323.0)</f>
        <v>46323</v>
      </c>
      <c r="AM4" s="6" t="str">
        <f>IFERROR(__xludf.DUMMYFUNCTION("""COMPUTED_VALUE"""),"Bulgarije")</f>
        <v>Bulgarije</v>
      </c>
      <c r="AN4" s="6" t="str">
        <f>IFERROR(__xludf.DUMMYFUNCTION("""COMPUTED_VALUE"""),"Asen Andreev Kazakov")</f>
        <v>Asen Andreev Kazakov</v>
      </c>
      <c r="AO4" s="6">
        <f>IFERROR(__xludf.DUMMYFUNCTION("""COMPUTED_VALUE"""),1074.0)</f>
        <v>1074</v>
      </c>
    </row>
    <row r="5">
      <c r="A5" s="6" t="str">
        <f>IFERROR(__xludf.DUMMYFUNCTION("""COMPUTED_VALUE"""),"A.B. Mitev")</f>
        <v>A.B. Mitev</v>
      </c>
      <c r="B5" s="6" t="str">
        <f>IFERROR(__xludf.DUMMYFUNCTION("""COMPUTED_VALUE"""),"A.B. Mitev")</f>
        <v>A.B. Mitev</v>
      </c>
      <c r="C5" s="6">
        <f>IFERROR(__xludf.DUMMYFUNCTION("""COMPUTED_VALUE"""),923.0)</f>
        <v>923</v>
      </c>
      <c r="D5" s="7" t="str">
        <f>IFERROR(__xludf.DUMMYFUNCTION("""COMPUTED_VALUE"""),"Atanas Borisov Mitev")</f>
        <v>Atanas Borisov Mitev</v>
      </c>
      <c r="E5" s="7" t="str">
        <f>IFERROR(__xludf.DUMMYFUNCTION("""COMPUTED_VALUE"""),"SBI-code: 4120 - Algemene burgerlijke en utiliteitsbouw")</f>
        <v>SBI-code: 4120 - Algemene burgerlijke en utiliteitsbouw</v>
      </c>
      <c r="F5" s="7" t="str">
        <f>IFERROR(__xludf.DUMMYFUNCTION("""COMPUTED_VALUE"""),"0684083090")</f>
        <v>0684083090</v>
      </c>
      <c r="G5" s="6" t="str">
        <f>IFERROR(__xludf.DUMMYFUNCTION("""COMPUTED_VALUE"""),"atanas.borisov.mitev@gmail.com")</f>
        <v>atanas.borisov.mitev@gmail.com</v>
      </c>
      <c r="H5" s="6" t="str">
        <f>IFERROR(__xludf.DUMMYFUNCTION("""COMPUTED_VALUE"""),"Dautzenbergstraat 21")</f>
        <v>Dautzenbergstraat 21</v>
      </c>
      <c r="I5" s="6" t="str">
        <f>IFERROR(__xludf.DUMMYFUNCTION("""COMPUTED_VALUE"""),"2523KB")</f>
        <v>2523KB</v>
      </c>
      <c r="J5" s="6" t="str">
        <f>IFERROR(__xludf.DUMMYFUNCTION("""COMPUTED_VALUE"""),"s-Gravenhage")</f>
        <v>s-Gravenhage</v>
      </c>
      <c r="K5" s="6" t="str">
        <f>IFERROR(__xludf.DUMMYFUNCTION("""COMPUTED_VALUE"""),"Nederland")</f>
        <v>Nederland</v>
      </c>
      <c r="L5" s="6" t="str">
        <f>IFERROR(__xludf.DUMMYFUNCTION("""COMPUTED_VALUE"""),"Митев")</f>
        <v>Митев</v>
      </c>
      <c r="M5" s="8">
        <f>IFERROR(__xludf.DUMMYFUNCTION("""COMPUTED_VALUE"""),43881.0)</f>
        <v>43881</v>
      </c>
      <c r="N5" s="6" t="str">
        <f>IFERROR(__xludf.DUMMYFUNCTION("""COMPUTED_VALUE"""),"NL454395681B02")</f>
        <v>NL454395681B02</v>
      </c>
      <c r="O5" s="6">
        <f>IFERROR(__xludf.DUMMYFUNCTION("""COMPUTED_VALUE"""),7.6889084E7)</f>
        <v>76889084</v>
      </c>
      <c r="P5" s="6" t="str">
        <f>IFERROR(__xludf.DUMMYFUNCTION("""COMPUTED_VALUE"""),"NL91INGB0007017981")</f>
        <v>NL91INGB0007017981</v>
      </c>
      <c r="Q5" s="9">
        <f>IFERROR(__xludf.DUMMYFUNCTION("""COMPUTED_VALUE"""),43836.0)</f>
        <v>43836</v>
      </c>
      <c r="R5" s="6"/>
      <c r="S5" s="6" t="str">
        <f>IFERROR(__xludf.DUMMYFUNCTION("""COMPUTED_VALUE"""),"NL003142606B73")</f>
        <v>NL003142606B73</v>
      </c>
      <c r="T5" s="6">
        <f>IFERROR(__xludf.DUMMYFUNCTION("""COMPUTED_VALUE"""),4.54395681E8)</f>
        <v>454395681</v>
      </c>
      <c r="U5" s="7" t="str">
        <f>IFERROR(__xludf.DUMMYFUNCTION("""COMPUTED_VALUE"""),"Eenmanszaak")</f>
        <v>Eenmanszaak</v>
      </c>
      <c r="V5" s="7" t="str">
        <f>IFERROR(__xludf.DUMMYFUNCTION("""COMPUTED_VALUE"""),"000044627726")</f>
        <v>000044627726</v>
      </c>
      <c r="W5" s="6" t="str">
        <f>IFERROR(__xludf.DUMMYFUNCTION("""COMPUTED_VALUE"""),"ink.a.b.mitev.2288aa@zarabota.nl")</f>
        <v>ink.a.b.mitev.2288aa@zarabota.nl</v>
      </c>
      <c r="X5" s="6" t="str">
        <f>IFERROR(__xludf.DUMMYFUNCTION("""COMPUTED_VALUE"""),"ver.a.b.mitev.2288aa@zarabota.nl")</f>
        <v>ver.a.b.mitev.2288aa@zarabota.nl</v>
      </c>
      <c r="Y5" s="6" t="str">
        <f>IFERROR(__xludf.DUMMYFUNCTION("""COMPUTED_VALUE"""),"Hr.")</f>
        <v>Hr.</v>
      </c>
      <c r="Z5" s="6" t="str">
        <f>IFERROR(__xludf.DUMMYFUNCTION("""COMPUTED_VALUE"""),"Atanas Borisov")</f>
        <v>Atanas Borisov</v>
      </c>
      <c r="AA5" s="6" t="str">
        <f>IFERROR(__xludf.DUMMYFUNCTION("""COMPUTED_VALUE"""),"Mitev")</f>
        <v>Mitev</v>
      </c>
      <c r="AB5" s="6" t="str">
        <f>IFERROR(__xludf.DUMMYFUNCTION("""COMPUTED_VALUE"""),"A.B.")</f>
        <v>A.B.</v>
      </c>
      <c r="AC5" s="6">
        <f>IFERROR(__xludf.DUMMYFUNCTION("""COMPUTED_VALUE"""),4.54395681E8)</f>
        <v>454395681</v>
      </c>
      <c r="AD5" s="9">
        <f>IFERROR(__xludf.DUMMYFUNCTION("""COMPUTED_VALUE"""),27306.0)</f>
        <v>27306</v>
      </c>
      <c r="AE5" s="6" t="str">
        <f>IFERROR(__xludf.DUMMYFUNCTION("""COMPUTED_VALUE"""),"bg")</f>
        <v>bg</v>
      </c>
      <c r="AF5" s="6" t="str">
        <f>IFERROR(__xludf.DUMMYFUNCTION("""COMPUTED_VALUE"""),"Parvomay")</f>
        <v>Parvomay</v>
      </c>
      <c r="AG5" s="6" t="str">
        <f>IFERROR(__xludf.DUMMYFUNCTION("""COMPUTED_VALUE"""),"Hr. A.B. Mitev")</f>
        <v>Hr. A.B. Mitev</v>
      </c>
      <c r="AH5" s="6" t="str">
        <f>IFERROR(__xludf.DUMMYFUNCTION("""COMPUTED_VALUE"""),"NL56INGB0676666841")</f>
        <v>NL56INGB0676666841</v>
      </c>
      <c r="AI5" s="6"/>
      <c r="AJ5" s="6" t="str">
        <f>IFERROR(__xludf.DUMMYFUNCTION("""COMPUTED_VALUE"""),"ID Kaart")</f>
        <v>ID Kaart</v>
      </c>
      <c r="AK5" s="6">
        <f>IFERROR(__xludf.DUMMYFUNCTION("""COMPUTED_VALUE"""),6.45147859E8)</f>
        <v>645147859</v>
      </c>
      <c r="AL5" s="9">
        <f>IFERROR(__xludf.DUMMYFUNCTION("""COMPUTED_VALUE"""),45404.0)</f>
        <v>45404</v>
      </c>
      <c r="AM5" s="6" t="str">
        <f>IFERROR(__xludf.DUMMYFUNCTION("""COMPUTED_VALUE"""),"Bulgarije")</f>
        <v>Bulgarije</v>
      </c>
      <c r="AN5" s="6" t="str">
        <f>IFERROR(__xludf.DUMMYFUNCTION("""COMPUTED_VALUE"""),"Atanas Borisov Mitev")</f>
        <v>Atanas Borisov Mitev</v>
      </c>
      <c r="AO5" s="6"/>
    </row>
    <row r="6">
      <c r="A6" s="6" t="str">
        <f>IFERROR(__xludf.DUMMYFUNCTION("""COMPUTED_VALUE"""),"A.R.S. 89")</f>
        <v>A.R.S. 89</v>
      </c>
      <c r="B6" s="6" t="str">
        <f>IFERROR(__xludf.DUMMYFUNCTION("""COMPUTED_VALUE"""),"A.R.S. 89")</f>
        <v>A.R.S. 89</v>
      </c>
      <c r="C6" s="6">
        <f>IFERROR(__xludf.DUMMYFUNCTION("""COMPUTED_VALUE"""),672.0)</f>
        <v>672</v>
      </c>
      <c r="D6" s="7" t="str">
        <f>IFERROR(__xludf.DUMMYFUNCTION("""COMPUTED_VALUE"""),"Aliosman Ramadan Shefket")</f>
        <v>Aliosman Ramadan Shefket</v>
      </c>
      <c r="E6" s="7" t="str">
        <f>IFERROR(__xludf.DUMMYFUNCTION("""COMPUTED_VALUE"""),"SBI-code: 4120 - Algemene burgerlijke en utiliteitsbouw")</f>
        <v>SBI-code: 4120 - Algemene burgerlijke en utiliteitsbouw</v>
      </c>
      <c r="F6" s="7" t="str">
        <f>IFERROR(__xludf.DUMMYFUNCTION("""COMPUTED_VALUE"""),"0638663285")</f>
        <v>0638663285</v>
      </c>
      <c r="G6" s="6" t="str">
        <f>IFERROR(__xludf.DUMMYFUNCTION("""COMPUTED_VALUE"""),"aliosman123987@abv.bg")</f>
        <v>aliosman123987@abv.bg</v>
      </c>
      <c r="H6" s="6" t="str">
        <f>IFERROR(__xludf.DUMMYFUNCTION("""COMPUTED_VALUE"""),"Jan van der Heijdenstraat 90")</f>
        <v>Jan van der Heijdenstraat 90</v>
      </c>
      <c r="I6" s="6" t="str">
        <f>IFERROR(__xludf.DUMMYFUNCTION("""COMPUTED_VALUE"""),"2522ES")</f>
        <v>2522ES</v>
      </c>
      <c r="J6" s="6" t="str">
        <f>IFERROR(__xludf.DUMMYFUNCTION("""COMPUTED_VALUE"""),"s-Gravenhage")</f>
        <v>s-Gravenhage</v>
      </c>
      <c r="K6" s="6" t="str">
        <f>IFERROR(__xludf.DUMMYFUNCTION("""COMPUTED_VALUE"""),"Nederland")</f>
        <v>Nederland</v>
      </c>
      <c r="L6" s="6" t="str">
        <f>IFERROR(__xludf.DUMMYFUNCTION("""COMPUTED_VALUE"""),"Шефкет")</f>
        <v>Шефкет</v>
      </c>
      <c r="M6" s="8">
        <f>IFERROR(__xludf.DUMMYFUNCTION("""COMPUTED_VALUE"""),43472.0)</f>
        <v>43472</v>
      </c>
      <c r="N6" s="6" t="str">
        <f>IFERROR(__xludf.DUMMYFUNCTION("""COMPUTED_VALUE"""),"NL395720655B01")</f>
        <v>NL395720655B01</v>
      </c>
      <c r="O6" s="6">
        <f>IFERROR(__xludf.DUMMYFUNCTION("""COMPUTED_VALUE"""),7.3604445E7)</f>
        <v>73604445</v>
      </c>
      <c r="P6" s="6" t="str">
        <f>IFERROR(__xludf.DUMMYFUNCTION("""COMPUTED_VALUE"""),"NL64INGB0009118711")</f>
        <v>NL64INGB0009118711</v>
      </c>
      <c r="Q6" s="9">
        <f>IFERROR(__xludf.DUMMYFUNCTION("""COMPUTED_VALUE"""),43472.0)</f>
        <v>43472</v>
      </c>
      <c r="R6" s="6"/>
      <c r="S6" s="6" t="str">
        <f>IFERROR(__xludf.DUMMYFUNCTION("""COMPUTED_VALUE"""),"NL002478396B47")</f>
        <v>NL002478396B47</v>
      </c>
      <c r="T6" s="6">
        <f>IFERROR(__xludf.DUMMYFUNCTION("""COMPUTED_VALUE"""),3.95720655E8)</f>
        <v>395720655</v>
      </c>
      <c r="U6" s="7" t="str">
        <f>IFERROR(__xludf.DUMMYFUNCTION("""COMPUTED_VALUE"""),"Eenmanszaak")</f>
        <v>Eenmanszaak</v>
      </c>
      <c r="V6" s="7" t="str">
        <f>IFERROR(__xludf.DUMMYFUNCTION("""COMPUTED_VALUE"""),"000041623010")</f>
        <v>000041623010</v>
      </c>
      <c r="W6" s="6" t="str">
        <f>IFERROR(__xludf.DUMMYFUNCTION("""COMPUTED_VALUE"""),"ink.a.r.s.89.2288aa@zarabota.nl")</f>
        <v>ink.a.r.s.89.2288aa@zarabota.nl</v>
      </c>
      <c r="X6" s="6" t="str">
        <f>IFERROR(__xludf.DUMMYFUNCTION("""COMPUTED_VALUE"""),"ver.a.r.s.89.2288aa@zarabota.nl")</f>
        <v>ver.a.r.s.89.2288aa@zarabota.nl</v>
      </c>
      <c r="Y6" s="6" t="str">
        <f>IFERROR(__xludf.DUMMYFUNCTION("""COMPUTED_VALUE"""),"Hr.")</f>
        <v>Hr.</v>
      </c>
      <c r="Z6" s="6" t="str">
        <f>IFERROR(__xludf.DUMMYFUNCTION("""COMPUTED_VALUE"""),"Aliosman Ramadan")</f>
        <v>Aliosman Ramadan</v>
      </c>
      <c r="AA6" s="6" t="str">
        <f>IFERROR(__xludf.DUMMYFUNCTION("""COMPUTED_VALUE"""),"Shefket")</f>
        <v>Shefket</v>
      </c>
      <c r="AB6" s="6" t="str">
        <f>IFERROR(__xludf.DUMMYFUNCTION("""COMPUTED_VALUE"""),"A.R.")</f>
        <v>A.R.</v>
      </c>
      <c r="AC6" s="6">
        <f>IFERROR(__xludf.DUMMYFUNCTION("""COMPUTED_VALUE"""),3.95720655E8)</f>
        <v>395720655</v>
      </c>
      <c r="AD6" s="9">
        <f>IFERROR(__xludf.DUMMYFUNCTION("""COMPUTED_VALUE"""),32662.0)</f>
        <v>32662</v>
      </c>
      <c r="AE6" s="6" t="str">
        <f>IFERROR(__xludf.DUMMYFUNCTION("""COMPUTED_VALUE"""),"bg")</f>
        <v>bg</v>
      </c>
      <c r="AF6" s="6" t="str">
        <f>IFERROR(__xludf.DUMMYFUNCTION("""COMPUTED_VALUE"""),"Haskovo")</f>
        <v>Haskovo</v>
      </c>
      <c r="AG6" s="6" t="str">
        <f>IFERROR(__xludf.DUMMYFUNCTION("""COMPUTED_VALUE"""),"Hr. A.R. Shefket")</f>
        <v>Hr. A.R. Shefket</v>
      </c>
      <c r="AH6" s="6"/>
      <c r="AI6" s="6"/>
      <c r="AJ6" s="6"/>
      <c r="AK6" s="6"/>
      <c r="AL6" s="6"/>
      <c r="AM6" s="6"/>
      <c r="AN6" s="6" t="str">
        <f>IFERROR(__xludf.DUMMYFUNCTION("""COMPUTED_VALUE"""),"Aliosman Ramadan Shefket")</f>
        <v>Aliosman Ramadan Shefket</v>
      </c>
      <c r="AO6" s="6"/>
    </row>
    <row r="7">
      <c r="A7" s="6" t="str">
        <f>IFERROR(__xludf.DUMMYFUNCTION("""COMPUTED_VALUE"""),"A1 Maatwerk B.V.")</f>
        <v>A1 Maatwerk B.V.</v>
      </c>
      <c r="B7" s="6" t="str">
        <f>IFERROR(__xludf.DUMMYFUNCTION("""COMPUTED_VALUE"""),"A1 Maatwerk B.V.")</f>
        <v>A1 Maatwerk B.V.</v>
      </c>
      <c r="C7" s="6">
        <f>IFERROR(__xludf.DUMMYFUNCTION("""COMPUTED_VALUE"""),1750.0)</f>
        <v>1750</v>
      </c>
      <c r="D7" s="7" t="str">
        <f>IFERROR(__xludf.DUMMYFUNCTION("""COMPUTED_VALUE"""),"Anatoliy Viktorovich Volyanyuk")</f>
        <v>Anatoliy Viktorovich Volyanyuk</v>
      </c>
      <c r="E7" s="7" t="str">
        <f>IFERROR(__xludf.DUMMYFUNCTION("""COMPUTED_VALUE"""),"SBI-code: 4120 - Algemene burgerlijke en utiliteitsbouw")</f>
        <v>SBI-code: 4120 - Algemene burgerlijke en utiliteitsbouw</v>
      </c>
      <c r="F7" s="7" t="str">
        <f>IFERROR(__xludf.DUMMYFUNCTION("""COMPUTED_VALUE"""),"0612374803")</f>
        <v>0612374803</v>
      </c>
      <c r="G7" s="6" t="str">
        <f>IFERROR(__xludf.DUMMYFUNCTION("""COMPUTED_VALUE"""),"a1maatwerkbv@gmail.com")</f>
        <v>a1maatwerkbv@gmail.com</v>
      </c>
      <c r="H7" s="6" t="str">
        <f>IFERROR(__xludf.DUMMYFUNCTION("""COMPUTED_VALUE"""),"B. Thoenplantsoen 26")</f>
        <v>B. Thoenplantsoen 26</v>
      </c>
      <c r="I7" s="6" t="str">
        <f>IFERROR(__xludf.DUMMYFUNCTION("""COMPUTED_VALUE"""),"2552JK")</f>
        <v>2552JK</v>
      </c>
      <c r="J7" s="6" t="str">
        <f>IFERROR(__xludf.DUMMYFUNCTION("""COMPUTED_VALUE"""),"s-Gravenhage")</f>
        <v>s-Gravenhage</v>
      </c>
      <c r="K7" s="6" t="str">
        <f>IFERROR(__xludf.DUMMYFUNCTION("""COMPUTED_VALUE"""),"Nederland")</f>
        <v>Nederland</v>
      </c>
      <c r="L7" s="6" t="str">
        <f>IFERROR(__xludf.DUMMYFUNCTION("""COMPUTED_VALUE"""),"Волянук")</f>
        <v>Волянук</v>
      </c>
      <c r="M7" s="8">
        <f>IFERROR(__xludf.DUMMYFUNCTION("""COMPUTED_VALUE"""),45966.0)</f>
        <v>45966</v>
      </c>
      <c r="N7" s="6" t="str">
        <f>IFERROR(__xludf.DUMMYFUNCTION("""COMPUTED_VALUE"""),"NL868638432B01")</f>
        <v>NL868638432B01</v>
      </c>
      <c r="O7" s="6">
        <f>IFERROR(__xludf.DUMMYFUNCTION("""COMPUTED_VALUE"""),9.8776592E7)</f>
        <v>98776592</v>
      </c>
      <c r="P7" s="6" t="str">
        <f>IFERROR(__xludf.DUMMYFUNCTION("""COMPUTED_VALUE"""),"NL43INGB0117562858")</f>
        <v>NL43INGB0117562858</v>
      </c>
      <c r="Q7" s="9">
        <f>IFERROR(__xludf.DUMMYFUNCTION("""COMPUTED_VALUE"""),45966.0)</f>
        <v>45966</v>
      </c>
      <c r="R7" s="6"/>
      <c r="S7" s="6" t="str">
        <f>IFERROR(__xludf.DUMMYFUNCTION("""COMPUTED_VALUE"""),"NL868638432B01")</f>
        <v>NL868638432B01</v>
      </c>
      <c r="T7" s="6">
        <f>IFERROR(__xludf.DUMMYFUNCTION("""COMPUTED_VALUE"""),8.68638432E8)</f>
        <v>868638432</v>
      </c>
      <c r="U7" s="7" t="str">
        <f>IFERROR(__xludf.DUMMYFUNCTION("""COMPUTED_VALUE"""),"Besloten Vennootschap")</f>
        <v>Besloten Vennootschap</v>
      </c>
      <c r="V7" s="7" t="str">
        <f>IFERROR(__xludf.DUMMYFUNCTION("""COMPUTED_VALUE"""),"000063917092")</f>
        <v>000063917092</v>
      </c>
      <c r="W7" s="6" t="str">
        <f>IFERROR(__xludf.DUMMYFUNCTION("""COMPUTED_VALUE"""),"ink.a1maatwerk.2288aa@zarabota.nl")</f>
        <v>ink.a1maatwerk.2288aa@zarabota.nl</v>
      </c>
      <c r="X7" s="6" t="str">
        <f>IFERROR(__xludf.DUMMYFUNCTION("""COMPUTED_VALUE"""),"ver.a1maatwerk.2288aa@zarabota.nl")</f>
        <v>ver.a1maatwerk.2288aa@zarabota.nl</v>
      </c>
      <c r="Y7" s="6" t="str">
        <f>IFERROR(__xludf.DUMMYFUNCTION("""COMPUTED_VALUE"""),"Hr.")</f>
        <v>Hr.</v>
      </c>
      <c r="Z7" s="6" t="str">
        <f>IFERROR(__xludf.DUMMYFUNCTION("""COMPUTED_VALUE"""),"Anatoliy Viktorovich")</f>
        <v>Anatoliy Viktorovich</v>
      </c>
      <c r="AA7" s="6" t="str">
        <f>IFERROR(__xludf.DUMMYFUNCTION("""COMPUTED_VALUE"""),"Volyanyuk")</f>
        <v>Volyanyuk</v>
      </c>
      <c r="AB7" s="6" t="str">
        <f>IFERROR(__xludf.DUMMYFUNCTION("""COMPUTED_VALUE"""),"A.V.")</f>
        <v>A.V.</v>
      </c>
      <c r="AC7" s="6">
        <f>IFERROR(__xludf.DUMMYFUNCTION("""COMPUTED_VALUE"""),5.65284769E8)</f>
        <v>565284769</v>
      </c>
      <c r="AD7" s="9">
        <f>IFERROR(__xludf.DUMMYFUNCTION("""COMPUTED_VALUE"""),29473.0)</f>
        <v>29473</v>
      </c>
      <c r="AE7" s="6" t="str">
        <f>IFERROR(__xludf.DUMMYFUNCTION("""COMPUTED_VALUE"""),"bg")</f>
        <v>bg</v>
      </c>
      <c r="AF7" s="6" t="str">
        <f>IFERROR(__xludf.DUMMYFUNCTION("""COMPUTED_VALUE"""),"Zalozhtsi")</f>
        <v>Zalozhtsi</v>
      </c>
      <c r="AG7" s="6" t="str">
        <f>IFERROR(__xludf.DUMMYFUNCTION("""COMPUTED_VALUE"""),"Hr. A.V. Volyanyuk")</f>
        <v>Hr. A.V. Volyanyuk</v>
      </c>
      <c r="AH7" s="6"/>
      <c r="AI7" s="6"/>
      <c r="AJ7" s="6"/>
      <c r="AK7" s="6"/>
      <c r="AL7" s="6"/>
      <c r="AM7" s="6"/>
      <c r="AN7" s="6" t="str">
        <f>IFERROR(__xludf.DUMMYFUNCTION("""COMPUTED_VALUE"""),"Anatoliy Viktorovich Volyanyuk")</f>
        <v>Anatoliy Viktorovich Volyanyuk</v>
      </c>
      <c r="AO7" s="6">
        <f>IFERROR(__xludf.DUMMYFUNCTION("""COMPUTED_VALUE"""),1750.0)</f>
        <v>1750</v>
      </c>
    </row>
    <row r="8">
      <c r="A8" s="6" t="str">
        <f>IFERROR(__xludf.DUMMYFUNCTION("""COMPUTED_VALUE"""),"ABZ Bouw")</f>
        <v>ABZ Bouw</v>
      </c>
      <c r="B8" s="6" t="str">
        <f>IFERROR(__xludf.DUMMYFUNCTION("""COMPUTED_VALUE"""),"ABZ Bouw")</f>
        <v>ABZ Bouw</v>
      </c>
      <c r="C8" s="6">
        <f>IFERROR(__xludf.DUMMYFUNCTION("""COMPUTED_VALUE"""),1680.0)</f>
        <v>1680</v>
      </c>
      <c r="D8" s="7" t="str">
        <f>IFERROR(__xludf.DUMMYFUNCTION("""COMPUTED_VALUE"""),"Zdravko Dimitrov Kovachev")</f>
        <v>Zdravko Dimitrov Kovachev</v>
      </c>
      <c r="E8" s="7" t="str">
        <f>IFERROR(__xludf.DUMMYFUNCTION("""COMPUTED_VALUE"""),"SBI-code: 4120 - Algemene burgerlijke en utiliteitsbouw")</f>
        <v>SBI-code: 4120 - Algemene burgerlijke en utiliteitsbouw</v>
      </c>
      <c r="F8" s="7" t="str">
        <f>IFERROR(__xludf.DUMMYFUNCTION("""COMPUTED_VALUE"""),"0653958410")</f>
        <v>0653958410</v>
      </c>
      <c r="G8" s="6" t="str">
        <f>IFERROR(__xludf.DUMMYFUNCTION("""COMPUTED_VALUE"""),"zdravkokovachev09@gmail.com")</f>
        <v>zdravkokovachev09@gmail.com</v>
      </c>
      <c r="H8" s="6" t="str">
        <f>IFERROR(__xludf.DUMMYFUNCTION("""COMPUTED_VALUE"""),"Van Merlenstraat 58")</f>
        <v>Van Merlenstraat 58</v>
      </c>
      <c r="I8" s="6" t="str">
        <f>IFERROR(__xludf.DUMMYFUNCTION("""COMPUTED_VALUE"""),"2518TG")</f>
        <v>2518TG</v>
      </c>
      <c r="J8" s="6" t="str">
        <f>IFERROR(__xludf.DUMMYFUNCTION("""COMPUTED_VALUE"""),"s-Gravenhage")</f>
        <v>s-Gravenhage</v>
      </c>
      <c r="K8" s="6" t="str">
        <f>IFERROR(__xludf.DUMMYFUNCTION("""COMPUTED_VALUE"""),"Nederland")</f>
        <v>Nederland</v>
      </c>
      <c r="L8" s="6" t="str">
        <f>IFERROR(__xludf.DUMMYFUNCTION("""COMPUTED_VALUE"""),"Ковачев")</f>
        <v>Ковачев</v>
      </c>
      <c r="M8" s="8">
        <f>IFERROR(__xludf.DUMMYFUNCTION("""COMPUTED_VALUE"""),45658.0)</f>
        <v>45658</v>
      </c>
      <c r="N8" s="6" t="str">
        <f>IFERROR(__xludf.DUMMYFUNCTION("""COMPUTED_VALUE"""),"NL398790942B01")</f>
        <v>NL398790942B01</v>
      </c>
      <c r="O8" s="6">
        <f>IFERROR(__xludf.DUMMYFUNCTION("""COMPUTED_VALUE"""),8.9949382E7)</f>
        <v>89949382</v>
      </c>
      <c r="P8" s="6" t="str">
        <f>IFERROR(__xludf.DUMMYFUNCTION("""COMPUTED_VALUE"""),"NL63INGB0104257687")</f>
        <v>NL63INGB0104257687</v>
      </c>
      <c r="Q8" s="9">
        <f>IFERROR(__xludf.DUMMYFUNCTION("""COMPUTED_VALUE"""),45034.0)</f>
        <v>45034</v>
      </c>
      <c r="R8" s="6"/>
      <c r="S8" s="6" t="str">
        <f>IFERROR(__xludf.DUMMYFUNCTION("""COMPUTED_VALUE"""),"NL004774766B22")</f>
        <v>NL004774766B22</v>
      </c>
      <c r="T8" s="6">
        <f>IFERROR(__xludf.DUMMYFUNCTION("""COMPUTED_VALUE"""),3.98790942E8)</f>
        <v>398790942</v>
      </c>
      <c r="U8" s="7" t="str">
        <f>IFERROR(__xludf.DUMMYFUNCTION("""COMPUTED_VALUE"""),"Eenmanszaak")</f>
        <v>Eenmanszaak</v>
      </c>
      <c r="V8" s="7" t="str">
        <f>IFERROR(__xludf.DUMMYFUNCTION("""COMPUTED_VALUE"""),"000055705510")</f>
        <v>000055705510</v>
      </c>
      <c r="W8" s="6" t="str">
        <f>IFERROR(__xludf.DUMMYFUNCTION("""COMPUTED_VALUE"""),"ink.abzbouw.2288aa@zarabota.nl")</f>
        <v>ink.abzbouw.2288aa@zarabota.nl</v>
      </c>
      <c r="X8" s="6" t="str">
        <f>IFERROR(__xludf.DUMMYFUNCTION("""COMPUTED_VALUE"""),"ver.abzbouw.2288aa@zarabota.nl")</f>
        <v>ver.abzbouw.2288aa@zarabota.nl</v>
      </c>
      <c r="Y8" s="6" t="str">
        <f>IFERROR(__xludf.DUMMYFUNCTION("""COMPUTED_VALUE"""),"Hr.")</f>
        <v>Hr.</v>
      </c>
      <c r="Z8" s="6" t="str">
        <f>IFERROR(__xludf.DUMMYFUNCTION("""COMPUTED_VALUE"""),"Zdravko Dimitrov")</f>
        <v>Zdravko Dimitrov</v>
      </c>
      <c r="AA8" s="6" t="str">
        <f>IFERROR(__xludf.DUMMYFUNCTION("""COMPUTED_VALUE"""),"Kovachev")</f>
        <v>Kovachev</v>
      </c>
      <c r="AB8" s="6" t="str">
        <f>IFERROR(__xludf.DUMMYFUNCTION("""COMPUTED_VALUE"""),"Z.D.")</f>
        <v>Z.D.</v>
      </c>
      <c r="AC8" s="6">
        <f>IFERROR(__xludf.DUMMYFUNCTION("""COMPUTED_VALUE"""),3.98790942E8)</f>
        <v>398790942</v>
      </c>
      <c r="AD8" s="9">
        <f>IFERROR(__xludf.DUMMYFUNCTION("""COMPUTED_VALUE"""),31064.0)</f>
        <v>31064</v>
      </c>
      <c r="AE8" s="6" t="str">
        <f>IFERROR(__xludf.DUMMYFUNCTION("""COMPUTED_VALUE"""),"bg")</f>
        <v>bg</v>
      </c>
      <c r="AF8" s="6" t="str">
        <f>IFERROR(__xludf.DUMMYFUNCTION("""COMPUTED_VALUE"""),"Madan")</f>
        <v>Madan</v>
      </c>
      <c r="AG8" s="6" t="str">
        <f>IFERROR(__xludf.DUMMYFUNCTION("""COMPUTED_VALUE"""),"Hr. Z.D. Kovachev")</f>
        <v>Hr. Z.D. Kovachev</v>
      </c>
      <c r="AH8" s="6"/>
      <c r="AI8" s="6"/>
      <c r="AJ8" s="6" t="str">
        <f>IFERROR(__xludf.DUMMYFUNCTION("""COMPUTED_VALUE"""),"ID Kaart")</f>
        <v>ID Kaart</v>
      </c>
      <c r="AK8" s="6">
        <f>IFERROR(__xludf.DUMMYFUNCTION("""COMPUTED_VALUE"""),6.46769218E8)</f>
        <v>646769218</v>
      </c>
      <c r="AL8" s="9">
        <f>IFERROR(__xludf.DUMMYFUNCTION("""COMPUTED_VALUE"""),46371.0)</f>
        <v>46371</v>
      </c>
      <c r="AM8" s="6" t="str">
        <f>IFERROR(__xludf.DUMMYFUNCTION("""COMPUTED_VALUE"""),"Bulgarije")</f>
        <v>Bulgarije</v>
      </c>
      <c r="AN8" s="6" t="str">
        <f>IFERROR(__xludf.DUMMYFUNCTION("""COMPUTED_VALUE"""),"Zdravko Dimitrov Kovachev")</f>
        <v>Zdravko Dimitrov Kovachev</v>
      </c>
      <c r="AO8" s="6">
        <f>IFERROR(__xludf.DUMMYFUNCTION("""COMPUTED_VALUE"""),1680.0)</f>
        <v>1680</v>
      </c>
    </row>
    <row r="9">
      <c r="A9" s="6" t="str">
        <f>IFERROR(__xludf.DUMMYFUNCTION("""COMPUTED_VALUE"""),"ADEN 71 LTD")</f>
        <v>ADEN 71 LTD</v>
      </c>
      <c r="B9" s="6" t="str">
        <f>IFERROR(__xludf.DUMMYFUNCTION("""COMPUTED_VALUE"""),"ADEN 71 LTD")</f>
        <v>ADEN 71 LTD</v>
      </c>
      <c r="C9" s="6">
        <f>IFERROR(__xludf.DUMMYFUNCTION("""COMPUTED_VALUE"""),0.0)</f>
        <v>0</v>
      </c>
      <c r="D9" s="7" t="str">
        <f>IFERROR(__xludf.DUMMYFUNCTION("""COMPUTED_VALUE"""),"Svetozar Boyanov Semerdzhiev")</f>
        <v>Svetozar Boyanov Semerdzhiev</v>
      </c>
      <c r="E9" s="7" t="str">
        <f>IFERROR(__xludf.DUMMYFUNCTION("""COMPUTED_VALUE"""),"SBI-code: 4941 - Goederenvervoer over de weg (geen verhuizingen)")</f>
        <v>SBI-code: 4941 - Goederenvervoer over de weg (geen verhuizingen)</v>
      </c>
      <c r="F9" s="7" t="str">
        <f>IFERROR(__xludf.DUMMYFUNCTION("""COMPUTED_VALUE"""),"+359897829481")</f>
        <v>+359897829481</v>
      </c>
      <c r="G9" s="6" t="str">
        <f>IFERROR(__xludf.DUMMYFUNCTION("""COMPUTED_VALUE"""),"svetlio710623@gmail.com")</f>
        <v>svetlio710623@gmail.com</v>
      </c>
      <c r="H9" s="6" t="str">
        <f>IFERROR(__xludf.DUMMYFUNCTION("""COMPUTED_VALUE"""),"Hristo Smirnenski 3")</f>
        <v>Hristo Smirnenski 3</v>
      </c>
      <c r="I9" s="6">
        <f>IFERROR(__xludf.DUMMYFUNCTION("""COMPUTED_VALUE"""),2000.0)</f>
        <v>2000</v>
      </c>
      <c r="J9" s="6" t="str">
        <f>IFERROR(__xludf.DUMMYFUNCTION("""COMPUTED_VALUE"""),"Samokov")</f>
        <v>Samokov</v>
      </c>
      <c r="K9" s="6" t="str">
        <f>IFERROR(__xludf.DUMMYFUNCTION("""COMPUTED_VALUE"""),"Bulgarije")</f>
        <v>Bulgarije</v>
      </c>
      <c r="L9" s="6" t="str">
        <f>IFERROR(__xludf.DUMMYFUNCTION("""COMPUTED_VALUE"""),"Семерджиев")</f>
        <v>Семерджиев</v>
      </c>
      <c r="M9" s="8">
        <f>IFERROR(__xludf.DUMMYFUNCTION("""COMPUTED_VALUE"""),46014.0)</f>
        <v>46014</v>
      </c>
      <c r="N9" s="6" t="str">
        <f>IFERROR(__xludf.DUMMYFUNCTION("""COMPUTED_VALUE"""),"BG207227910")</f>
        <v>BG207227910</v>
      </c>
      <c r="O9" s="6">
        <f>IFERROR(__xludf.DUMMYFUNCTION("""COMPUTED_VALUE"""),2.0722791E8)</f>
        <v>207227910</v>
      </c>
      <c r="P9" s="6" t="str">
        <f>IFERROR(__xludf.DUMMYFUNCTION("""COMPUTED_VALUE"""),"BG48 BPBI 7939 1480 5255 01")</f>
        <v>BG48 BPBI 7939 1480 5255 01</v>
      </c>
      <c r="Q9" s="9">
        <f>IFERROR(__xludf.DUMMYFUNCTION("""COMPUTED_VALUE"""),44945.0)</f>
        <v>44945</v>
      </c>
      <c r="R9" s="6"/>
      <c r="S9" s="6" t="str">
        <f>IFERROR(__xludf.DUMMYFUNCTION("""COMPUTED_VALUE"""),"BG207227910")</f>
        <v>BG207227910</v>
      </c>
      <c r="T9" s="6"/>
      <c r="U9" s="7" t="str">
        <f>IFERROR(__xludf.DUMMYFUNCTION("""COMPUTED_VALUE"""),"Eenmanszaak")</f>
        <v>Eenmanszaak</v>
      </c>
      <c r="V9" s="6"/>
      <c r="W9" s="6"/>
      <c r="X9" s="6"/>
      <c r="Y9" s="6" t="str">
        <f>IFERROR(__xludf.DUMMYFUNCTION("""COMPUTED_VALUE"""),"Hr.")</f>
        <v>Hr.</v>
      </c>
      <c r="Z9" s="6" t="str">
        <f>IFERROR(__xludf.DUMMYFUNCTION("""COMPUTED_VALUE"""),"Svetozar Boyanov")</f>
        <v>Svetozar Boyanov</v>
      </c>
      <c r="AA9" s="6" t="str">
        <f>IFERROR(__xludf.DUMMYFUNCTION("""COMPUTED_VALUE"""),"Semerdzhiev")</f>
        <v>Semerdzhiev</v>
      </c>
      <c r="AB9" s="6" t="str">
        <f>IFERROR(__xludf.DUMMYFUNCTION("""COMPUTED_VALUE"""),"S.B.")</f>
        <v>S.B.</v>
      </c>
      <c r="AC9" s="6">
        <f>IFERROR(__xludf.DUMMYFUNCTION("""COMPUTED_VALUE"""),7.1062373E9)</f>
        <v>7106237300</v>
      </c>
      <c r="AD9" s="9">
        <f>IFERROR(__xludf.DUMMYFUNCTION("""COMPUTED_VALUE"""),26107.0)</f>
        <v>26107</v>
      </c>
      <c r="AE9" s="6" t="str">
        <f>IFERROR(__xludf.DUMMYFUNCTION("""COMPUTED_VALUE"""),"bg")</f>
        <v>bg</v>
      </c>
      <c r="AF9" s="6" t="str">
        <f>IFERROR(__xludf.DUMMYFUNCTION("""COMPUTED_VALUE"""),"Sofia")</f>
        <v>Sofia</v>
      </c>
      <c r="AG9" s="6" t="str">
        <f>IFERROR(__xludf.DUMMYFUNCTION("""COMPUTED_VALUE"""),"Hr. S.B. Semerdzhiev")</f>
        <v>Hr. S.B. Semerdzhiev</v>
      </c>
      <c r="AH9" s="6"/>
      <c r="AI9" s="6"/>
      <c r="AJ9" s="6" t="str">
        <f>IFERROR(__xludf.DUMMYFUNCTION("""COMPUTED_VALUE"""),"ID Kaart")</f>
        <v>ID Kaart</v>
      </c>
      <c r="AK9" s="6">
        <f>IFERROR(__xludf.DUMMYFUNCTION("""COMPUTED_VALUE"""),6.49310512E8)</f>
        <v>649310512</v>
      </c>
      <c r="AL9" s="9">
        <f>IFERROR(__xludf.DUMMYFUNCTION("""COMPUTED_VALUE"""),47685.0)</f>
        <v>47685</v>
      </c>
      <c r="AM9" s="6" t="str">
        <f>IFERROR(__xludf.DUMMYFUNCTION("""COMPUTED_VALUE"""),"Bulgarije")</f>
        <v>Bulgarije</v>
      </c>
      <c r="AN9" s="6" t="str">
        <f>IFERROR(__xludf.DUMMYFUNCTION("""COMPUTED_VALUE"""),"Svetozar Boyanov Semerdzhiev")</f>
        <v>Svetozar Boyanov Semerdzhiev</v>
      </c>
      <c r="AO9" s="6"/>
    </row>
    <row r="10">
      <c r="A10" s="6" t="str">
        <f>IFERROR(__xludf.DUMMYFUNCTION("""COMPUTED_VALUE"""),"ADI 2018 VOF")</f>
        <v>ADI 2018 VOF</v>
      </c>
      <c r="B10" s="6" t="str">
        <f>IFERROR(__xludf.DUMMYFUNCTION("""COMPUTED_VALUE"""),"ADI 2018 VOF")</f>
        <v>ADI 2018 VOF</v>
      </c>
      <c r="C10" s="6">
        <f>IFERROR(__xludf.DUMMYFUNCTION("""COMPUTED_VALUE"""),513.0)</f>
        <v>513</v>
      </c>
      <c r="D10" s="7" t="str">
        <f>IFERROR(__xludf.DUMMYFUNCTION("""COMPUTED_VALUE"""),"Avram Stoyanov Shopov")</f>
        <v>Avram Stoyanov Shopov</v>
      </c>
      <c r="E10" s="7" t="str">
        <f>IFERROR(__xludf.DUMMYFUNCTION("""COMPUTED_VALUE"""),"SBI-code: 4120 - Algemene burgerlijke en utiliteitsbouw")</f>
        <v>SBI-code: 4120 - Algemene burgerlijke en utiliteitsbouw</v>
      </c>
      <c r="F10" s="7" t="str">
        <f>IFERROR(__xludf.DUMMYFUNCTION("""COMPUTED_VALUE"""),"0645025254")</f>
        <v>0645025254</v>
      </c>
      <c r="G10" s="6" t="str">
        <f>IFERROR(__xludf.DUMMYFUNCTION("""COMPUTED_VALUE"""),"anio198@abv.bg")</f>
        <v>anio198@abv.bg</v>
      </c>
      <c r="H10" s="6" t="str">
        <f>IFERROR(__xludf.DUMMYFUNCTION("""COMPUTED_VALUE"""),"Jan van der Heydenstraat 4")</f>
        <v>Jan van der Heydenstraat 4</v>
      </c>
      <c r="I10" s="6" t="str">
        <f>IFERROR(__xludf.DUMMYFUNCTION("""COMPUTED_VALUE"""),"2522EP")</f>
        <v>2522EP</v>
      </c>
      <c r="J10" s="6" t="str">
        <f>IFERROR(__xludf.DUMMYFUNCTION("""COMPUTED_VALUE"""),"s-Gravenhage")</f>
        <v>s-Gravenhage</v>
      </c>
      <c r="K10" s="6" t="str">
        <f>IFERROR(__xludf.DUMMYFUNCTION("""COMPUTED_VALUE"""),"Nederland")</f>
        <v>Nederland</v>
      </c>
      <c r="L10" s="6" t="str">
        <f>IFERROR(__xludf.DUMMYFUNCTION("""COMPUTED_VALUE"""),"Шопов")</f>
        <v>Шопов</v>
      </c>
      <c r="M10" s="8">
        <f>IFERROR(__xludf.DUMMYFUNCTION("""COMPUTED_VALUE"""),43132.0)</f>
        <v>43132</v>
      </c>
      <c r="N10" s="6" t="str">
        <f>IFERROR(__xludf.DUMMYFUNCTION("""COMPUTED_VALUE"""),"NL858521544B01")</f>
        <v>NL858521544B01</v>
      </c>
      <c r="O10" s="6">
        <f>IFERROR(__xludf.DUMMYFUNCTION("""COMPUTED_VALUE"""),7.0947279E7)</f>
        <v>70947279</v>
      </c>
      <c r="P10" s="6" t="str">
        <f>IFERROR(__xludf.DUMMYFUNCTION("""COMPUTED_VALUE"""),"NL24INGB0008227516")</f>
        <v>NL24INGB0008227516</v>
      </c>
      <c r="Q10" s="9">
        <f>IFERROR(__xludf.DUMMYFUNCTION("""COMPUTED_VALUE"""),43132.0)</f>
        <v>43132</v>
      </c>
      <c r="R10" s="6"/>
      <c r="S10" s="6" t="str">
        <f>IFERROR(__xludf.DUMMYFUNCTION("""COMPUTED_VALUE"""),"NL858521544B01")</f>
        <v>NL858521544B01</v>
      </c>
      <c r="T10" s="6">
        <f>IFERROR(__xludf.DUMMYFUNCTION("""COMPUTED_VALUE"""),8.58521544E8)</f>
        <v>858521544</v>
      </c>
      <c r="U10" s="7" t="str">
        <f>IFERROR(__xludf.DUMMYFUNCTION("""COMPUTED_VALUE"""),"Eenmanszaak")</f>
        <v>Eenmanszaak</v>
      </c>
      <c r="V10" s="7" t="str">
        <f>IFERROR(__xludf.DUMMYFUNCTION("""COMPUTED_VALUE"""),"000039172368")</f>
        <v>000039172368</v>
      </c>
      <c r="W10" s="6" t="str">
        <f>IFERROR(__xludf.DUMMYFUNCTION("""COMPUTED_VALUE"""),"ink.adi2018vof.2288aa@zarabota.nl")</f>
        <v>ink.adi2018vof.2288aa@zarabota.nl</v>
      </c>
      <c r="X10" s="6" t="str">
        <f>IFERROR(__xludf.DUMMYFUNCTION("""COMPUTED_VALUE"""),"ver.adi2018vof.2288aa@zarabota.nl")</f>
        <v>ver.adi2018vof.2288aa@zarabota.nl</v>
      </c>
      <c r="Y10" s="6" t="str">
        <f>IFERROR(__xludf.DUMMYFUNCTION("""COMPUTED_VALUE"""),"Hr.")</f>
        <v>Hr.</v>
      </c>
      <c r="Z10" s="6" t="str">
        <f>IFERROR(__xludf.DUMMYFUNCTION("""COMPUTED_VALUE"""),"Avram Stoyanov")</f>
        <v>Avram Stoyanov</v>
      </c>
      <c r="AA10" s="6" t="str">
        <f>IFERROR(__xludf.DUMMYFUNCTION("""COMPUTED_VALUE"""),"Shopov")</f>
        <v>Shopov</v>
      </c>
      <c r="AB10" s="6" t="str">
        <f>IFERROR(__xludf.DUMMYFUNCTION("""COMPUTED_VALUE"""),"A.S.")</f>
        <v>A.S.</v>
      </c>
      <c r="AC10" s="6">
        <f>IFERROR(__xludf.DUMMYFUNCTION("""COMPUTED_VALUE"""),5.45568912E8)</f>
        <v>545568912</v>
      </c>
      <c r="AD10" s="9">
        <f>IFERROR(__xludf.DUMMYFUNCTION("""COMPUTED_VALUE"""),29558.0)</f>
        <v>29558</v>
      </c>
      <c r="AE10" s="6" t="str">
        <f>IFERROR(__xludf.DUMMYFUNCTION("""COMPUTED_VALUE"""),"bg")</f>
        <v>bg</v>
      </c>
      <c r="AF10" s="6" t="str">
        <f>IFERROR(__xludf.DUMMYFUNCTION("""COMPUTED_VALUE"""),"Plovdiv")</f>
        <v>Plovdiv</v>
      </c>
      <c r="AG10" s="6" t="str">
        <f>IFERROR(__xludf.DUMMYFUNCTION("""COMPUTED_VALUE"""),"Hr. A.S. Shopov")</f>
        <v>Hr. A.S. Shopov</v>
      </c>
      <c r="AH10" s="6" t="str">
        <f>IFERROR(__xludf.DUMMYFUNCTION("""COMPUTED_VALUE"""),"NL59INGB0705080609")</f>
        <v>NL59INGB0705080609</v>
      </c>
      <c r="AI10" s="6"/>
      <c r="AJ10" s="6" t="str">
        <f>IFERROR(__xludf.DUMMYFUNCTION("""COMPUTED_VALUE"""),"ID Kaart")</f>
        <v>ID Kaart</v>
      </c>
      <c r="AK10" s="6">
        <f>IFERROR(__xludf.DUMMYFUNCTION("""COMPUTED_VALUE"""),6.40994702E8)</f>
        <v>640994702</v>
      </c>
      <c r="AL10" s="9">
        <f>IFERROR(__xludf.DUMMYFUNCTION("""COMPUTED_VALUE"""),44109.0)</f>
        <v>44109</v>
      </c>
      <c r="AM10" s="6"/>
      <c r="AN10" s="6" t="str">
        <f>IFERROR(__xludf.DUMMYFUNCTION("""COMPUTED_VALUE"""),"Avram Stoyanov Shopov")</f>
        <v>Avram Stoyanov Shopov</v>
      </c>
      <c r="AO10" s="6"/>
    </row>
    <row r="11">
      <c r="A11" s="6" t="str">
        <f>IFERROR(__xludf.DUMMYFUNCTION("""COMPUTED_VALUE"""),"Adi1993")</f>
        <v>Adi1993</v>
      </c>
      <c r="B11" s="6" t="str">
        <f>IFERROR(__xludf.DUMMYFUNCTION("""COMPUTED_VALUE"""),"EXA Deliveries")</f>
        <v>EXA Deliveries</v>
      </c>
      <c r="C11" s="6">
        <f>IFERROR(__xludf.DUMMYFUNCTION("""COMPUTED_VALUE"""),1748.0)</f>
        <v>1748</v>
      </c>
      <c r="D11" s="7" t="str">
        <f>IFERROR(__xludf.DUMMYFUNCTION("""COMPUTED_VALUE"""),"Emil Adriyanov Yosifov")</f>
        <v>Emil Adriyanov Yosifov</v>
      </c>
      <c r="E11" s="7" t="str">
        <f>IFERROR(__xludf.DUMMYFUNCTION("""COMPUTED_VALUE"""),"SBI-code: 4120 - Algemene burgerlijke en utiliteitsbouw")</f>
        <v>SBI-code: 4120 - Algemene burgerlijke en utiliteitsbouw</v>
      </c>
      <c r="F11" s="7" t="str">
        <f>IFERROR(__xludf.DUMMYFUNCTION("""COMPUTED_VALUE"""),"0685819208")</f>
        <v>0685819208</v>
      </c>
      <c r="G11" s="6" t="str">
        <f>IFERROR(__xludf.DUMMYFUNCTION("""COMPUTED_VALUE"""),"u4871973474@gmail.com")</f>
        <v>u4871973474@gmail.com</v>
      </c>
      <c r="H11" s="6" t="str">
        <f>IFERROR(__xludf.DUMMYFUNCTION("""COMPUTED_VALUE"""),"Indigostraat 8A")</f>
        <v>Indigostraat 8A</v>
      </c>
      <c r="I11" s="6" t="str">
        <f>IFERROR(__xludf.DUMMYFUNCTION("""COMPUTED_VALUE"""),"2563RJ")</f>
        <v>2563RJ</v>
      </c>
      <c r="J11" s="6" t="str">
        <f>IFERROR(__xludf.DUMMYFUNCTION("""COMPUTED_VALUE"""),"s-Gravenhage")</f>
        <v>s-Gravenhage</v>
      </c>
      <c r="K11" s="6" t="str">
        <f>IFERROR(__xludf.DUMMYFUNCTION("""COMPUTED_VALUE"""),"Nederland")</f>
        <v>Nederland</v>
      </c>
      <c r="L11" s="6" t="str">
        <f>IFERROR(__xludf.DUMMYFUNCTION("""COMPUTED_VALUE"""),"Йосифов")</f>
        <v>Йосифов</v>
      </c>
      <c r="M11" s="8">
        <f>IFERROR(__xludf.DUMMYFUNCTION("""COMPUTED_VALUE"""),44927.0)</f>
        <v>44927</v>
      </c>
      <c r="N11" s="6" t="str">
        <f>IFERROR(__xludf.DUMMYFUNCTION("""COMPUTED_VALUE"""),"NL301976387B02")</f>
        <v>NL301976387B02</v>
      </c>
      <c r="O11" s="6">
        <f>IFERROR(__xludf.DUMMYFUNCTION("""COMPUTED_VALUE"""),9.8796623E7)</f>
        <v>98796623</v>
      </c>
      <c r="P11" s="6" t="str">
        <f>IFERROR(__xludf.DUMMYFUNCTION("""COMPUTED_VALUE"""),"NL71INGB0117513660")</f>
        <v>NL71INGB0117513660</v>
      </c>
      <c r="Q11" s="9">
        <f>IFERROR(__xludf.DUMMYFUNCTION("""COMPUTED_VALUE"""),45931.0)</f>
        <v>45931</v>
      </c>
      <c r="R11" s="6"/>
      <c r="S11" s="6" t="str">
        <f>IFERROR(__xludf.DUMMYFUNCTION("""COMPUTED_VALUE"""),"NL005354182B95")</f>
        <v>NL005354182B95</v>
      </c>
      <c r="T11" s="6">
        <f>IFERROR(__xludf.DUMMYFUNCTION("""COMPUTED_VALUE"""),3.01976387E8)</f>
        <v>301976387</v>
      </c>
      <c r="U11" s="7" t="str">
        <f>IFERROR(__xludf.DUMMYFUNCTION("""COMPUTED_VALUE"""),"Eenmanszaak")</f>
        <v>Eenmanszaak</v>
      </c>
      <c r="V11" s="7" t="str">
        <f>IFERROR(__xludf.DUMMYFUNCTION("""COMPUTED_VALUE"""),"000063935694")</f>
        <v>000063935694</v>
      </c>
      <c r="W11" s="6" t="str">
        <f>IFERROR(__xludf.DUMMYFUNCTION("""COMPUTED_VALUE"""),"ink.exadeliveries.2288aa@zarabota.nl")</f>
        <v>ink.exadeliveries.2288aa@zarabota.nl</v>
      </c>
      <c r="X11" s="6" t="str">
        <f>IFERROR(__xludf.DUMMYFUNCTION("""COMPUTED_VALUE"""),"ver.exadeliveries.2288aa@zarabota.nl")</f>
        <v>ver.exadeliveries.2288aa@zarabota.nl</v>
      </c>
      <c r="Y11" s="6" t="str">
        <f>IFERROR(__xludf.DUMMYFUNCTION("""COMPUTED_VALUE"""),"Hr.")</f>
        <v>Hr.</v>
      </c>
      <c r="Z11" s="6" t="str">
        <f>IFERROR(__xludf.DUMMYFUNCTION("""COMPUTED_VALUE"""),"Emil Adriyanov")</f>
        <v>Emil Adriyanov</v>
      </c>
      <c r="AA11" s="6" t="str">
        <f>IFERROR(__xludf.DUMMYFUNCTION("""COMPUTED_VALUE"""),"Yosifov")</f>
        <v>Yosifov</v>
      </c>
      <c r="AB11" s="6" t="str">
        <f>IFERROR(__xludf.DUMMYFUNCTION("""COMPUTED_VALUE"""),"E.A.")</f>
        <v>E.A.</v>
      </c>
      <c r="AC11" s="6">
        <f>IFERROR(__xludf.DUMMYFUNCTION("""COMPUTED_VALUE"""),3.01976387E8)</f>
        <v>301976387</v>
      </c>
      <c r="AD11" s="9">
        <f>IFERROR(__xludf.DUMMYFUNCTION("""COMPUTED_VALUE"""),33124.0)</f>
        <v>33124</v>
      </c>
      <c r="AE11" s="6" t="str">
        <f>IFERROR(__xludf.DUMMYFUNCTION("""COMPUTED_VALUE"""),"bg")</f>
        <v>bg</v>
      </c>
      <c r="AF11" s="6" t="str">
        <f>IFERROR(__xludf.DUMMYFUNCTION("""COMPUTED_VALUE"""),"Pleven")</f>
        <v>Pleven</v>
      </c>
      <c r="AG11" s="6" t="str">
        <f>IFERROR(__xludf.DUMMYFUNCTION("""COMPUTED_VALUE"""),"Hr. E.A. Yosifov")</f>
        <v>Hr. E.A. Yosifov</v>
      </c>
      <c r="AH11" s="6" t="str">
        <f>IFERROR(__xludf.DUMMYFUNCTION("""COMPUTED_VALUE"""),"NL96INGB0111824257")</f>
        <v>NL96INGB0111824257</v>
      </c>
      <c r="AI11" s="6"/>
      <c r="AJ11" s="6" t="str">
        <f>IFERROR(__xludf.DUMMYFUNCTION("""COMPUTED_VALUE"""),"ID Kaart")</f>
        <v>ID Kaart</v>
      </c>
      <c r="AK11" s="6">
        <f>IFERROR(__xludf.DUMMYFUNCTION("""COMPUTED_VALUE"""),6.48487253E8)</f>
        <v>648487253</v>
      </c>
      <c r="AL11" s="9">
        <f>IFERROR(__xludf.DUMMYFUNCTION("""COMPUTED_VALUE"""),47395.0)</f>
        <v>47395</v>
      </c>
      <c r="AM11" s="6" t="str">
        <f>IFERROR(__xludf.DUMMYFUNCTION("""COMPUTED_VALUE"""),"Bulgarije")</f>
        <v>Bulgarije</v>
      </c>
      <c r="AN11" s="6" t="str">
        <f>IFERROR(__xludf.DUMMYFUNCTION("""COMPUTED_VALUE"""),"Emil Adriyanov Yosifov")</f>
        <v>Emil Adriyanov Yosifov</v>
      </c>
      <c r="AO11" s="6">
        <f>IFERROR(__xludf.DUMMYFUNCTION("""COMPUTED_VALUE"""),1748.0)</f>
        <v>1748</v>
      </c>
    </row>
    <row r="12">
      <c r="A12" s="6" t="str">
        <f>IFERROR(__xludf.DUMMYFUNCTION("""COMPUTED_VALUE"""),"AdiMar Bouw")</f>
        <v>AdiMar Bouw</v>
      </c>
      <c r="B12" s="6" t="str">
        <f>IFERROR(__xludf.DUMMYFUNCTION("""COMPUTED_VALUE"""),"AdiMar Bouw")</f>
        <v>AdiMar Bouw</v>
      </c>
      <c r="C12" s="6">
        <f>IFERROR(__xludf.DUMMYFUNCTION("""COMPUTED_VALUE"""),1541.0)</f>
        <v>1541</v>
      </c>
      <c r="D12" s="7" t="str">
        <f>IFERROR(__xludf.DUMMYFUNCTION("""COMPUTED_VALUE"""),"Adrian Marcinczyk")</f>
        <v>Adrian Marcinczyk</v>
      </c>
      <c r="E12" s="7" t="str">
        <f>IFERROR(__xludf.DUMMYFUNCTION("""COMPUTED_VALUE"""),"SBI-code: 4120 - Algemene burgerlijke en utiliteitsbouw")</f>
        <v>SBI-code: 4120 - Algemene burgerlijke en utiliteitsbouw</v>
      </c>
      <c r="F12" s="7" t="str">
        <f>IFERROR(__xludf.DUMMYFUNCTION("""COMPUTED_VALUE"""),"0687718709")</f>
        <v>0687718709</v>
      </c>
      <c r="G12" s="6" t="str">
        <f>IFERROR(__xludf.DUMMYFUNCTION("""COMPUTED_VALUE"""),"adrianmarcinczyk5@gmail.com")</f>
        <v>adrianmarcinczyk5@gmail.com</v>
      </c>
      <c r="H12" s="6" t="str">
        <f>IFERROR(__xludf.DUMMYFUNCTION("""COMPUTED_VALUE"""),"Obrecht 46")</f>
        <v>Obrecht 46</v>
      </c>
      <c r="I12" s="6" t="str">
        <f>IFERROR(__xludf.DUMMYFUNCTION("""COMPUTED_VALUE"""),"2681JM")</f>
        <v>2681JM</v>
      </c>
      <c r="J12" s="6" t="str">
        <f>IFERROR(__xludf.DUMMYFUNCTION("""COMPUTED_VALUE"""),"s-Gravenhage")</f>
        <v>s-Gravenhage</v>
      </c>
      <c r="K12" s="6" t="str">
        <f>IFERROR(__xludf.DUMMYFUNCTION("""COMPUTED_VALUE"""),"Nederland")</f>
        <v>Nederland</v>
      </c>
      <c r="L12" s="6" t="str">
        <f>IFERROR(__xludf.DUMMYFUNCTION("""COMPUTED_VALUE"""),"Marcinczyk")</f>
        <v>Marcinczyk</v>
      </c>
      <c r="M12" s="8">
        <f>IFERROR(__xludf.DUMMYFUNCTION("""COMPUTED_VALUE"""),45180.0)</f>
        <v>45180</v>
      </c>
      <c r="N12" s="6" t="str">
        <f>IFERROR(__xludf.DUMMYFUNCTION("""COMPUTED_VALUE"""),"NL664233387B01")</f>
        <v>NL664233387B01</v>
      </c>
      <c r="O12" s="6">
        <f>IFERROR(__xludf.DUMMYFUNCTION("""COMPUTED_VALUE"""),9.1673569E7)</f>
        <v>91673569</v>
      </c>
      <c r="P12" s="6" t="str">
        <f>IFERROR(__xludf.DUMMYFUNCTION("""COMPUTED_VALUE"""),"NL43INGB0102660263")</f>
        <v>NL43INGB0102660263</v>
      </c>
      <c r="Q12" s="9">
        <f>IFERROR(__xludf.DUMMYFUNCTION("""COMPUTED_VALUE"""),45215.0)</f>
        <v>45215</v>
      </c>
      <c r="R12" s="6"/>
      <c r="S12" s="6" t="str">
        <f>IFERROR(__xludf.DUMMYFUNCTION("""COMPUTED_VALUE"""),"NL004907918B89")</f>
        <v>NL004907918B89</v>
      </c>
      <c r="T12" s="6">
        <f>IFERROR(__xludf.DUMMYFUNCTION("""COMPUTED_VALUE"""),6.64233387E8)</f>
        <v>664233387</v>
      </c>
      <c r="U12" s="7" t="str">
        <f>IFERROR(__xludf.DUMMYFUNCTION("""COMPUTED_VALUE"""),"Eenmanszaak")</f>
        <v>Eenmanszaak</v>
      </c>
      <c r="V12" s="7" t="str">
        <f>IFERROR(__xludf.DUMMYFUNCTION("""COMPUTED_VALUE"""),"000057337411")</f>
        <v>000057337411</v>
      </c>
      <c r="W12" s="6" t="str">
        <f>IFERROR(__xludf.DUMMYFUNCTION("""COMPUTED_VALUE"""),"ink.adimar.2288aa@zarabota.nl")</f>
        <v>ink.adimar.2288aa@zarabota.nl</v>
      </c>
      <c r="X12" s="6" t="str">
        <f>IFERROR(__xludf.DUMMYFUNCTION("""COMPUTED_VALUE"""),"ver.adimar.2288aa@zarabota.nl")</f>
        <v>ver.adimar.2288aa@zarabota.nl</v>
      </c>
      <c r="Y12" s="6" t="str">
        <f>IFERROR(__xludf.DUMMYFUNCTION("""COMPUTED_VALUE"""),"Hr.")</f>
        <v>Hr.</v>
      </c>
      <c r="Z12" s="6" t="str">
        <f>IFERROR(__xludf.DUMMYFUNCTION("""COMPUTED_VALUE"""),"Adrian")</f>
        <v>Adrian</v>
      </c>
      <c r="AA12" s="6" t="str">
        <f>IFERROR(__xludf.DUMMYFUNCTION("""COMPUTED_VALUE"""),"Marcinczyk")</f>
        <v>Marcinczyk</v>
      </c>
      <c r="AB12" s="6" t="str">
        <f>IFERROR(__xludf.DUMMYFUNCTION("""COMPUTED_VALUE"""),"A.")</f>
        <v>A.</v>
      </c>
      <c r="AC12" s="6">
        <f>IFERROR(__xludf.DUMMYFUNCTION("""COMPUTED_VALUE"""),6.64233387E8)</f>
        <v>664233387</v>
      </c>
      <c r="AD12" s="9">
        <f>IFERROR(__xludf.DUMMYFUNCTION("""COMPUTED_VALUE"""),37883.0)</f>
        <v>37883</v>
      </c>
      <c r="AE12" s="6" t="str">
        <f>IFERROR(__xludf.DUMMYFUNCTION("""COMPUTED_VALUE"""),"pl")</f>
        <v>pl</v>
      </c>
      <c r="AF12" s="6" t="str">
        <f>IFERROR(__xludf.DUMMYFUNCTION("""COMPUTED_VALUE"""),"Bialystok")</f>
        <v>Bialystok</v>
      </c>
      <c r="AG12" s="6" t="str">
        <f>IFERROR(__xludf.DUMMYFUNCTION("""COMPUTED_VALUE"""),"Hr. A. Marcinczyk")</f>
        <v>Hr. A. Marcinczyk</v>
      </c>
      <c r="AH12" s="6" t="str">
        <f>IFERROR(__xludf.DUMMYFUNCTION("""COMPUTED_VALUE"""),"NL64INGB0102659982")</f>
        <v>NL64INGB0102659982</v>
      </c>
      <c r="AI12" s="6"/>
      <c r="AJ12" s="6" t="str">
        <f>IFERROR(__xludf.DUMMYFUNCTION("""COMPUTED_VALUE"""),"ID Kaart")</f>
        <v>ID Kaart</v>
      </c>
      <c r="AK12" s="6" t="str">
        <f>IFERROR(__xludf.DUMMYFUNCTION("""COMPUTED_VALUE"""),"CAL463693")</f>
        <v>CAL463693</v>
      </c>
      <c r="AL12" s="9">
        <f>IFERROR(__xludf.DUMMYFUNCTION("""COMPUTED_VALUE"""),45813.0)</f>
        <v>45813</v>
      </c>
      <c r="AM12" s="6" t="str">
        <f>IFERROR(__xludf.DUMMYFUNCTION("""COMPUTED_VALUE"""),"Polen")</f>
        <v>Polen</v>
      </c>
      <c r="AN12" s="6" t="str">
        <f>IFERROR(__xludf.DUMMYFUNCTION("""COMPUTED_VALUE"""),"Adrian Marcinczyk")</f>
        <v>Adrian Marcinczyk</v>
      </c>
      <c r="AO12" s="6">
        <f>IFERROR(__xludf.DUMMYFUNCTION("""COMPUTED_VALUE"""),1541.0)</f>
        <v>1541</v>
      </c>
    </row>
    <row r="13">
      <c r="A13" s="6" t="str">
        <f>IFERROR(__xludf.DUMMYFUNCTION("""COMPUTED_VALUE"""),"Adix Bouw")</f>
        <v>Adix Bouw</v>
      </c>
      <c r="B13" s="6" t="str">
        <f>IFERROR(__xludf.DUMMYFUNCTION("""COMPUTED_VALUE"""),"Adix Bouw")</f>
        <v>Adix Bouw</v>
      </c>
      <c r="C13" s="6">
        <f>IFERROR(__xludf.DUMMYFUNCTION("""COMPUTED_VALUE"""),1008.0)</f>
        <v>1008</v>
      </c>
      <c r="D13" s="7" t="str">
        <f>IFERROR(__xludf.DUMMYFUNCTION("""COMPUTED_VALUE"""),"Petar Atanasov Mitev")</f>
        <v>Petar Atanasov Mitev</v>
      </c>
      <c r="E13" s="7" t="str">
        <f>IFERROR(__xludf.DUMMYFUNCTION("""COMPUTED_VALUE"""),"SBI-code: 4120 - Algemene burgerlijke en utiliteitsbouw")</f>
        <v>SBI-code: 4120 - Algemene burgerlijke en utiliteitsbouw</v>
      </c>
      <c r="F13" s="7" t="str">
        <f>IFERROR(__xludf.DUMMYFUNCTION("""COMPUTED_VALUE"""),"0684809083")</f>
        <v>0684809083</v>
      </c>
      <c r="G13" s="6" t="str">
        <f>IFERROR(__xludf.DUMMYFUNCTION("""COMPUTED_VALUE"""),"peshoasd85@gmail.com")</f>
        <v>peshoasd85@gmail.com</v>
      </c>
      <c r="H13" s="6" t="str">
        <f>IFERROR(__xludf.DUMMYFUNCTION("""COMPUTED_VALUE"""),"Hoefkade 491A")</f>
        <v>Hoefkade 491A</v>
      </c>
      <c r="I13" s="6" t="str">
        <f>IFERROR(__xludf.DUMMYFUNCTION("""COMPUTED_VALUE"""),"2525LA")</f>
        <v>2525LA</v>
      </c>
      <c r="J13" s="6" t="str">
        <f>IFERROR(__xludf.DUMMYFUNCTION("""COMPUTED_VALUE"""),"s-Gravenhage")</f>
        <v>s-Gravenhage</v>
      </c>
      <c r="K13" s="6" t="str">
        <f>IFERROR(__xludf.DUMMYFUNCTION("""COMPUTED_VALUE"""),"Nederland")</f>
        <v>Nederland</v>
      </c>
      <c r="L13" s="6" t="str">
        <f>IFERROR(__xludf.DUMMYFUNCTION("""COMPUTED_VALUE"""),"Митев")</f>
        <v>Митев</v>
      </c>
      <c r="M13" s="8">
        <f>IFERROR(__xludf.DUMMYFUNCTION("""COMPUTED_VALUE"""),44033.0)</f>
        <v>44033</v>
      </c>
      <c r="N13" s="6" t="str">
        <f>IFERROR(__xludf.DUMMYFUNCTION("""COMPUTED_VALUE"""),"NL360984940B01")</f>
        <v>NL360984940B01</v>
      </c>
      <c r="O13" s="6">
        <f>IFERROR(__xludf.DUMMYFUNCTION("""COMPUTED_VALUE"""),7.8629713E7)</f>
        <v>78629713</v>
      </c>
      <c r="P13" s="6" t="str">
        <f>IFERROR(__xludf.DUMMYFUNCTION("""COMPUTED_VALUE"""),"NL02INGB0007944381")</f>
        <v>NL02INGB0007944381</v>
      </c>
      <c r="Q13" s="9">
        <f>IFERROR(__xludf.DUMMYFUNCTION("""COMPUTED_VALUE"""),44033.0)</f>
        <v>44033</v>
      </c>
      <c r="R13" s="6"/>
      <c r="S13" s="6" t="str">
        <f>IFERROR(__xludf.DUMMYFUNCTION("""COMPUTED_VALUE"""),"NL003357920B16")</f>
        <v>NL003357920B16</v>
      </c>
      <c r="T13" s="6">
        <f>IFERROR(__xludf.DUMMYFUNCTION("""COMPUTED_VALUE"""),3.6098494E8)</f>
        <v>360984940</v>
      </c>
      <c r="U13" s="7" t="str">
        <f>IFERROR(__xludf.DUMMYFUNCTION("""COMPUTED_VALUE"""),"Eenmanszaak")</f>
        <v>Eenmanszaak</v>
      </c>
      <c r="V13" s="7" t="str">
        <f>IFERROR(__xludf.DUMMYFUNCTION("""COMPUTED_VALUE"""),"000046241558")</f>
        <v>000046241558</v>
      </c>
      <c r="W13" s="6" t="str">
        <f>IFERROR(__xludf.DUMMYFUNCTION("""COMPUTED_VALUE"""),"ink.adixbouw.2288aa@zarabota.nl")</f>
        <v>ink.adixbouw.2288aa@zarabota.nl</v>
      </c>
      <c r="X13" s="6" t="str">
        <f>IFERROR(__xludf.DUMMYFUNCTION("""COMPUTED_VALUE"""),"ver.adixbouw.2288aa@zarabota.nl")</f>
        <v>ver.adixbouw.2288aa@zarabota.nl</v>
      </c>
      <c r="Y13" s="6" t="str">
        <f>IFERROR(__xludf.DUMMYFUNCTION("""COMPUTED_VALUE"""),"Hr.")</f>
        <v>Hr.</v>
      </c>
      <c r="Z13" s="6" t="str">
        <f>IFERROR(__xludf.DUMMYFUNCTION("""COMPUTED_VALUE"""),"Petar Atanasov")</f>
        <v>Petar Atanasov</v>
      </c>
      <c r="AA13" s="6" t="str">
        <f>IFERROR(__xludf.DUMMYFUNCTION("""COMPUTED_VALUE"""),"Mitev")</f>
        <v>Mitev</v>
      </c>
      <c r="AB13" s="6" t="str">
        <f>IFERROR(__xludf.DUMMYFUNCTION("""COMPUTED_VALUE"""),"P.A.")</f>
        <v>P.A.</v>
      </c>
      <c r="AC13" s="6">
        <f>IFERROR(__xludf.DUMMYFUNCTION("""COMPUTED_VALUE"""),3.6098494E8)</f>
        <v>360984940</v>
      </c>
      <c r="AD13" s="9">
        <f>IFERROR(__xludf.DUMMYFUNCTION("""COMPUTED_VALUE"""),31271.0)</f>
        <v>31271</v>
      </c>
      <c r="AE13" s="6" t="str">
        <f>IFERROR(__xludf.DUMMYFUNCTION("""COMPUTED_VALUE"""),"bg")</f>
        <v>bg</v>
      </c>
      <c r="AF13" s="6" t="str">
        <f>IFERROR(__xludf.DUMMYFUNCTION("""COMPUTED_VALUE"""),"Haskovo")</f>
        <v>Haskovo</v>
      </c>
      <c r="AG13" s="6" t="str">
        <f>IFERROR(__xludf.DUMMYFUNCTION("""COMPUTED_VALUE"""),"Hr. P.A. Mitev")</f>
        <v>Hr. P.A. Mitev</v>
      </c>
      <c r="AH13" s="6" t="str">
        <f>IFERROR(__xludf.DUMMYFUNCTION("""COMPUTED_VALUE"""),"NL61INGB0799586218")</f>
        <v>NL61INGB0799586218</v>
      </c>
      <c r="AI13" s="9">
        <f>IFERROR(__xludf.DUMMYFUNCTION("""COMPUTED_VALUE"""),44028.0)</f>
        <v>44028</v>
      </c>
      <c r="AJ13" s="6" t="str">
        <f>IFERROR(__xludf.DUMMYFUNCTION("""COMPUTED_VALUE"""),"ID Kaart")</f>
        <v>ID Kaart</v>
      </c>
      <c r="AK13" s="6">
        <f>IFERROR(__xludf.DUMMYFUNCTION("""COMPUTED_VALUE"""),6.44982971E8)</f>
        <v>644982971</v>
      </c>
      <c r="AL13" s="9">
        <f>IFERROR(__xludf.DUMMYFUNCTION("""COMPUTED_VALUE"""),45290.0)</f>
        <v>45290</v>
      </c>
      <c r="AM13" s="6" t="str">
        <f>IFERROR(__xludf.DUMMYFUNCTION("""COMPUTED_VALUE"""),"Bulgarije")</f>
        <v>Bulgarije</v>
      </c>
      <c r="AN13" s="6" t="str">
        <f>IFERROR(__xludf.DUMMYFUNCTION("""COMPUTED_VALUE"""),"Petar Atanasov Mitev")</f>
        <v>Petar Atanasov Mitev</v>
      </c>
      <c r="AO13" s="6"/>
    </row>
    <row r="14">
      <c r="A14" s="6" t="str">
        <f>IFERROR(__xludf.DUMMYFUNCTION("""COMPUTED_VALUE"""),"AFM Bouw")</f>
        <v>AFM Bouw</v>
      </c>
      <c r="B14" s="6" t="str">
        <f>IFERROR(__xludf.DUMMYFUNCTION("""COMPUTED_VALUE"""),"AFM Bouw")</f>
        <v>AFM Bouw</v>
      </c>
      <c r="C14" s="6">
        <f>IFERROR(__xludf.DUMMYFUNCTION("""COMPUTED_VALUE"""),9.0)</f>
        <v>9</v>
      </c>
      <c r="D14" s="7" t="str">
        <f>IFERROR(__xludf.DUMMYFUNCTION("""COMPUTED_VALUE"""),"Milcho Yuriev Filipov")</f>
        <v>Milcho Yuriev Filipov</v>
      </c>
      <c r="E14" s="7" t="str">
        <f>IFERROR(__xludf.DUMMYFUNCTION("""COMPUTED_VALUE"""),"SBI-code: 4120 - Algemene burgerlijke en utiliteitsbouw")</f>
        <v>SBI-code: 4120 - Algemene burgerlijke en utiliteitsbouw</v>
      </c>
      <c r="F14" s="7" t="str">
        <f>IFERROR(__xludf.DUMMYFUNCTION("""COMPUTED_VALUE"""),"0620479796")</f>
        <v>0620479796</v>
      </c>
      <c r="G14" s="6" t="str">
        <f>IFERROR(__xludf.DUMMYFUNCTION("""COMPUTED_VALUE"""),"amfbouw1@gmail.com")</f>
        <v>amfbouw1@gmail.com</v>
      </c>
      <c r="H14" s="6" t="str">
        <f>IFERROR(__xludf.DUMMYFUNCTION("""COMPUTED_VALUE"""),"Van Diesenstraat 255")</f>
        <v>Van Diesenstraat 255</v>
      </c>
      <c r="I14" s="6" t="str">
        <f>IFERROR(__xludf.DUMMYFUNCTION("""COMPUTED_VALUE"""),"2521EH")</f>
        <v>2521EH</v>
      </c>
      <c r="J14" s="6" t="str">
        <f>IFERROR(__xludf.DUMMYFUNCTION("""COMPUTED_VALUE"""),"s-Gravenhage")</f>
        <v>s-Gravenhage</v>
      </c>
      <c r="K14" s="6" t="str">
        <f>IFERROR(__xludf.DUMMYFUNCTION("""COMPUTED_VALUE"""),"Nederland")</f>
        <v>Nederland</v>
      </c>
      <c r="L14" s="6" t="str">
        <f>IFERROR(__xludf.DUMMYFUNCTION("""COMPUTED_VALUE"""),"Филипов")</f>
        <v>Филипов</v>
      </c>
      <c r="M14" s="8">
        <f>IFERROR(__xludf.DUMMYFUNCTION("""COMPUTED_VALUE"""),43175.0)</f>
        <v>43175</v>
      </c>
      <c r="N14" s="6" t="str">
        <f>IFERROR(__xludf.DUMMYFUNCTION("""COMPUTED_VALUE"""),"NL425616083B01")</f>
        <v>NL425616083B01</v>
      </c>
      <c r="O14" s="6">
        <f>IFERROR(__xludf.DUMMYFUNCTION("""COMPUTED_VALUE"""),5.6661371E7)</f>
        <v>56661371</v>
      </c>
      <c r="P14" s="6" t="str">
        <f>IFERROR(__xludf.DUMMYFUNCTION("""COMPUTED_VALUE"""),"NL03INGB0006326500")</f>
        <v>NL03INGB0006326500</v>
      </c>
      <c r="Q14" s="9">
        <f>IFERROR(__xludf.DUMMYFUNCTION("""COMPUTED_VALUE"""),41257.0)</f>
        <v>41257</v>
      </c>
      <c r="R14" s="6"/>
      <c r="S14" s="6" t="str">
        <f>IFERROR(__xludf.DUMMYFUNCTION("""COMPUTED_VALUE"""),"NL002482305B77")</f>
        <v>NL002482305B77</v>
      </c>
      <c r="T14" s="6">
        <f>IFERROR(__xludf.DUMMYFUNCTION("""COMPUTED_VALUE"""),4.25616083E8)</f>
        <v>425616083</v>
      </c>
      <c r="U14" s="7" t="str">
        <f>IFERROR(__xludf.DUMMYFUNCTION("""COMPUTED_VALUE"""),"Eenmanszaak")</f>
        <v>Eenmanszaak</v>
      </c>
      <c r="V14" s="7" t="str">
        <f>IFERROR(__xludf.DUMMYFUNCTION("""COMPUTED_VALUE"""),"000026189860")</f>
        <v>000026189860</v>
      </c>
      <c r="W14" s="6" t="str">
        <f>IFERROR(__xludf.DUMMYFUNCTION("""COMPUTED_VALUE"""),"ink.afmbouw.2288aa@zarabota.nl")</f>
        <v>ink.afmbouw.2288aa@zarabota.nl</v>
      </c>
      <c r="X14" s="6" t="str">
        <f>IFERROR(__xludf.DUMMYFUNCTION("""COMPUTED_VALUE"""),"ver.afmbouw.2288aa@zarabota.nl")</f>
        <v>ver.afmbouw.2288aa@zarabota.nl</v>
      </c>
      <c r="Y14" s="6" t="str">
        <f>IFERROR(__xludf.DUMMYFUNCTION("""COMPUTED_VALUE"""),"Hr.")</f>
        <v>Hr.</v>
      </c>
      <c r="Z14" s="6" t="str">
        <f>IFERROR(__xludf.DUMMYFUNCTION("""COMPUTED_VALUE"""),"Milcho Yuriev")</f>
        <v>Milcho Yuriev</v>
      </c>
      <c r="AA14" s="6" t="str">
        <f>IFERROR(__xludf.DUMMYFUNCTION("""COMPUTED_VALUE"""),"Filipov")</f>
        <v>Filipov</v>
      </c>
      <c r="AB14" s="6" t="str">
        <f>IFERROR(__xludf.DUMMYFUNCTION("""COMPUTED_VALUE"""),"M.Y.")</f>
        <v>M.Y.</v>
      </c>
      <c r="AC14" s="6">
        <f>IFERROR(__xludf.DUMMYFUNCTION("""COMPUTED_VALUE"""),4.25616083E8)</f>
        <v>425616083</v>
      </c>
      <c r="AD14" s="9">
        <f>IFERROR(__xludf.DUMMYFUNCTION("""COMPUTED_VALUE"""),26169.0)</f>
        <v>26169</v>
      </c>
      <c r="AE14" s="6" t="str">
        <f>IFERROR(__xludf.DUMMYFUNCTION("""COMPUTED_VALUE"""),"bg")</f>
        <v>bg</v>
      </c>
      <c r="AF14" s="6" t="str">
        <f>IFERROR(__xludf.DUMMYFUNCTION("""COMPUTED_VALUE"""),"Kardzhali")</f>
        <v>Kardzhali</v>
      </c>
      <c r="AG14" s="6" t="str">
        <f>IFERROR(__xludf.DUMMYFUNCTION("""COMPUTED_VALUE"""),"Hr. M.Y. Filipov")</f>
        <v>Hr. M.Y. Filipov</v>
      </c>
      <c r="AH14" s="6" t="str">
        <f>IFERROR(__xludf.DUMMYFUNCTION("""COMPUTED_VALUE"""),"NL91INGB0676668151")</f>
        <v>NL91INGB0676668151</v>
      </c>
      <c r="AI14" s="9">
        <f>IFERROR(__xludf.DUMMYFUNCTION("""COMPUTED_VALUE"""),41247.0)</f>
        <v>41247</v>
      </c>
      <c r="AJ14" s="6" t="str">
        <f>IFERROR(__xludf.DUMMYFUNCTION("""COMPUTED_VALUE"""),"ID Kaart")</f>
        <v>ID Kaart</v>
      </c>
      <c r="AK14" s="6">
        <f>IFERROR(__xludf.DUMMYFUNCTION("""COMPUTED_VALUE"""),6.44788891E8)</f>
        <v>644788891</v>
      </c>
      <c r="AL14" s="9">
        <f>IFERROR(__xludf.DUMMYFUNCTION("""COMPUTED_VALUE"""),45202.0)</f>
        <v>45202</v>
      </c>
      <c r="AM14" s="6"/>
      <c r="AN14" s="6" t="str">
        <f>IFERROR(__xludf.DUMMYFUNCTION("""COMPUTED_VALUE"""),"Milcho Yuriev Filipov")</f>
        <v>Milcho Yuriev Filipov</v>
      </c>
      <c r="AO14" s="6"/>
    </row>
    <row r="15">
      <c r="A15" s="6" t="str">
        <f>IFERROR(__xludf.DUMMYFUNCTION("""COMPUTED_VALUE"""),"Agora Boekhouding")</f>
        <v>Agora Boekhouding</v>
      </c>
      <c r="B15" s="6" t="str">
        <f>IFERROR(__xludf.DUMMYFUNCTION("""COMPUTED_VALUE"""),"Agora Boekhouding - KOR per 01-04-2023")</f>
        <v>Agora Boekhouding - KOR per 01-04-2023</v>
      </c>
      <c r="C15" s="6">
        <f>IFERROR(__xludf.DUMMYFUNCTION("""COMPUTED_VALUE"""),902.0)</f>
        <v>902</v>
      </c>
      <c r="D15" s="7" t="str">
        <f>IFERROR(__xludf.DUMMYFUNCTION("""COMPUTED_VALUE"""),"Hristina Atanasova Tyankova")</f>
        <v>Hristina Atanasova Tyankova</v>
      </c>
      <c r="E15" s="7" t="str">
        <f>IFERROR(__xludf.DUMMYFUNCTION("""COMPUTED_VALUE"""),"SBI-code: 4120 - Algemene burgerlijke en utiliteitsbouw")</f>
        <v>SBI-code: 4120 - Algemene burgerlijke en utiliteitsbouw</v>
      </c>
      <c r="F15" s="7" t="str">
        <f>IFERROR(__xludf.DUMMYFUNCTION("""COMPUTED_VALUE"""),"0611584401")</f>
        <v>0611584401</v>
      </c>
      <c r="G15" s="6"/>
      <c r="H15" s="6" t="str">
        <f>IFERROR(__xludf.DUMMYFUNCTION("""COMPUTED_VALUE"""),"Burgemeester Elsenlaan 329")</f>
        <v>Burgemeester Elsenlaan 329</v>
      </c>
      <c r="I15" s="6" t="str">
        <f>IFERROR(__xludf.DUMMYFUNCTION("""COMPUTED_VALUE"""),"2282MZ")</f>
        <v>2282MZ</v>
      </c>
      <c r="J15" s="6" t="str">
        <f>IFERROR(__xludf.DUMMYFUNCTION("""COMPUTED_VALUE"""),"s-Gravenhage")</f>
        <v>s-Gravenhage</v>
      </c>
      <c r="K15" s="6" t="str">
        <f>IFERROR(__xludf.DUMMYFUNCTION("""COMPUTED_VALUE"""),"Nederland")</f>
        <v>Nederland</v>
      </c>
      <c r="L15" s="6" t="str">
        <f>IFERROR(__xludf.DUMMYFUNCTION("""COMPUTED_VALUE"""),"Тянкова")</f>
        <v>Тянкова</v>
      </c>
      <c r="M15" s="8">
        <f>IFERROR(__xludf.DUMMYFUNCTION("""COMPUTED_VALUE"""),42342.0)</f>
        <v>42342</v>
      </c>
      <c r="N15" s="6" t="str">
        <f>IFERROR(__xludf.DUMMYFUNCTION("""COMPUTED_VALUE"""),"NL255501377B01")</f>
        <v>NL255501377B01</v>
      </c>
      <c r="O15" s="6">
        <f>IFERROR(__xludf.DUMMYFUNCTION("""COMPUTED_VALUE"""),5.9682132E7)</f>
        <v>59682132</v>
      </c>
      <c r="P15" s="6" t="str">
        <f>IFERROR(__xludf.DUMMYFUNCTION("""COMPUTED_VALUE"""),"NL69ABNA0452140471")</f>
        <v>NL69ABNA0452140471</v>
      </c>
      <c r="Q15" s="9">
        <f>IFERROR(__xludf.DUMMYFUNCTION("""COMPUTED_VALUE"""),41649.0)</f>
        <v>41649</v>
      </c>
      <c r="R15" s="6"/>
      <c r="S15" s="6" t="str">
        <f>IFERROR(__xludf.DUMMYFUNCTION("""COMPUTED_VALUE"""),"NL002447245B76")</f>
        <v>NL002447245B76</v>
      </c>
      <c r="T15" s="6">
        <f>IFERROR(__xludf.DUMMYFUNCTION("""COMPUTED_VALUE"""),2.55501377E8)</f>
        <v>255501377</v>
      </c>
      <c r="U15" s="7" t="str">
        <f>IFERROR(__xludf.DUMMYFUNCTION("""COMPUTED_VALUE"""),"Eenmanszaak")</f>
        <v>Eenmanszaak</v>
      </c>
      <c r="V15" s="7" t="str">
        <f>IFERROR(__xludf.DUMMYFUNCTION("""COMPUTED_VALUE"""),"000028948882")</f>
        <v>000028948882</v>
      </c>
      <c r="W15" s="6" t="str">
        <f>IFERROR(__xludf.DUMMYFUNCTION("""COMPUTED_VALUE"""),"ink.agoraboekhouding.2288aa@zarabota.nl")</f>
        <v>ink.agoraboekhouding.2288aa@zarabota.nl</v>
      </c>
      <c r="X15" s="6" t="str">
        <f>IFERROR(__xludf.DUMMYFUNCTION("""COMPUTED_VALUE"""),"ver.agoraboekhouding.2288aa@zarabota.nl")</f>
        <v>ver.agoraboekhouding.2288aa@zarabota.nl</v>
      </c>
      <c r="Y15" s="6" t="str">
        <f>IFERROR(__xludf.DUMMYFUNCTION("""COMPUTED_VALUE"""),"Mw.")</f>
        <v>Mw.</v>
      </c>
      <c r="Z15" s="6" t="str">
        <f>IFERROR(__xludf.DUMMYFUNCTION("""COMPUTED_VALUE"""),"Hristina Atanasova")</f>
        <v>Hristina Atanasova</v>
      </c>
      <c r="AA15" s="6" t="str">
        <f>IFERROR(__xludf.DUMMYFUNCTION("""COMPUTED_VALUE"""),"Tyankova")</f>
        <v>Tyankova</v>
      </c>
      <c r="AB15" s="6" t="str">
        <f>IFERROR(__xludf.DUMMYFUNCTION("""COMPUTED_VALUE"""),"H.A.")</f>
        <v>H.A.</v>
      </c>
      <c r="AC15" s="6">
        <f>IFERROR(__xludf.DUMMYFUNCTION("""COMPUTED_VALUE"""),2.55501377E8)</f>
        <v>255501377</v>
      </c>
      <c r="AD15" s="9">
        <f>IFERROR(__xludf.DUMMYFUNCTION("""COMPUTED_VALUE"""),25518.0)</f>
        <v>25518</v>
      </c>
      <c r="AE15" s="6" t="str">
        <f>IFERROR(__xludf.DUMMYFUNCTION("""COMPUTED_VALUE"""),"bg")</f>
        <v>bg</v>
      </c>
      <c r="AF15" s="6" t="str">
        <f>IFERROR(__xludf.DUMMYFUNCTION("""COMPUTED_VALUE"""),"Asenovgrad")</f>
        <v>Asenovgrad</v>
      </c>
      <c r="AG15" s="6" t="str">
        <f>IFERROR(__xludf.DUMMYFUNCTION("""COMPUTED_VALUE"""),"Mw. H.A. Tyankova")</f>
        <v>Mw. H.A. Tyankova</v>
      </c>
      <c r="AH15" s="6"/>
      <c r="AI15" s="6"/>
      <c r="AJ15" s="6"/>
      <c r="AK15" s="6"/>
      <c r="AL15" s="6"/>
      <c r="AM15" s="6" t="str">
        <f>IFERROR(__xludf.DUMMYFUNCTION("""COMPUTED_VALUE"""),"Bulgarije")</f>
        <v>Bulgarije</v>
      </c>
      <c r="AN15" s="6" t="str">
        <f>IFERROR(__xludf.DUMMYFUNCTION("""COMPUTED_VALUE"""),"Hristina Atanasova Tyankova")</f>
        <v>Hristina Atanasova Tyankova</v>
      </c>
      <c r="AO15" s="6"/>
    </row>
    <row r="16">
      <c r="A16" s="6" t="str">
        <f>IFERROR(__xludf.DUMMYFUNCTION("""COMPUTED_VALUE"""),"AHF31")</f>
        <v>AHF31</v>
      </c>
      <c r="B16" s="6" t="str">
        <f>IFERROR(__xludf.DUMMYFUNCTION("""COMPUTED_VALUE"""),"AHF31 - KOR")</f>
        <v>AHF31 - KOR</v>
      </c>
      <c r="C16" s="6">
        <f>IFERROR(__xludf.DUMMYFUNCTION("""COMPUTED_VALUE"""),685.0)</f>
        <v>685</v>
      </c>
      <c r="D16" s="7" t="str">
        <f>IFERROR(__xludf.DUMMYFUNCTION("""COMPUTED_VALUE"""),"Anka Hubenova Filipova")</f>
        <v>Anka Hubenova Filipova</v>
      </c>
      <c r="E16" s="7" t="str">
        <f>IFERROR(__xludf.DUMMYFUNCTION("""COMPUTED_VALUE"""),"SBI-code: 4120 - Algemene burgerlijke en utiliteitsbouw")</f>
        <v>SBI-code: 4120 - Algemene burgerlijke en utiliteitsbouw</v>
      </c>
      <c r="F16" s="7" t="str">
        <f>IFERROR(__xludf.DUMMYFUNCTION("""COMPUTED_VALUE"""),"0657454758")</f>
        <v>0657454758</v>
      </c>
      <c r="G16" s="6" t="str">
        <f>IFERROR(__xludf.DUMMYFUNCTION("""COMPUTED_VALUE"""),"ahfilipova31@gmail.com")</f>
        <v>ahfilipova31@gmail.com</v>
      </c>
      <c r="H16" s="6" t="str">
        <f>IFERROR(__xludf.DUMMYFUNCTION("""COMPUTED_VALUE"""),"Van Diesenstraat 255")</f>
        <v>Van Diesenstraat 255</v>
      </c>
      <c r="I16" s="6" t="str">
        <f>IFERROR(__xludf.DUMMYFUNCTION("""COMPUTED_VALUE"""),"2521EH")</f>
        <v>2521EH</v>
      </c>
      <c r="J16" s="6" t="str">
        <f>IFERROR(__xludf.DUMMYFUNCTION("""COMPUTED_VALUE"""),"s-Gravenhage")</f>
        <v>s-Gravenhage</v>
      </c>
      <c r="K16" s="6" t="str">
        <f>IFERROR(__xludf.DUMMYFUNCTION("""COMPUTED_VALUE"""),"Nederland")</f>
        <v>Nederland</v>
      </c>
      <c r="L16" s="6" t="str">
        <f>IFERROR(__xludf.DUMMYFUNCTION("""COMPUTED_VALUE"""),"Филипова")</f>
        <v>Филипова</v>
      </c>
      <c r="M16" s="8">
        <f>IFERROR(__xludf.DUMMYFUNCTION("""COMPUTED_VALUE"""),43466.0)</f>
        <v>43466</v>
      </c>
      <c r="N16" s="6" t="str">
        <f>IFERROR(__xludf.DUMMYFUNCTION("""COMPUTED_VALUE"""),"NL611922071B01")</f>
        <v>NL611922071B01</v>
      </c>
      <c r="O16" s="6">
        <f>IFERROR(__xludf.DUMMYFUNCTION("""COMPUTED_VALUE"""),7.3721948E7)</f>
        <v>73721948</v>
      </c>
      <c r="P16" s="6" t="str">
        <f>IFERROR(__xludf.DUMMYFUNCTION("""COMPUTED_VALUE"""),"NL50INGB0008768987")</f>
        <v>NL50INGB0008768987</v>
      </c>
      <c r="Q16" s="9">
        <f>IFERROR(__xludf.DUMMYFUNCTION("""COMPUTED_VALUE"""),43466.0)</f>
        <v>43466</v>
      </c>
      <c r="R16" s="6"/>
      <c r="S16" s="6" t="str">
        <f>IFERROR(__xludf.DUMMYFUNCTION("""COMPUTED_VALUE"""),"NL002507747B19")</f>
        <v>NL002507747B19</v>
      </c>
      <c r="T16" s="6">
        <f>IFERROR(__xludf.DUMMYFUNCTION("""COMPUTED_VALUE"""),6.11922071E8)</f>
        <v>611922071</v>
      </c>
      <c r="U16" s="7" t="str">
        <f>IFERROR(__xludf.DUMMYFUNCTION("""COMPUTED_VALUE"""),"Eenmanszaak")</f>
        <v>Eenmanszaak</v>
      </c>
      <c r="V16" s="7" t="str">
        <f>IFERROR(__xludf.DUMMYFUNCTION("""COMPUTED_VALUE"""),"000041730836")</f>
        <v>000041730836</v>
      </c>
      <c r="W16" s="6" t="str">
        <f>IFERROR(__xludf.DUMMYFUNCTION("""COMPUTED_VALUE"""),"ink.ahf31.2288aa@zarabota.nl")</f>
        <v>ink.ahf31.2288aa@zarabota.nl</v>
      </c>
      <c r="X16" s="6" t="str">
        <f>IFERROR(__xludf.DUMMYFUNCTION("""COMPUTED_VALUE"""),"ver.ahf31.2288aa@zarabota.nl")</f>
        <v>ver.ahf31.2288aa@zarabota.nl</v>
      </c>
      <c r="Y16" s="6" t="str">
        <f>IFERROR(__xludf.DUMMYFUNCTION("""COMPUTED_VALUE"""),"Mw.")</f>
        <v>Mw.</v>
      </c>
      <c r="Z16" s="6" t="str">
        <f>IFERROR(__xludf.DUMMYFUNCTION("""COMPUTED_VALUE"""),"Anka Hubenova")</f>
        <v>Anka Hubenova</v>
      </c>
      <c r="AA16" s="6" t="str">
        <f>IFERROR(__xludf.DUMMYFUNCTION("""COMPUTED_VALUE"""),"Filipova")</f>
        <v>Filipova</v>
      </c>
      <c r="AB16" s="6" t="str">
        <f>IFERROR(__xludf.DUMMYFUNCTION("""COMPUTED_VALUE"""),"A.H.")</f>
        <v>A.H.</v>
      </c>
      <c r="AC16" s="6">
        <f>IFERROR(__xludf.DUMMYFUNCTION("""COMPUTED_VALUE"""),6.11922071E8)</f>
        <v>611922071</v>
      </c>
      <c r="AD16" s="9">
        <f>IFERROR(__xludf.DUMMYFUNCTION("""COMPUTED_VALUE"""),26298.0)</f>
        <v>26298</v>
      </c>
      <c r="AE16" s="6" t="str">
        <f>IFERROR(__xludf.DUMMYFUNCTION("""COMPUTED_VALUE"""),"bg")</f>
        <v>bg</v>
      </c>
      <c r="AF16" s="6" t="str">
        <f>IFERROR(__xludf.DUMMYFUNCTION("""COMPUTED_VALUE"""),"Avren")</f>
        <v>Avren</v>
      </c>
      <c r="AG16" s="6" t="str">
        <f>IFERROR(__xludf.DUMMYFUNCTION("""COMPUTED_VALUE"""),"Mw. A.H. Filipova")</f>
        <v>Mw. A.H. Filipova</v>
      </c>
      <c r="AH16" s="6"/>
      <c r="AI16" s="6"/>
      <c r="AJ16" s="6"/>
      <c r="AK16" s="6"/>
      <c r="AL16" s="6"/>
      <c r="AM16" s="6"/>
      <c r="AN16" s="6" t="str">
        <f>IFERROR(__xludf.DUMMYFUNCTION("""COMPUTED_VALUE"""),"Anka Hubenova Filipova")</f>
        <v>Anka Hubenova Filipova</v>
      </c>
      <c r="AO16" s="6"/>
    </row>
    <row r="17">
      <c r="A17" s="6" t="str">
        <f>IFERROR(__xludf.DUMMYFUNCTION("""COMPUTED_VALUE"""),"Ahmed 82")</f>
        <v>Ahmed 82</v>
      </c>
      <c r="B17" s="6" t="str">
        <f>IFERROR(__xludf.DUMMYFUNCTION("""COMPUTED_VALUE"""),"Ahmed 82")</f>
        <v>Ahmed 82</v>
      </c>
      <c r="C17" s="6">
        <f>IFERROR(__xludf.DUMMYFUNCTION("""COMPUTED_VALUE"""),426.0)</f>
        <v>426</v>
      </c>
      <c r="D17" s="7" t="str">
        <f>IFERROR(__xludf.DUMMYFUNCTION("""COMPUTED_VALUE"""),"Ahmed Hilmi Kenan")</f>
        <v>Ahmed Hilmi Kenan</v>
      </c>
      <c r="E17" s="7" t="str">
        <f>IFERROR(__xludf.DUMMYFUNCTION("""COMPUTED_VALUE"""),"SBI-code: 4120 - Algemene burgerlijke en utiliteitsbouw")</f>
        <v>SBI-code: 4120 - Algemene burgerlijke en utiliteitsbouw</v>
      </c>
      <c r="F17" s="7" t="str">
        <f>IFERROR(__xludf.DUMMYFUNCTION("""COMPUTED_VALUE"""),"0645089701")</f>
        <v>0645089701</v>
      </c>
      <c r="G17" s="6" t="str">
        <f>IFERROR(__xludf.DUMMYFUNCTION("""COMPUTED_VALUE"""),"ahmedkenan82@gmail.com")</f>
        <v>ahmedkenan82@gmail.com</v>
      </c>
      <c r="H17" s="6" t="str">
        <f>IFERROR(__xludf.DUMMYFUNCTION("""COMPUTED_VALUE"""),"Barneveldstraat 17")</f>
        <v>Barneveldstraat 17</v>
      </c>
      <c r="I17" s="6" t="str">
        <f>IFERROR(__xludf.DUMMYFUNCTION("""COMPUTED_VALUE"""),"2573WB")</f>
        <v>2573WB</v>
      </c>
      <c r="J17" s="6" t="str">
        <f>IFERROR(__xludf.DUMMYFUNCTION("""COMPUTED_VALUE"""),"s-Gravenhage")</f>
        <v>s-Gravenhage</v>
      </c>
      <c r="K17" s="6" t="str">
        <f>IFERROR(__xludf.DUMMYFUNCTION("""COMPUTED_VALUE"""),"Nederland")</f>
        <v>Nederland</v>
      </c>
      <c r="L17" s="6" t="str">
        <f>IFERROR(__xludf.DUMMYFUNCTION("""COMPUTED_VALUE"""),"Кенан")</f>
        <v>Кенан</v>
      </c>
      <c r="M17" s="8">
        <f>IFERROR(__xludf.DUMMYFUNCTION("""COMPUTED_VALUE"""),43175.0)</f>
        <v>43175</v>
      </c>
      <c r="N17" s="6" t="str">
        <f>IFERROR(__xludf.DUMMYFUNCTION("""COMPUTED_VALUE"""),"NL655200046B01")</f>
        <v>NL655200046B01</v>
      </c>
      <c r="O17" s="6">
        <f>IFERROR(__xludf.DUMMYFUNCTION("""COMPUTED_VALUE"""),6.9009449E7)</f>
        <v>69009449</v>
      </c>
      <c r="P17" s="6" t="str">
        <f>IFERROR(__xludf.DUMMYFUNCTION("""COMPUTED_VALUE"""),"NL46INGB0007822339")</f>
        <v>NL46INGB0007822339</v>
      </c>
      <c r="Q17" s="9">
        <f>IFERROR(__xludf.DUMMYFUNCTION("""COMPUTED_VALUE"""),42901.0)</f>
        <v>42901</v>
      </c>
      <c r="R17" s="6"/>
      <c r="S17" s="6" t="str">
        <f>IFERROR(__xludf.DUMMYFUNCTION("""COMPUTED_VALUE"""),"NL002513371B37")</f>
        <v>NL002513371B37</v>
      </c>
      <c r="T17" s="6">
        <f>IFERROR(__xludf.DUMMYFUNCTION("""COMPUTED_VALUE"""),6.55200046E8)</f>
        <v>655200046</v>
      </c>
      <c r="U17" s="7" t="str">
        <f>IFERROR(__xludf.DUMMYFUNCTION("""COMPUTED_VALUE"""),"Eenmanszaak")</f>
        <v>Eenmanszaak</v>
      </c>
      <c r="V17" s="7" t="str">
        <f>IFERROR(__xludf.DUMMYFUNCTION("""COMPUTED_VALUE"""),"000037400126")</f>
        <v>000037400126</v>
      </c>
      <c r="W17" s="6" t="str">
        <f>IFERROR(__xludf.DUMMYFUNCTION("""COMPUTED_VALUE"""),"ink.ahmed82.2288aa@zarabota.nl")</f>
        <v>ink.ahmed82.2288aa@zarabota.nl</v>
      </c>
      <c r="X17" s="6" t="str">
        <f>IFERROR(__xludf.DUMMYFUNCTION("""COMPUTED_VALUE"""),"ver.ahmed82.2288aa@zarabota.nl")</f>
        <v>ver.ahmed82.2288aa@zarabota.nl</v>
      </c>
      <c r="Y17" s="6" t="str">
        <f>IFERROR(__xludf.DUMMYFUNCTION("""COMPUTED_VALUE"""),"Hr.")</f>
        <v>Hr.</v>
      </c>
      <c r="Z17" s="6" t="str">
        <f>IFERROR(__xludf.DUMMYFUNCTION("""COMPUTED_VALUE"""),"Ahmed Hilmi")</f>
        <v>Ahmed Hilmi</v>
      </c>
      <c r="AA17" s="6" t="str">
        <f>IFERROR(__xludf.DUMMYFUNCTION("""COMPUTED_VALUE"""),"Kenan")</f>
        <v>Kenan</v>
      </c>
      <c r="AB17" s="6" t="str">
        <f>IFERROR(__xludf.DUMMYFUNCTION("""COMPUTED_VALUE"""),"A.H.")</f>
        <v>A.H.</v>
      </c>
      <c r="AC17" s="6">
        <f>IFERROR(__xludf.DUMMYFUNCTION("""COMPUTED_VALUE"""),6.55200046E8)</f>
        <v>655200046</v>
      </c>
      <c r="AD17" s="9">
        <f>IFERROR(__xludf.DUMMYFUNCTION("""COMPUTED_VALUE"""),30130.0)</f>
        <v>30130</v>
      </c>
      <c r="AE17" s="6" t="str">
        <f>IFERROR(__xludf.DUMMYFUNCTION("""COMPUTED_VALUE"""),"bg")</f>
        <v>bg</v>
      </c>
      <c r="AF17" s="6" t="str">
        <f>IFERROR(__xludf.DUMMYFUNCTION("""COMPUTED_VALUE"""),"Ardino")</f>
        <v>Ardino</v>
      </c>
      <c r="AG17" s="6" t="str">
        <f>IFERROR(__xludf.DUMMYFUNCTION("""COMPUTED_VALUE"""),"Hr. A.H. Kenan")</f>
        <v>Hr. A.H. Kenan</v>
      </c>
      <c r="AH17" s="6"/>
      <c r="AI17" s="6"/>
      <c r="AJ17" s="6"/>
      <c r="AK17" s="6"/>
      <c r="AL17" s="6"/>
      <c r="AM17" s="6"/>
      <c r="AN17" s="6" t="str">
        <f>IFERROR(__xludf.DUMMYFUNCTION("""COMPUTED_VALUE"""),"Ahmed Hilmi Kenan")</f>
        <v>Ahmed Hilmi Kenan</v>
      </c>
      <c r="AO17" s="6"/>
    </row>
    <row r="18">
      <c r="A18" s="6" t="str">
        <f>IFERROR(__xludf.DUMMYFUNCTION("""COMPUTED_VALUE"""),"Ahmed Hasan Bouw")</f>
        <v>Ahmed Hasan Bouw</v>
      </c>
      <c r="B18" s="6" t="str">
        <f>IFERROR(__xludf.DUMMYFUNCTION("""COMPUTED_VALUE"""),"Ahmed Hasan Bouw")</f>
        <v>Ahmed Hasan Bouw</v>
      </c>
      <c r="C18" s="6">
        <f>IFERROR(__xludf.DUMMYFUNCTION("""COMPUTED_VALUE"""),1287.0)</f>
        <v>1287</v>
      </c>
      <c r="D18" s="7" t="str">
        <f>IFERROR(__xludf.DUMMYFUNCTION("""COMPUTED_VALUE"""),"Nadzhi Ahmed Hasan")</f>
        <v>Nadzhi Ahmed Hasan</v>
      </c>
      <c r="E18" s="7" t="str">
        <f>IFERROR(__xludf.DUMMYFUNCTION("""COMPUTED_VALUE"""),"SBI-code: 4120 - Algemene burgerlijke en utiliteitsbouw")</f>
        <v>SBI-code: 4120 - Algemene burgerlijke en utiliteitsbouw</v>
      </c>
      <c r="F18" s="7" t="str">
        <f>IFERROR(__xludf.DUMMYFUNCTION("""COMPUTED_VALUE"""),"0684380920")</f>
        <v>0684380920</v>
      </c>
      <c r="G18" s="6" t="str">
        <f>IFERROR(__xludf.DUMMYFUNCTION("""COMPUTED_VALUE"""),"naciahmed6@gmail.com")</f>
        <v>naciahmed6@gmail.com</v>
      </c>
      <c r="H18" s="6" t="str">
        <f>IFERROR(__xludf.DUMMYFUNCTION("""COMPUTED_VALUE"""),"Loosduinsekade 33C")</f>
        <v>Loosduinsekade 33C</v>
      </c>
      <c r="I18" s="6" t="str">
        <f>IFERROR(__xludf.DUMMYFUNCTION("""COMPUTED_VALUE"""),"2571BN")</f>
        <v>2571BN</v>
      </c>
      <c r="J18" s="6" t="str">
        <f>IFERROR(__xludf.DUMMYFUNCTION("""COMPUTED_VALUE"""),"s-Gravenhage")</f>
        <v>s-Gravenhage</v>
      </c>
      <c r="K18" s="6" t="str">
        <f>IFERROR(__xludf.DUMMYFUNCTION("""COMPUTED_VALUE"""),"Nederland")</f>
        <v>Nederland</v>
      </c>
      <c r="L18" s="6" t="str">
        <f>IFERROR(__xludf.DUMMYFUNCTION("""COMPUTED_VALUE"""),"Хасан")</f>
        <v>Хасан</v>
      </c>
      <c r="M18" s="8">
        <f>IFERROR(__xludf.DUMMYFUNCTION("""COMPUTED_VALUE"""),44501.0)</f>
        <v>44501</v>
      </c>
      <c r="N18" s="6" t="str">
        <f>IFERROR(__xludf.DUMMYFUNCTION("""COMPUTED_VALUE"""),"NL300877559B01")</f>
        <v>NL300877559B01</v>
      </c>
      <c r="O18" s="6">
        <f>IFERROR(__xludf.DUMMYFUNCTION("""COMPUTED_VALUE"""),8.4361662E7)</f>
        <v>84361662</v>
      </c>
      <c r="P18" s="6" t="str">
        <f>IFERROR(__xludf.DUMMYFUNCTION("""COMPUTED_VALUE"""),"NL44INGB0674610172")</f>
        <v>NL44INGB0674610172</v>
      </c>
      <c r="Q18" s="9">
        <f>IFERROR(__xludf.DUMMYFUNCTION("""COMPUTED_VALUE"""),44501.0)</f>
        <v>44501</v>
      </c>
      <c r="R18" s="6"/>
      <c r="S18" s="6" t="str">
        <f>IFERROR(__xludf.DUMMYFUNCTION("""COMPUTED_VALUE"""),"NL003953164B33")</f>
        <v>NL003953164B33</v>
      </c>
      <c r="T18" s="6">
        <f>IFERROR(__xludf.DUMMYFUNCTION("""COMPUTED_VALUE"""),3.00877559E8)</f>
        <v>300877559</v>
      </c>
      <c r="U18" s="7" t="str">
        <f>IFERROR(__xludf.DUMMYFUNCTION("""COMPUTED_VALUE"""),"Eenmanszaak")</f>
        <v>Eenmanszaak</v>
      </c>
      <c r="V18" s="7" t="str">
        <f>IFERROR(__xludf.DUMMYFUNCTION("""COMPUTED_VALUE"""),"000050484273")</f>
        <v>000050484273</v>
      </c>
      <c r="W18" s="6" t="str">
        <f>IFERROR(__xludf.DUMMYFUNCTION("""COMPUTED_VALUE"""),"ink.ahmedhasanbouw@zarabota.nl")</f>
        <v>ink.ahmedhasanbouw@zarabota.nl</v>
      </c>
      <c r="X18" s="6" t="str">
        <f>IFERROR(__xludf.DUMMYFUNCTION("""COMPUTED_VALUE"""),"ver.ahmedhasanbouw@zarabota.nl")</f>
        <v>ver.ahmedhasanbouw@zarabota.nl</v>
      </c>
      <c r="Y18" s="6" t="str">
        <f>IFERROR(__xludf.DUMMYFUNCTION("""COMPUTED_VALUE"""),"Hr.")</f>
        <v>Hr.</v>
      </c>
      <c r="Z18" s="6" t="str">
        <f>IFERROR(__xludf.DUMMYFUNCTION("""COMPUTED_VALUE"""),"Nadzhi Ahmed")</f>
        <v>Nadzhi Ahmed</v>
      </c>
      <c r="AA18" s="6" t="str">
        <f>IFERROR(__xludf.DUMMYFUNCTION("""COMPUTED_VALUE"""),"Hasan")</f>
        <v>Hasan</v>
      </c>
      <c r="AB18" s="6" t="str">
        <f>IFERROR(__xludf.DUMMYFUNCTION("""COMPUTED_VALUE"""),"N.A.")</f>
        <v>N.A.</v>
      </c>
      <c r="AC18" s="6">
        <f>IFERROR(__xludf.DUMMYFUNCTION("""COMPUTED_VALUE"""),3.00877559E8)</f>
        <v>300877559</v>
      </c>
      <c r="AD18" s="9">
        <f>IFERROR(__xludf.DUMMYFUNCTION("""COMPUTED_VALUE"""),25568.0)</f>
        <v>25568</v>
      </c>
      <c r="AE18" s="6" t="str">
        <f>IFERROR(__xludf.DUMMYFUNCTION("""COMPUTED_VALUE"""),"bg")</f>
        <v>bg</v>
      </c>
      <c r="AF18" s="6" t="str">
        <f>IFERROR(__xludf.DUMMYFUNCTION("""COMPUTED_VALUE"""),"Ardino")</f>
        <v>Ardino</v>
      </c>
      <c r="AG18" s="6" t="str">
        <f>IFERROR(__xludf.DUMMYFUNCTION("""COMPUTED_VALUE"""),"Hr. N.A. Hasan")</f>
        <v>Hr. N.A. Hasan</v>
      </c>
      <c r="AH18" s="6" t="str">
        <f>IFERROR(__xludf.DUMMYFUNCTION("""COMPUTED_VALUE"""),"NL65INGB0390080179")</f>
        <v>NL65INGB0390080179</v>
      </c>
      <c r="AI18" s="6"/>
      <c r="AJ18" s="6" t="str">
        <f>IFERROR(__xludf.DUMMYFUNCTION("""COMPUTED_VALUE"""),"ID Kaart")</f>
        <v>ID Kaart</v>
      </c>
      <c r="AK18" s="6">
        <f>IFERROR(__xludf.DUMMYFUNCTION("""COMPUTED_VALUE"""),6.46960283E8)</f>
        <v>646960283</v>
      </c>
      <c r="AL18" s="9">
        <f>IFERROR(__xludf.DUMMYFUNCTION("""COMPUTED_VALUE"""),46516.0)</f>
        <v>46516</v>
      </c>
      <c r="AM18" s="6" t="str">
        <f>IFERROR(__xludf.DUMMYFUNCTION("""COMPUTED_VALUE"""),"Bulgarije")</f>
        <v>Bulgarije</v>
      </c>
      <c r="AN18" s="6" t="str">
        <f>IFERROR(__xludf.DUMMYFUNCTION("""COMPUTED_VALUE"""),"Nadzhi Ahmed Hasan")</f>
        <v>Nadzhi Ahmed Hasan</v>
      </c>
      <c r="AO18" s="6">
        <f>IFERROR(__xludf.DUMMYFUNCTION("""COMPUTED_VALUE"""),1287.0)</f>
        <v>1287</v>
      </c>
    </row>
    <row r="19">
      <c r="A19" s="6" t="str">
        <f>IFERROR(__xludf.DUMMYFUNCTION("""COMPUTED_VALUE"""),"Akaris")</f>
        <v>Akaris</v>
      </c>
      <c r="B19" s="6" t="str">
        <f>IFERROR(__xludf.DUMMYFUNCTION("""COMPUTED_VALUE"""),"Akaris")</f>
        <v>Akaris</v>
      </c>
      <c r="C19" s="6">
        <f>IFERROR(__xludf.DUMMYFUNCTION("""COMPUTED_VALUE"""),827.0)</f>
        <v>827</v>
      </c>
      <c r="D19" s="7" t="str">
        <f>IFERROR(__xludf.DUMMYFUNCTION("""COMPUTED_VALUE"""),"Yordan Minkov Tsvetkov")</f>
        <v>Yordan Minkov Tsvetkov</v>
      </c>
      <c r="E19" s="7" t="str">
        <f>IFERROR(__xludf.DUMMYFUNCTION("""COMPUTED_VALUE"""),"SBI-code: 4120 - Algemene burgerlijke en utiliteitsbouw")</f>
        <v>SBI-code: 4120 - Algemene burgerlijke en utiliteitsbouw</v>
      </c>
      <c r="F19" s="7" t="str">
        <f>IFERROR(__xludf.DUMMYFUNCTION("""COMPUTED_VALUE"""),"0633037347")</f>
        <v>0633037347</v>
      </c>
      <c r="G19" s="6" t="str">
        <f>IFERROR(__xludf.DUMMYFUNCTION("""COMPUTED_VALUE"""),"akaris@abv.bg")</f>
        <v>akaris@abv.bg</v>
      </c>
      <c r="H19" s="6" t="str">
        <f>IFERROR(__xludf.DUMMYFUNCTION("""COMPUTED_VALUE"""),"Weimarstraat 60b")</f>
        <v>Weimarstraat 60b</v>
      </c>
      <c r="I19" s="6" t="str">
        <f>IFERROR(__xludf.DUMMYFUNCTION("""COMPUTED_VALUE"""),"2562HA")</f>
        <v>2562HA</v>
      </c>
      <c r="J19" s="6" t="str">
        <f>IFERROR(__xludf.DUMMYFUNCTION("""COMPUTED_VALUE"""),"s-Gravenhage")</f>
        <v>s-Gravenhage</v>
      </c>
      <c r="K19" s="6" t="str">
        <f>IFERROR(__xludf.DUMMYFUNCTION("""COMPUTED_VALUE"""),"Nederland")</f>
        <v>Nederland</v>
      </c>
      <c r="L19" s="6" t="str">
        <f>IFERROR(__xludf.DUMMYFUNCTION("""COMPUTED_VALUE"""),"Цветков")</f>
        <v>Цветков</v>
      </c>
      <c r="M19" s="8">
        <f>IFERROR(__xludf.DUMMYFUNCTION("""COMPUTED_VALUE"""),43668.0)</f>
        <v>43668</v>
      </c>
      <c r="N19" s="6" t="str">
        <f>IFERROR(__xludf.DUMMYFUNCTION("""COMPUTED_VALUE"""),"NL622062669B01")</f>
        <v>NL622062669B01</v>
      </c>
      <c r="O19" s="6">
        <f>IFERROR(__xludf.DUMMYFUNCTION("""COMPUTED_VALUE"""),7.5438445E7)</f>
        <v>75438445</v>
      </c>
      <c r="P19" s="6" t="str">
        <f>IFERROR(__xludf.DUMMYFUNCTION("""COMPUTED_VALUE"""),"NL42INGB0009249475")</f>
        <v>NL42INGB0009249475</v>
      </c>
      <c r="Q19" s="9">
        <f>IFERROR(__xludf.DUMMYFUNCTION("""COMPUTED_VALUE"""),43668.0)</f>
        <v>43668</v>
      </c>
      <c r="R19" s="6"/>
      <c r="S19" s="6" t="str">
        <f>IFERROR(__xludf.DUMMYFUNCTION("""COMPUTED_VALUE"""),"NL002509090B57")</f>
        <v>NL002509090B57</v>
      </c>
      <c r="T19" s="6">
        <f>IFERROR(__xludf.DUMMYFUNCTION("""COMPUTED_VALUE"""),6.22062669E8)</f>
        <v>622062669</v>
      </c>
      <c r="U19" s="7" t="str">
        <f>IFERROR(__xludf.DUMMYFUNCTION("""COMPUTED_VALUE"""),"Eenmanszaak")</f>
        <v>Eenmanszaak</v>
      </c>
      <c r="V19" s="7" t="str">
        <f>IFERROR(__xludf.DUMMYFUNCTION("""COMPUTED_VALUE"""),"000043307493")</f>
        <v>000043307493</v>
      </c>
      <c r="W19" s="6" t="str">
        <f>IFERROR(__xludf.DUMMYFUNCTION("""COMPUTED_VALUE"""),"ink.akaris.2288aa@zarabota.nl")</f>
        <v>ink.akaris.2288aa@zarabota.nl</v>
      </c>
      <c r="X19" s="6" t="str">
        <f>IFERROR(__xludf.DUMMYFUNCTION("""COMPUTED_VALUE"""),"ver.akaris.2288aa@zarabota.nl")</f>
        <v>ver.akaris.2288aa@zarabota.nl</v>
      </c>
      <c r="Y19" s="6" t="str">
        <f>IFERROR(__xludf.DUMMYFUNCTION("""COMPUTED_VALUE"""),"Hr.")</f>
        <v>Hr.</v>
      </c>
      <c r="Z19" s="6" t="str">
        <f>IFERROR(__xludf.DUMMYFUNCTION("""COMPUTED_VALUE"""),"Yordan Minkov")</f>
        <v>Yordan Minkov</v>
      </c>
      <c r="AA19" s="6" t="str">
        <f>IFERROR(__xludf.DUMMYFUNCTION("""COMPUTED_VALUE"""),"Tsvetkov")</f>
        <v>Tsvetkov</v>
      </c>
      <c r="AB19" s="6" t="str">
        <f>IFERROR(__xludf.DUMMYFUNCTION("""COMPUTED_VALUE"""),"Y.M.")</f>
        <v>Y.M.</v>
      </c>
      <c r="AC19" s="6">
        <f>IFERROR(__xludf.DUMMYFUNCTION("""COMPUTED_VALUE"""),6.22062669E8)</f>
        <v>622062669</v>
      </c>
      <c r="AD19" s="9">
        <f>IFERROR(__xludf.DUMMYFUNCTION("""COMPUTED_VALUE"""),26046.0)</f>
        <v>26046</v>
      </c>
      <c r="AE19" s="6" t="str">
        <f>IFERROR(__xludf.DUMMYFUNCTION("""COMPUTED_VALUE"""),"bg")</f>
        <v>bg</v>
      </c>
      <c r="AF19" s="6" t="str">
        <f>IFERROR(__xludf.DUMMYFUNCTION("""COMPUTED_VALUE"""),"Troyan")</f>
        <v>Troyan</v>
      </c>
      <c r="AG19" s="6" t="str">
        <f>IFERROR(__xludf.DUMMYFUNCTION("""COMPUTED_VALUE"""),"Hr. Y.M. Tsvetkov")</f>
        <v>Hr. Y.M. Tsvetkov</v>
      </c>
      <c r="AH19" s="6" t="str">
        <f>IFERROR(__xludf.DUMMYFUNCTION("""COMPUTED_VALUE"""),"NL18INGB0795720572")</f>
        <v>NL18INGB0795720572</v>
      </c>
      <c r="AI19" s="6"/>
      <c r="AJ19" s="6" t="str">
        <f>IFERROR(__xludf.DUMMYFUNCTION("""COMPUTED_VALUE"""),"ID Kaart")</f>
        <v>ID Kaart</v>
      </c>
      <c r="AK19" s="6">
        <f>IFERROR(__xludf.DUMMYFUNCTION("""COMPUTED_VALUE"""),6.41238571E8)</f>
        <v>641238571</v>
      </c>
      <c r="AL19" s="9">
        <f>IFERROR(__xludf.DUMMYFUNCTION("""COMPUTED_VALUE"""),44140.0)</f>
        <v>44140</v>
      </c>
      <c r="AM19" s="6"/>
      <c r="AN19" s="6" t="str">
        <f>IFERROR(__xludf.DUMMYFUNCTION("""COMPUTED_VALUE"""),"Yordan Minkov Tsvetkov")</f>
        <v>Yordan Minkov Tsvetkov</v>
      </c>
      <c r="AO19" s="6"/>
    </row>
    <row r="20">
      <c r="A20" s="6" t="str">
        <f>IFERROR(__xludf.DUMMYFUNCTION("""COMPUTED_VALUE"""),"Aleksi 90")</f>
        <v>Aleksi 90</v>
      </c>
      <c r="B20" s="6" t="str">
        <f>IFERROR(__xludf.DUMMYFUNCTION("""COMPUTED_VALUE"""),"Aleksi 90")</f>
        <v>Aleksi 90</v>
      </c>
      <c r="C20" s="6">
        <f>IFERROR(__xludf.DUMMYFUNCTION("""COMPUTED_VALUE"""),1168.0)</f>
        <v>1168</v>
      </c>
      <c r="D20" s="7" t="str">
        <f>IFERROR(__xludf.DUMMYFUNCTION("""COMPUTED_VALUE"""),"Aleksi Aleksandrov Angelov")</f>
        <v>Aleksi Aleksandrov Angelov</v>
      </c>
      <c r="E20" s="7" t="str">
        <f>IFERROR(__xludf.DUMMYFUNCTION("""COMPUTED_VALUE"""),"SBI-code: 4120 - Algemene burgerlijke en utiliteitsbouw")</f>
        <v>SBI-code: 4120 - Algemene burgerlijke en utiliteitsbouw</v>
      </c>
      <c r="F20" s="7" t="str">
        <f>IFERROR(__xludf.DUMMYFUNCTION("""COMPUTED_VALUE"""),"0613697042")</f>
        <v>0613697042</v>
      </c>
      <c r="G20" s="6" t="str">
        <f>IFERROR(__xludf.DUMMYFUNCTION("""COMPUTED_VALUE"""),"aleksi_angelov1@hotmail.com")</f>
        <v>aleksi_angelov1@hotmail.com</v>
      </c>
      <c r="H20" s="6" t="str">
        <f>IFERROR(__xludf.DUMMYFUNCTION("""COMPUTED_VALUE"""),"Kempenaar 01 48")</f>
        <v>Kempenaar 01 48</v>
      </c>
      <c r="I20" s="6" t="str">
        <f>IFERROR(__xludf.DUMMYFUNCTION("""COMPUTED_VALUE"""),"8242BA")</f>
        <v>8242BA</v>
      </c>
      <c r="J20" s="6" t="str">
        <f>IFERROR(__xludf.DUMMYFUNCTION("""COMPUTED_VALUE"""),"s-Gravenhage")</f>
        <v>s-Gravenhage</v>
      </c>
      <c r="K20" s="6" t="str">
        <f>IFERROR(__xludf.DUMMYFUNCTION("""COMPUTED_VALUE"""),"Nederland")</f>
        <v>Nederland</v>
      </c>
      <c r="L20" s="6" t="str">
        <f>IFERROR(__xludf.DUMMYFUNCTION("""COMPUTED_VALUE"""),"Ангелов")</f>
        <v>Ангелов</v>
      </c>
      <c r="M20" s="8">
        <f>IFERROR(__xludf.DUMMYFUNCTION("""COMPUTED_VALUE"""),44298.0)</f>
        <v>44298</v>
      </c>
      <c r="N20" s="6" t="str">
        <f>IFERROR(__xludf.DUMMYFUNCTION("""COMPUTED_VALUE"""),"NL515717435B02")</f>
        <v>NL515717435B02</v>
      </c>
      <c r="O20" s="6">
        <f>IFERROR(__xludf.DUMMYFUNCTION("""COMPUTED_VALUE"""),8.2642044E7)</f>
        <v>82642044</v>
      </c>
      <c r="P20" s="6" t="str">
        <f>IFERROR(__xludf.DUMMYFUNCTION("""COMPUTED_VALUE"""),"NL96INGB0008051814")</f>
        <v>NL96INGB0008051814</v>
      </c>
      <c r="Q20" s="9">
        <f>IFERROR(__xludf.DUMMYFUNCTION("""COMPUTED_VALUE"""),44298.0)</f>
        <v>44298</v>
      </c>
      <c r="R20" s="6"/>
      <c r="S20" s="6" t="str">
        <f>IFERROR(__xludf.DUMMYFUNCTION("""COMPUTED_VALUE"""),"NL003708714B26")</f>
        <v>NL003708714B26</v>
      </c>
      <c r="T20" s="6">
        <f>IFERROR(__xludf.DUMMYFUNCTION("""COMPUTED_VALUE"""),5.15717435E8)</f>
        <v>515717435</v>
      </c>
      <c r="U20" s="7" t="str">
        <f>IFERROR(__xludf.DUMMYFUNCTION("""COMPUTED_VALUE"""),"Eenmanszaak")</f>
        <v>Eenmanszaak</v>
      </c>
      <c r="V20" s="7" t="str">
        <f>IFERROR(__xludf.DUMMYFUNCTION("""COMPUTED_VALUE"""),"000048863548")</f>
        <v>000048863548</v>
      </c>
      <c r="W20" s="6" t="str">
        <f>IFERROR(__xludf.DUMMYFUNCTION("""COMPUTED_VALUE"""),"ink.aleksi90.2288aa@zarabota.nl")</f>
        <v>ink.aleksi90.2288aa@zarabota.nl</v>
      </c>
      <c r="X20" s="6" t="str">
        <f>IFERROR(__xludf.DUMMYFUNCTION("""COMPUTED_VALUE"""),"ver.aleksi90.2288aa@zarabota.nl")</f>
        <v>ver.aleksi90.2288aa@zarabota.nl</v>
      </c>
      <c r="Y20" s="6" t="str">
        <f>IFERROR(__xludf.DUMMYFUNCTION("""COMPUTED_VALUE"""),"Hr.")</f>
        <v>Hr.</v>
      </c>
      <c r="Z20" s="6" t="str">
        <f>IFERROR(__xludf.DUMMYFUNCTION("""COMPUTED_VALUE"""),"Aleksi Aleksandrov")</f>
        <v>Aleksi Aleksandrov</v>
      </c>
      <c r="AA20" s="6" t="str">
        <f>IFERROR(__xludf.DUMMYFUNCTION("""COMPUTED_VALUE"""),"Angelov")</f>
        <v>Angelov</v>
      </c>
      <c r="AB20" s="6" t="str">
        <f>IFERROR(__xludf.DUMMYFUNCTION("""COMPUTED_VALUE"""),"A.A.")</f>
        <v>A.A.</v>
      </c>
      <c r="AC20" s="6">
        <f>IFERROR(__xludf.DUMMYFUNCTION("""COMPUTED_VALUE"""),5.15717435E8)</f>
        <v>515717435</v>
      </c>
      <c r="AD20" s="9">
        <f>IFERROR(__xludf.DUMMYFUNCTION("""COMPUTED_VALUE"""),33057.0)</f>
        <v>33057</v>
      </c>
      <c r="AE20" s="6" t="str">
        <f>IFERROR(__xludf.DUMMYFUNCTION("""COMPUTED_VALUE"""),"bg")</f>
        <v>bg</v>
      </c>
      <c r="AF20" s="6" t="str">
        <f>IFERROR(__xludf.DUMMYFUNCTION("""COMPUTED_VALUE"""),"Cherven Bryag")</f>
        <v>Cherven Bryag</v>
      </c>
      <c r="AG20" s="6" t="str">
        <f>IFERROR(__xludf.DUMMYFUNCTION("""COMPUTED_VALUE"""),"Hr. A.A. Angelov")</f>
        <v>Hr. A.A. Angelov</v>
      </c>
      <c r="AH20" s="6" t="str">
        <f>IFERROR(__xludf.DUMMYFUNCTION("""COMPUTED_VALUE"""),"NL13INGB0672820692")</f>
        <v>NL13INGB0672820692</v>
      </c>
      <c r="AI20" s="9">
        <f>IFERROR(__xludf.DUMMYFUNCTION("""COMPUTED_VALUE"""),43557.0)</f>
        <v>43557</v>
      </c>
      <c r="AJ20" s="6" t="str">
        <f>IFERROR(__xludf.DUMMYFUNCTION("""COMPUTED_VALUE"""),"ID Kaart")</f>
        <v>ID Kaart</v>
      </c>
      <c r="AK20" s="6">
        <f>IFERROR(__xludf.DUMMYFUNCTION("""COMPUTED_VALUE"""),6.50122922E8)</f>
        <v>650122922</v>
      </c>
      <c r="AL20" s="9">
        <f>IFERROR(__xludf.DUMMYFUNCTION("""COMPUTED_VALUE"""),47915.0)</f>
        <v>47915</v>
      </c>
      <c r="AM20" s="6" t="str">
        <f>IFERROR(__xludf.DUMMYFUNCTION("""COMPUTED_VALUE"""),"Bulgarije")</f>
        <v>Bulgarije</v>
      </c>
      <c r="AN20" s="6" t="str">
        <f>IFERROR(__xludf.DUMMYFUNCTION("""COMPUTED_VALUE"""),"Aleksi Aleksandrov Angelov")</f>
        <v>Aleksi Aleksandrov Angelov</v>
      </c>
      <c r="AO20" s="6">
        <f>IFERROR(__xludf.DUMMYFUNCTION("""COMPUTED_VALUE"""),1168.0)</f>
        <v>1168</v>
      </c>
    </row>
    <row r="21">
      <c r="A21" s="6" t="str">
        <f>IFERROR(__xludf.DUMMYFUNCTION("""COMPUTED_VALUE"""),"Aleksiev.CEM")</f>
        <v>Aleksiev.CEM</v>
      </c>
      <c r="B21" s="6" t="str">
        <f>IFERROR(__xludf.DUMMYFUNCTION("""COMPUTED_VALUE"""),"Aleksiev.CEM")</f>
        <v>Aleksiev.CEM</v>
      </c>
      <c r="C21" s="6">
        <f>IFERROR(__xludf.DUMMYFUNCTION("""COMPUTED_VALUE"""),589.0)</f>
        <v>589</v>
      </c>
      <c r="D21" s="7" t="str">
        <f>IFERROR(__xludf.DUMMYFUNCTION("""COMPUTED_VALUE"""),"Simeon Antonov Aleksiev")</f>
        <v>Simeon Antonov Aleksiev</v>
      </c>
      <c r="E21" s="7" t="str">
        <f>IFERROR(__xludf.DUMMYFUNCTION("""COMPUTED_VALUE"""),"SBI-code: 4120 - Algemene burgerlijke en utiliteitsbouw")</f>
        <v>SBI-code: 4120 - Algemene burgerlijke en utiliteitsbouw</v>
      </c>
      <c r="F21" s="7" t="str">
        <f>IFERROR(__xludf.DUMMYFUNCTION("""COMPUTED_VALUE"""),"0683928954")</f>
        <v>0683928954</v>
      </c>
      <c r="G21" s="6" t="str">
        <f>IFERROR(__xludf.DUMMYFUNCTION("""COMPUTED_VALUE"""),"topcusinan1972@gmail.com")</f>
        <v>topcusinan1972@gmail.com</v>
      </c>
      <c r="H21" s="6" t="str">
        <f>IFERROR(__xludf.DUMMYFUNCTION("""COMPUTED_VALUE"""),"Van Oosterwijk Bruynstraat 10")</f>
        <v>Van Oosterwijk Bruynstraat 10</v>
      </c>
      <c r="I21" s="6" t="str">
        <f>IFERROR(__xludf.DUMMYFUNCTION("""COMPUTED_VALUE"""),"2523XR")</f>
        <v>2523XR</v>
      </c>
      <c r="J21" s="6" t="str">
        <f>IFERROR(__xludf.DUMMYFUNCTION("""COMPUTED_VALUE"""),"s-Gravenhage")</f>
        <v>s-Gravenhage</v>
      </c>
      <c r="K21" s="6" t="str">
        <f>IFERROR(__xludf.DUMMYFUNCTION("""COMPUTED_VALUE"""),"Nederland")</f>
        <v>Nederland</v>
      </c>
      <c r="L21" s="6" t="str">
        <f>IFERROR(__xludf.DUMMYFUNCTION("""COMPUTED_VALUE"""),"Алексиев")</f>
        <v>Алексиев</v>
      </c>
      <c r="M21" s="8">
        <f>IFERROR(__xludf.DUMMYFUNCTION("""COMPUTED_VALUE"""),43243.0)</f>
        <v>43243</v>
      </c>
      <c r="N21" s="6" t="str">
        <f>IFERROR(__xludf.DUMMYFUNCTION("""COMPUTED_VALUE"""),"NL330857848B01")</f>
        <v>NL330857848B01</v>
      </c>
      <c r="O21" s="6">
        <f>IFERROR(__xludf.DUMMYFUNCTION("""COMPUTED_VALUE"""),7.1731792E7)</f>
        <v>71731792</v>
      </c>
      <c r="P21" s="6" t="str">
        <f>IFERROR(__xludf.DUMMYFUNCTION("""COMPUTED_VALUE"""),"NL27INGB0008367821")</f>
        <v>NL27INGB0008367821</v>
      </c>
      <c r="Q21" s="9">
        <f>IFERROR(__xludf.DUMMYFUNCTION("""COMPUTED_VALUE"""),43243.0)</f>
        <v>43243</v>
      </c>
      <c r="R21" s="6"/>
      <c r="S21" s="6" t="str">
        <f>IFERROR(__xludf.DUMMYFUNCTION("""COMPUTED_VALUE"""),"NL002469903B48")</f>
        <v>NL002469903B48</v>
      </c>
      <c r="T21" s="6">
        <f>IFERROR(__xludf.DUMMYFUNCTION("""COMPUTED_VALUE"""),3.30857848E8)</f>
        <v>330857848</v>
      </c>
      <c r="U21" s="7" t="str">
        <f>IFERROR(__xludf.DUMMYFUNCTION("""COMPUTED_VALUE"""),"Eenmanszaak")</f>
        <v>Eenmanszaak</v>
      </c>
      <c r="V21" s="7" t="str">
        <f>IFERROR(__xludf.DUMMYFUNCTION("""COMPUTED_VALUE"""),"000039897397")</f>
        <v>000039897397</v>
      </c>
      <c r="W21" s="6" t="str">
        <f>IFERROR(__xludf.DUMMYFUNCTION("""COMPUTED_VALUE"""),"ink.aleksiev.cem.2288aa@zarabota.nl")</f>
        <v>ink.aleksiev.cem.2288aa@zarabota.nl</v>
      </c>
      <c r="X21" s="6" t="str">
        <f>IFERROR(__xludf.DUMMYFUNCTION("""COMPUTED_VALUE"""),"ver.aleksiev.cem.2288aa@zarabota.nl")</f>
        <v>ver.aleksiev.cem.2288aa@zarabota.nl</v>
      </c>
      <c r="Y21" s="6" t="str">
        <f>IFERROR(__xludf.DUMMYFUNCTION("""COMPUTED_VALUE"""),"Hr.")</f>
        <v>Hr.</v>
      </c>
      <c r="Z21" s="6" t="str">
        <f>IFERROR(__xludf.DUMMYFUNCTION("""COMPUTED_VALUE"""),"Simeon Antonov")</f>
        <v>Simeon Antonov</v>
      </c>
      <c r="AA21" s="6" t="str">
        <f>IFERROR(__xludf.DUMMYFUNCTION("""COMPUTED_VALUE"""),"Aleksiev")</f>
        <v>Aleksiev</v>
      </c>
      <c r="AB21" s="6" t="str">
        <f>IFERROR(__xludf.DUMMYFUNCTION("""COMPUTED_VALUE"""),"S.A.")</f>
        <v>S.A.</v>
      </c>
      <c r="AC21" s="6">
        <f>IFERROR(__xludf.DUMMYFUNCTION("""COMPUTED_VALUE"""),3.30857848E8)</f>
        <v>330857848</v>
      </c>
      <c r="AD21" s="9">
        <f>IFERROR(__xludf.DUMMYFUNCTION("""COMPUTED_VALUE"""),26436.0)</f>
        <v>26436</v>
      </c>
      <c r="AE21" s="6" t="str">
        <f>IFERROR(__xludf.DUMMYFUNCTION("""COMPUTED_VALUE"""),"bg")</f>
        <v>bg</v>
      </c>
      <c r="AF21" s="6" t="str">
        <f>IFERROR(__xludf.DUMMYFUNCTION("""COMPUTED_VALUE"""),"Kardzhali")</f>
        <v>Kardzhali</v>
      </c>
      <c r="AG21" s="6" t="str">
        <f>IFERROR(__xludf.DUMMYFUNCTION("""COMPUTED_VALUE"""),"Hr. S.A. Aleksiev")</f>
        <v>Hr. S.A. Aleksiev</v>
      </c>
      <c r="AH21" s="6"/>
      <c r="AI21" s="6"/>
      <c r="AJ21" s="6"/>
      <c r="AK21" s="6"/>
      <c r="AL21" s="6"/>
      <c r="AM21" s="6"/>
      <c r="AN21" s="6" t="str">
        <f>IFERROR(__xludf.DUMMYFUNCTION("""COMPUTED_VALUE"""),"Simeon Antonov Aleksiev")</f>
        <v>Simeon Antonov Aleksiev</v>
      </c>
      <c r="AO21" s="6"/>
    </row>
    <row r="22">
      <c r="A22" s="6" t="str">
        <f>IFERROR(__xludf.DUMMYFUNCTION("""COMPUTED_VALUE"""),"Alex 84 VOF")</f>
        <v>Alex 84 VOF</v>
      </c>
      <c r="B22" s="6" t="str">
        <f>IFERROR(__xludf.DUMMYFUNCTION("""COMPUTED_VALUE"""),"Alex 84 VOF")</f>
        <v>Alex 84 VOF</v>
      </c>
      <c r="C22" s="6">
        <f>IFERROR(__xludf.DUMMYFUNCTION("""COMPUTED_VALUE"""),133.0)</f>
        <v>133</v>
      </c>
      <c r="D22" s="7" t="str">
        <f>IFERROR(__xludf.DUMMYFUNCTION("""COMPUTED_VALUE"""),"Safet Azizov Zelenkov")</f>
        <v>Safet Azizov Zelenkov</v>
      </c>
      <c r="E22" s="7" t="str">
        <f>IFERROR(__xludf.DUMMYFUNCTION("""COMPUTED_VALUE"""),"SBI-code: 4120 - Algemene burgerlijke en utiliteitsbouw")</f>
        <v>SBI-code: 4120 - Algemene burgerlijke en utiliteitsbouw</v>
      </c>
      <c r="F22" s="7" t="str">
        <f>IFERROR(__xludf.DUMMYFUNCTION("""COMPUTED_VALUE"""),"0687278889")</f>
        <v>0687278889</v>
      </c>
      <c r="G22" s="6" t="str">
        <f>IFERROR(__xludf.DUMMYFUNCTION("""COMPUTED_VALUE"""),"zelenkov48@gmail.com")</f>
        <v>zelenkov48@gmail.com</v>
      </c>
      <c r="H22" s="6" t="str">
        <f>IFERROR(__xludf.DUMMYFUNCTION("""COMPUTED_VALUE"""),"Spionkopstraat 114")</f>
        <v>Spionkopstraat 114</v>
      </c>
      <c r="I22" s="6" t="str">
        <f>IFERROR(__xludf.DUMMYFUNCTION("""COMPUTED_VALUE"""),"2572NP")</f>
        <v>2572NP</v>
      </c>
      <c r="J22" s="6" t="str">
        <f>IFERROR(__xludf.DUMMYFUNCTION("""COMPUTED_VALUE"""),"s-Gravenhage")</f>
        <v>s-Gravenhage</v>
      </c>
      <c r="K22" s="6" t="str">
        <f>IFERROR(__xludf.DUMMYFUNCTION("""COMPUTED_VALUE"""),"Nederland")</f>
        <v>Nederland</v>
      </c>
      <c r="L22" s="6" t="str">
        <f>IFERROR(__xludf.DUMMYFUNCTION("""COMPUTED_VALUE"""),"Зеленков")</f>
        <v>Зеленков</v>
      </c>
      <c r="M22" s="8">
        <f>IFERROR(__xludf.DUMMYFUNCTION("""COMPUTED_VALUE"""),43175.0)</f>
        <v>43175</v>
      </c>
      <c r="N22" s="6" t="str">
        <f>IFERROR(__xludf.DUMMYFUNCTION("""COMPUTED_VALUE"""),"NL854409130B01")</f>
        <v>NL854409130B01</v>
      </c>
      <c r="O22" s="6">
        <f>IFERROR(__xludf.DUMMYFUNCTION("""COMPUTED_VALUE"""),6.1601802E7)</f>
        <v>61601802</v>
      </c>
      <c r="P22" s="6" t="str">
        <f>IFERROR(__xludf.DUMMYFUNCTION("""COMPUTED_VALUE"""),"NL28INGB0006941806")</f>
        <v>NL28INGB0006941806</v>
      </c>
      <c r="Q22" s="9">
        <f>IFERROR(__xludf.DUMMYFUNCTION("""COMPUTED_VALUE"""),41913.0)</f>
        <v>41913</v>
      </c>
      <c r="R22" s="6"/>
      <c r="S22" s="6" t="str">
        <f>IFERROR(__xludf.DUMMYFUNCTION("""COMPUTED_VALUE"""),"NL854409130B01")</f>
        <v>NL854409130B01</v>
      </c>
      <c r="T22" s="6">
        <f>IFERROR(__xludf.DUMMYFUNCTION("""COMPUTED_VALUE"""),8.5440913E8)</f>
        <v>854409130</v>
      </c>
      <c r="U22" s="7" t="str">
        <f>IFERROR(__xludf.DUMMYFUNCTION("""COMPUTED_VALUE"""),"Eenmanszaak")</f>
        <v>Eenmanszaak</v>
      </c>
      <c r="V22" s="7" t="str">
        <f>IFERROR(__xludf.DUMMYFUNCTION("""COMPUTED_VALUE"""),"000025224719")</f>
        <v>000025224719</v>
      </c>
      <c r="W22" s="6" t="str">
        <f>IFERROR(__xludf.DUMMYFUNCTION("""COMPUTED_VALUE"""),"ink.alex84vof.2288aa@zarabota.nl")</f>
        <v>ink.alex84vof.2288aa@zarabota.nl</v>
      </c>
      <c r="X22" s="6" t="str">
        <f>IFERROR(__xludf.DUMMYFUNCTION("""COMPUTED_VALUE"""),"ver.alex84vof.2288aa@zarabota.nl")</f>
        <v>ver.alex84vof.2288aa@zarabota.nl</v>
      </c>
      <c r="Y22" s="6" t="str">
        <f>IFERROR(__xludf.DUMMYFUNCTION("""COMPUTED_VALUE"""),"Hr.")</f>
        <v>Hr.</v>
      </c>
      <c r="Z22" s="6" t="str">
        <f>IFERROR(__xludf.DUMMYFUNCTION("""COMPUTED_VALUE"""),"Safet Azizov")</f>
        <v>Safet Azizov</v>
      </c>
      <c r="AA22" s="6" t="str">
        <f>IFERROR(__xludf.DUMMYFUNCTION("""COMPUTED_VALUE"""),"Zelenkov")</f>
        <v>Zelenkov</v>
      </c>
      <c r="AB22" s="6" t="str">
        <f>IFERROR(__xludf.DUMMYFUNCTION("""COMPUTED_VALUE"""),"S.A.")</f>
        <v>S.A.</v>
      </c>
      <c r="AC22" s="6">
        <f>IFERROR(__xludf.DUMMYFUNCTION("""COMPUTED_VALUE"""),3.23804615E8)</f>
        <v>323804615</v>
      </c>
      <c r="AD22" s="9">
        <f>IFERROR(__xludf.DUMMYFUNCTION("""COMPUTED_VALUE"""),30762.0)</f>
        <v>30762</v>
      </c>
      <c r="AE22" s="6" t="str">
        <f>IFERROR(__xludf.DUMMYFUNCTION("""COMPUTED_VALUE"""),"bg")</f>
        <v>bg</v>
      </c>
      <c r="AF22" s="6" t="str">
        <f>IFERROR(__xludf.DUMMYFUNCTION("""COMPUTED_VALUE"""),"Ardino")</f>
        <v>Ardino</v>
      </c>
      <c r="AG22" s="6" t="str">
        <f>IFERROR(__xludf.DUMMYFUNCTION("""COMPUTED_VALUE"""),"Hr. S.A. Zelenkov")</f>
        <v>Hr. S.A. Zelenkov</v>
      </c>
      <c r="AH22" s="6"/>
      <c r="AI22" s="6"/>
      <c r="AJ22" s="6"/>
      <c r="AK22" s="6"/>
      <c r="AL22" s="6"/>
      <c r="AM22" s="6"/>
      <c r="AN22" s="6" t="str">
        <f>IFERROR(__xludf.DUMMYFUNCTION("""COMPUTED_VALUE"""),"Safet Azizov Zelenkov")</f>
        <v>Safet Azizov Zelenkov</v>
      </c>
      <c r="AO22" s="6"/>
    </row>
    <row r="23">
      <c r="A23" s="6" t="str">
        <f>IFERROR(__xludf.DUMMYFUNCTION("""COMPUTED_VALUE"""),"Alex Kotsarov Bouw")</f>
        <v>Alex Kotsarov Bouw</v>
      </c>
      <c r="B23" s="6" t="str">
        <f>IFERROR(__xludf.DUMMYFUNCTION("""COMPUTED_VALUE"""),"Alex Kotsarov Bouw")</f>
        <v>Alex Kotsarov Bouw</v>
      </c>
      <c r="C23" s="6">
        <f>IFERROR(__xludf.DUMMYFUNCTION("""COMPUTED_VALUE"""),1693.0)</f>
        <v>1693</v>
      </c>
      <c r="D23" s="7" t="str">
        <f>IFERROR(__xludf.DUMMYFUNCTION("""COMPUTED_VALUE"""),"Aleks Anatoliev Kotsarov")</f>
        <v>Aleks Anatoliev Kotsarov</v>
      </c>
      <c r="E23" s="7" t="str">
        <f>IFERROR(__xludf.DUMMYFUNCTION("""COMPUTED_VALUE"""),"SBI-code: 4331 - Stukadoren")</f>
        <v>SBI-code: 4331 - Stukadoren</v>
      </c>
      <c r="F23" s="7" t="str">
        <f>IFERROR(__xludf.DUMMYFUNCTION("""COMPUTED_VALUE"""),"0644431633")</f>
        <v>0644431633</v>
      </c>
      <c r="G23" s="6" t="str">
        <f>IFERROR(__xludf.DUMMYFUNCTION("""COMPUTED_VALUE"""),"alexkotsarov93@gmail.com")</f>
        <v>alexkotsarov93@gmail.com</v>
      </c>
      <c r="H23" s="6" t="str">
        <f>IFERROR(__xludf.DUMMYFUNCTION("""COMPUTED_VALUE"""),"Loosduinsekade 390")</f>
        <v>Loosduinsekade 390</v>
      </c>
      <c r="I23" s="6" t="str">
        <f>IFERROR(__xludf.DUMMYFUNCTION("""COMPUTED_VALUE"""),"2571CH")</f>
        <v>2571CH</v>
      </c>
      <c r="J23" s="6" t="str">
        <f>IFERROR(__xludf.DUMMYFUNCTION("""COMPUTED_VALUE"""),"s-Gravenhage")</f>
        <v>s-Gravenhage</v>
      </c>
      <c r="K23" s="6" t="str">
        <f>IFERROR(__xludf.DUMMYFUNCTION("""COMPUTED_VALUE"""),"Nederland")</f>
        <v>Nederland</v>
      </c>
      <c r="L23" s="6" t="str">
        <f>IFERROR(__xludf.DUMMYFUNCTION("""COMPUTED_VALUE"""),"Коцаров")</f>
        <v>Коцаров</v>
      </c>
      <c r="M23" s="8">
        <f>IFERROR(__xludf.DUMMYFUNCTION("""COMPUTED_VALUE"""),45748.0)</f>
        <v>45748</v>
      </c>
      <c r="N23" s="6" t="str">
        <f>IFERROR(__xludf.DUMMYFUNCTION("""COMPUTED_VALUE"""),"NL355239395B01")</f>
        <v>NL355239395B01</v>
      </c>
      <c r="O23" s="6">
        <f>IFERROR(__xludf.DUMMYFUNCTION("""COMPUTED_VALUE"""),6.8151764E7)</f>
        <v>68151764</v>
      </c>
      <c r="P23" s="6" t="str">
        <f>IFERROR(__xludf.DUMMYFUNCTION("""COMPUTED_VALUE"""),"NL28INGB0007649712")</f>
        <v>NL28INGB0007649712</v>
      </c>
      <c r="Q23" s="9">
        <f>IFERROR(__xludf.DUMMYFUNCTION("""COMPUTED_VALUE"""),42789.0)</f>
        <v>42789</v>
      </c>
      <c r="R23" s="6"/>
      <c r="S23" s="6" t="str">
        <f>IFERROR(__xludf.DUMMYFUNCTION("""COMPUTED_VALUE"""),"NL002473674B59")</f>
        <v>NL002473674B59</v>
      </c>
      <c r="T23" s="6">
        <f>IFERROR(__xludf.DUMMYFUNCTION("""COMPUTED_VALUE"""),3.55239395E8)</f>
        <v>355239395</v>
      </c>
      <c r="U23" s="7" t="str">
        <f>IFERROR(__xludf.DUMMYFUNCTION("""COMPUTED_VALUE"""),"Eenmanszaak")</f>
        <v>Eenmanszaak</v>
      </c>
      <c r="V23" s="7" t="str">
        <f>IFERROR(__xludf.DUMMYFUNCTION("""COMPUTED_VALUE"""),"000036618365")</f>
        <v>000036618365</v>
      </c>
      <c r="W23" s="6" t="str">
        <f>IFERROR(__xludf.DUMMYFUNCTION("""COMPUTED_VALUE"""),"ink.alexkotsarov.2288aa@zarabota.nl")</f>
        <v>ink.alexkotsarov.2288aa@zarabota.nl</v>
      </c>
      <c r="X23" s="6" t="str">
        <f>IFERROR(__xludf.DUMMYFUNCTION("""COMPUTED_VALUE"""),"ver.alexkotsarov.2288aa@zarabota.nl")</f>
        <v>ver.alexkotsarov.2288aa@zarabota.nl</v>
      </c>
      <c r="Y23" s="6" t="str">
        <f>IFERROR(__xludf.DUMMYFUNCTION("""COMPUTED_VALUE"""),"Hr.")</f>
        <v>Hr.</v>
      </c>
      <c r="Z23" s="6" t="str">
        <f>IFERROR(__xludf.DUMMYFUNCTION("""COMPUTED_VALUE"""),"Aleks Anatoliev")</f>
        <v>Aleks Anatoliev</v>
      </c>
      <c r="AA23" s="6" t="str">
        <f>IFERROR(__xludf.DUMMYFUNCTION("""COMPUTED_VALUE"""),"Kotsarov")</f>
        <v>Kotsarov</v>
      </c>
      <c r="AB23" s="6" t="str">
        <f>IFERROR(__xludf.DUMMYFUNCTION("""COMPUTED_VALUE"""),"A.A.")</f>
        <v>A.A.</v>
      </c>
      <c r="AC23" s="6">
        <f>IFERROR(__xludf.DUMMYFUNCTION("""COMPUTED_VALUE"""),3.55239395E8)</f>
        <v>355239395</v>
      </c>
      <c r="AD23" s="9">
        <f>IFERROR(__xludf.DUMMYFUNCTION("""COMPUTED_VALUE"""),34120.0)</f>
        <v>34120</v>
      </c>
      <c r="AE23" s="6" t="str">
        <f>IFERROR(__xludf.DUMMYFUNCTION("""COMPUTED_VALUE"""),"bg")</f>
        <v>bg</v>
      </c>
      <c r="AF23" s="6" t="str">
        <f>IFERROR(__xludf.DUMMYFUNCTION("""COMPUTED_VALUE"""),"Smolyan")</f>
        <v>Smolyan</v>
      </c>
      <c r="AG23" s="6" t="str">
        <f>IFERROR(__xludf.DUMMYFUNCTION("""COMPUTED_VALUE"""),"Hr. A.A. Kotsarov")</f>
        <v>Hr. A.A. Kotsarov</v>
      </c>
      <c r="AH23" s="6"/>
      <c r="AI23" s="6"/>
      <c r="AJ23" s="6" t="str">
        <f>IFERROR(__xludf.DUMMYFUNCTION("""COMPUTED_VALUE"""),"ID Kaart")</f>
        <v>ID Kaart</v>
      </c>
      <c r="AK23" s="6">
        <f>IFERROR(__xludf.DUMMYFUNCTION("""COMPUTED_VALUE"""),6.52270431E8)</f>
        <v>652270431</v>
      </c>
      <c r="AL23" s="9">
        <f>IFERROR(__xludf.DUMMYFUNCTION("""COMPUTED_VALUE"""),48519.0)</f>
        <v>48519</v>
      </c>
      <c r="AM23" s="6" t="str">
        <f>IFERROR(__xludf.DUMMYFUNCTION("""COMPUTED_VALUE"""),"Bulgarije")</f>
        <v>Bulgarije</v>
      </c>
      <c r="AN23" s="6" t="str">
        <f>IFERROR(__xludf.DUMMYFUNCTION("""COMPUTED_VALUE"""),"Aleks Anatoliev Kotsarov")</f>
        <v>Aleks Anatoliev Kotsarov</v>
      </c>
      <c r="AO23" s="6">
        <f>IFERROR(__xludf.DUMMYFUNCTION("""COMPUTED_VALUE"""),1693.0)</f>
        <v>1693</v>
      </c>
    </row>
    <row r="24">
      <c r="A24" s="6" t="str">
        <f>IFERROR(__xludf.DUMMYFUNCTION("""COMPUTED_VALUE"""),"ALEX18 Bouw")</f>
        <v>ALEX18 Bouw</v>
      </c>
      <c r="B24" s="6" t="str">
        <f>IFERROR(__xludf.DUMMYFUNCTION("""COMPUTED_VALUE"""),"ALEX18 Bouw")</f>
        <v>ALEX18 Bouw</v>
      </c>
      <c r="C24" s="6">
        <f>IFERROR(__xludf.DUMMYFUNCTION("""COMPUTED_VALUE"""),1673.0)</f>
        <v>1673</v>
      </c>
      <c r="D24" s="7" t="str">
        <f>IFERROR(__xludf.DUMMYFUNCTION("""COMPUTED_VALUE"""),"Iliyan Mitkov Chonev")</f>
        <v>Iliyan Mitkov Chonev</v>
      </c>
      <c r="E24" s="7" t="str">
        <f>IFERROR(__xludf.DUMMYFUNCTION("""COMPUTED_VALUE"""),"SBI-code: 4120 - Algemene burgerlijke en utiliteitsbouw")</f>
        <v>SBI-code: 4120 - Algemene burgerlijke en utiliteitsbouw</v>
      </c>
      <c r="F24" s="7" t="str">
        <f>IFERROR(__xludf.DUMMYFUNCTION("""COMPUTED_VALUE"""),"00359897962770")</f>
        <v>00359897962770</v>
      </c>
      <c r="G24" s="6" t="str">
        <f>IFERROR(__xludf.DUMMYFUNCTION("""COMPUTED_VALUE"""),"iliyan.chonev@gmail.com")</f>
        <v>iliyan.chonev@gmail.com</v>
      </c>
      <c r="H24" s="6" t="str">
        <f>IFERROR(__xludf.DUMMYFUNCTION("""COMPUTED_VALUE"""),"Henri ter Hallsingel 88")</f>
        <v>Henri ter Hallsingel 88</v>
      </c>
      <c r="I24" s="6" t="str">
        <f>IFERROR(__xludf.DUMMYFUNCTION("""COMPUTED_VALUE"""),"2284XD")</f>
        <v>2284XD</v>
      </c>
      <c r="J24" s="6" t="str">
        <f>IFERROR(__xludf.DUMMYFUNCTION("""COMPUTED_VALUE"""),"s-Gravenhage")</f>
        <v>s-Gravenhage</v>
      </c>
      <c r="K24" s="6" t="str">
        <f>IFERROR(__xludf.DUMMYFUNCTION("""COMPUTED_VALUE"""),"Nederland")</f>
        <v>Nederland</v>
      </c>
      <c r="L24" s="6" t="str">
        <f>IFERROR(__xludf.DUMMYFUNCTION("""COMPUTED_VALUE"""),"Чонев")</f>
        <v>Чонев</v>
      </c>
      <c r="M24" s="8">
        <f>IFERROR(__xludf.DUMMYFUNCTION("""COMPUTED_VALUE"""),45582.0)</f>
        <v>45582</v>
      </c>
      <c r="N24" s="6" t="str">
        <f>IFERROR(__xludf.DUMMYFUNCTION("""COMPUTED_VALUE"""),"NL469329324B01")</f>
        <v>NL469329324B01</v>
      </c>
      <c r="O24" s="6">
        <f>IFERROR(__xludf.DUMMYFUNCTION("""COMPUTED_VALUE"""),9.540555E7)</f>
        <v>95405550</v>
      </c>
      <c r="P24" s="6" t="str">
        <f>IFERROR(__xludf.DUMMYFUNCTION("""COMPUTED_VALUE"""),"NL85INGB0107781689")</f>
        <v>NL85INGB0107781689</v>
      </c>
      <c r="Q24" s="9">
        <f>IFERROR(__xludf.DUMMYFUNCTION("""COMPUTED_VALUE"""),45582.0)</f>
        <v>45582</v>
      </c>
      <c r="R24" s="6"/>
      <c r="S24" s="6" t="str">
        <f>IFERROR(__xludf.DUMMYFUNCTION("""COMPUTED_VALUE"""),"NL005151288B19")</f>
        <v>NL005151288B19</v>
      </c>
      <c r="T24" s="6">
        <f>IFERROR(__xludf.DUMMYFUNCTION("""COMPUTED_VALUE"""),4.69329324E8)</f>
        <v>469329324</v>
      </c>
      <c r="U24" s="7" t="str">
        <f>IFERROR(__xludf.DUMMYFUNCTION("""COMPUTED_VALUE"""),"Eenmanszaak")</f>
        <v>Eenmanszaak</v>
      </c>
      <c r="V24" s="7" t="str">
        <f>IFERROR(__xludf.DUMMYFUNCTION("""COMPUTED_VALUE"""),"000060819006")</f>
        <v>000060819006</v>
      </c>
      <c r="W24" s="6" t="str">
        <f>IFERROR(__xludf.DUMMYFUNCTION("""COMPUTED_VALUE"""),"ink.alex18.2288aa@zarabota.nl")</f>
        <v>ink.alex18.2288aa@zarabota.nl</v>
      </c>
      <c r="X24" s="6" t="str">
        <f>IFERROR(__xludf.DUMMYFUNCTION("""COMPUTED_VALUE"""),"ver.alex18.2288aa@zarabota.nl")</f>
        <v>ver.alex18.2288aa@zarabota.nl</v>
      </c>
      <c r="Y24" s="6" t="str">
        <f>IFERROR(__xludf.DUMMYFUNCTION("""COMPUTED_VALUE"""),"Hr.")</f>
        <v>Hr.</v>
      </c>
      <c r="Z24" s="6" t="str">
        <f>IFERROR(__xludf.DUMMYFUNCTION("""COMPUTED_VALUE"""),"Iliyan Mitkov")</f>
        <v>Iliyan Mitkov</v>
      </c>
      <c r="AA24" s="6" t="str">
        <f>IFERROR(__xludf.DUMMYFUNCTION("""COMPUTED_VALUE"""),"Chonev")</f>
        <v>Chonev</v>
      </c>
      <c r="AB24" s="6" t="str">
        <f>IFERROR(__xludf.DUMMYFUNCTION("""COMPUTED_VALUE"""),"I.M.")</f>
        <v>I.M.</v>
      </c>
      <c r="AC24" s="6">
        <f>IFERROR(__xludf.DUMMYFUNCTION("""COMPUTED_VALUE"""),4.69329324E8)</f>
        <v>469329324</v>
      </c>
      <c r="AD24" s="9">
        <f>IFERROR(__xludf.DUMMYFUNCTION("""COMPUTED_VALUE"""),27041.0)</f>
        <v>27041</v>
      </c>
      <c r="AE24" s="6" t="str">
        <f>IFERROR(__xludf.DUMMYFUNCTION("""COMPUTED_VALUE"""),"bg")</f>
        <v>bg</v>
      </c>
      <c r="AF24" s="6"/>
      <c r="AG24" s="6" t="str">
        <f>IFERROR(__xludf.DUMMYFUNCTION("""COMPUTED_VALUE"""),"Hr. I.M. Chonev")</f>
        <v>Hr. I.M. Chonev</v>
      </c>
      <c r="AH24" s="6"/>
      <c r="AI24" s="6"/>
      <c r="AJ24" s="6"/>
      <c r="AK24" s="6"/>
      <c r="AL24" s="6"/>
      <c r="AM24" s="6" t="str">
        <f>IFERROR(__xludf.DUMMYFUNCTION("""COMPUTED_VALUE"""),"Bulgarije")</f>
        <v>Bulgarije</v>
      </c>
      <c r="AN24" s="6" t="str">
        <f>IFERROR(__xludf.DUMMYFUNCTION("""COMPUTED_VALUE"""),"Iliyan Mitkov Chonev")</f>
        <v>Iliyan Mitkov Chonev</v>
      </c>
      <c r="AO24" s="6">
        <f>IFERROR(__xludf.DUMMYFUNCTION("""COMPUTED_VALUE"""),1673.0)</f>
        <v>1673</v>
      </c>
    </row>
    <row r="25">
      <c r="A25" s="6" t="str">
        <f>IFERROR(__xludf.DUMMYFUNCTION("""COMPUTED_VALUE"""),"Alexpro84")</f>
        <v>Alexpro84</v>
      </c>
      <c r="B25" s="6" t="str">
        <f>IFERROR(__xludf.DUMMYFUNCTION("""COMPUTED_VALUE"""),"Alexpro84")</f>
        <v>Alexpro84</v>
      </c>
      <c r="C25" s="6">
        <f>IFERROR(__xludf.DUMMYFUNCTION("""COMPUTED_VALUE"""),800.0)</f>
        <v>800</v>
      </c>
      <c r="D25" s="7" t="str">
        <f>IFERROR(__xludf.DUMMYFUNCTION("""COMPUTED_VALUE"""),"Aleksandar Enev Gospodinov")</f>
        <v>Aleksandar Enev Gospodinov</v>
      </c>
      <c r="E25" s="7" t="str">
        <f>IFERROR(__xludf.DUMMYFUNCTION("""COMPUTED_VALUE"""),"SBI-code: 4120 - Algemene burgerlijke en utiliteitsbouw")</f>
        <v>SBI-code: 4120 - Algemene burgerlijke en utiliteitsbouw</v>
      </c>
      <c r="F25" s="7" t="str">
        <f>IFERROR(__xludf.DUMMYFUNCTION("""COMPUTED_VALUE"""),"0684134444")</f>
        <v>0684134444</v>
      </c>
      <c r="G25" s="6" t="str">
        <f>IFERROR(__xludf.DUMMYFUNCTION("""COMPUTED_VALUE"""),"aleksandyr_g@abv.bg")</f>
        <v>aleksandyr_g@abv.bg</v>
      </c>
      <c r="H25" s="6" t="str">
        <f>IFERROR(__xludf.DUMMYFUNCTION("""COMPUTED_VALUE"""),"Schwerinkade 49")</f>
        <v>Schwerinkade 49</v>
      </c>
      <c r="I25" s="6" t="str">
        <f>IFERROR(__xludf.DUMMYFUNCTION("""COMPUTED_VALUE"""),"2552RR")</f>
        <v>2552RR</v>
      </c>
      <c r="J25" s="6" t="str">
        <f>IFERROR(__xludf.DUMMYFUNCTION("""COMPUTED_VALUE"""),"s-Gravenhage")</f>
        <v>s-Gravenhage</v>
      </c>
      <c r="K25" s="6" t="str">
        <f>IFERROR(__xludf.DUMMYFUNCTION("""COMPUTED_VALUE"""),"Nederland")</f>
        <v>Nederland</v>
      </c>
      <c r="L25" s="6" t="str">
        <f>IFERROR(__xludf.DUMMYFUNCTION("""COMPUTED_VALUE"""),"Господинов")</f>
        <v>Господинов</v>
      </c>
      <c r="M25" s="8">
        <f>IFERROR(__xludf.DUMMYFUNCTION("""COMPUTED_VALUE"""),43605.0)</f>
        <v>43605</v>
      </c>
      <c r="N25" s="6" t="str">
        <f>IFERROR(__xludf.DUMMYFUNCTION("""COMPUTED_VALUE"""),"NL566748058B01")</f>
        <v>NL566748058B01</v>
      </c>
      <c r="O25" s="6">
        <f>IFERROR(__xludf.DUMMYFUNCTION("""COMPUTED_VALUE"""),7.4810286E7)</f>
        <v>74810286</v>
      </c>
      <c r="P25" s="6" t="str">
        <f>IFERROR(__xludf.DUMMYFUNCTION("""COMPUTED_VALUE"""),"NL76INGB0009431902")</f>
        <v>NL76INGB0009431902</v>
      </c>
      <c r="Q25" s="9">
        <f>IFERROR(__xludf.DUMMYFUNCTION("""COMPUTED_VALUE"""),43605.0)</f>
        <v>43605</v>
      </c>
      <c r="R25" s="6"/>
      <c r="S25" s="6" t="str">
        <f>IFERROR(__xludf.DUMMYFUNCTION("""COMPUTED_VALUE"""),"NL002501280B22")</f>
        <v>NL002501280B22</v>
      </c>
      <c r="T25" s="6">
        <f>IFERROR(__xludf.DUMMYFUNCTION("""COMPUTED_VALUE"""),5.66748058E8)</f>
        <v>566748058</v>
      </c>
      <c r="U25" s="7" t="str">
        <f>IFERROR(__xludf.DUMMYFUNCTION("""COMPUTED_VALUE"""),"Eenmanszaak")</f>
        <v>Eenmanszaak</v>
      </c>
      <c r="V25" s="7" t="str">
        <f>IFERROR(__xludf.DUMMYFUNCTION("""COMPUTED_VALUE"""),"000042740851")</f>
        <v>000042740851</v>
      </c>
      <c r="W25" s="6" t="str">
        <f>IFERROR(__xludf.DUMMYFUNCTION("""COMPUTED_VALUE"""),"ink.alexpro84.2288aa@zarabota.nl")</f>
        <v>ink.alexpro84.2288aa@zarabota.nl</v>
      </c>
      <c r="X25" s="6" t="str">
        <f>IFERROR(__xludf.DUMMYFUNCTION("""COMPUTED_VALUE"""),"ver.alexpro84.2288aa@zarabota.nl")</f>
        <v>ver.alexpro84.2288aa@zarabota.nl</v>
      </c>
      <c r="Y25" s="6" t="str">
        <f>IFERROR(__xludf.DUMMYFUNCTION("""COMPUTED_VALUE"""),"Hr.")</f>
        <v>Hr.</v>
      </c>
      <c r="Z25" s="6" t="str">
        <f>IFERROR(__xludf.DUMMYFUNCTION("""COMPUTED_VALUE"""),"Aleksandar Enev")</f>
        <v>Aleksandar Enev</v>
      </c>
      <c r="AA25" s="6" t="str">
        <f>IFERROR(__xludf.DUMMYFUNCTION("""COMPUTED_VALUE"""),"Gospodinov")</f>
        <v>Gospodinov</v>
      </c>
      <c r="AB25" s="6" t="str">
        <f>IFERROR(__xludf.DUMMYFUNCTION("""COMPUTED_VALUE"""),"A.E.")</f>
        <v>A.E.</v>
      </c>
      <c r="AC25" s="6">
        <f>IFERROR(__xludf.DUMMYFUNCTION("""COMPUTED_VALUE"""),5.66748058E8)</f>
        <v>566748058</v>
      </c>
      <c r="AD25" s="9">
        <f>IFERROR(__xludf.DUMMYFUNCTION("""COMPUTED_VALUE"""),30720.0)</f>
        <v>30720</v>
      </c>
      <c r="AE25" s="6" t="str">
        <f>IFERROR(__xludf.DUMMYFUNCTION("""COMPUTED_VALUE"""),"bg")</f>
        <v>bg</v>
      </c>
      <c r="AF25" s="6" t="str">
        <f>IFERROR(__xludf.DUMMYFUNCTION("""COMPUTED_VALUE"""),"Stara Zagora")</f>
        <v>Stara Zagora</v>
      </c>
      <c r="AG25" s="6" t="str">
        <f>IFERROR(__xludf.DUMMYFUNCTION("""COMPUTED_VALUE"""),"Hr. A.E. Gospodinov")</f>
        <v>Hr. A.E. Gospodinov</v>
      </c>
      <c r="AH25" s="6" t="str">
        <f>IFERROR(__xludf.DUMMYFUNCTION("""COMPUTED_VALUE"""),"NL19INGB0795400551")</f>
        <v>NL19INGB0795400551</v>
      </c>
      <c r="AI25" s="9">
        <f>IFERROR(__xludf.DUMMYFUNCTION("""COMPUTED_VALUE"""),43573.0)</f>
        <v>43573</v>
      </c>
      <c r="AJ25" s="6" t="str">
        <f>IFERROR(__xludf.DUMMYFUNCTION("""COMPUTED_VALUE"""),"ID Kaart")</f>
        <v>ID Kaart</v>
      </c>
      <c r="AK25" s="6">
        <f>IFERROR(__xludf.DUMMYFUNCTION("""COMPUTED_VALUE"""),6.50675465E8)</f>
        <v>650675465</v>
      </c>
      <c r="AL25" s="9">
        <f>IFERROR(__xludf.DUMMYFUNCTION("""COMPUTED_VALUE"""),48027.0)</f>
        <v>48027</v>
      </c>
      <c r="AM25" s="6"/>
      <c r="AN25" s="6" t="str">
        <f>IFERROR(__xludf.DUMMYFUNCTION("""COMPUTED_VALUE"""),"Aleksandar Enev Gospodinov")</f>
        <v>Aleksandar Enev Gospodinov</v>
      </c>
      <c r="AO25" s="6"/>
    </row>
    <row r="26">
      <c r="A26" s="6" t="str">
        <f>IFERROR(__xludf.DUMMYFUNCTION("""COMPUTED_VALUE"""),"Alkin Bouw")</f>
        <v>Alkin Bouw</v>
      </c>
      <c r="B26" s="6" t="str">
        <f>IFERROR(__xludf.DUMMYFUNCTION("""COMPUTED_VALUE"""),"Alkin Bouw")</f>
        <v>Alkin Bouw</v>
      </c>
      <c r="C26" s="6">
        <f>IFERROR(__xludf.DUMMYFUNCTION("""COMPUTED_VALUE"""),1759.0)</f>
        <v>1759</v>
      </c>
      <c r="D26" s="7" t="str">
        <f>IFERROR(__xludf.DUMMYFUNCTION("""COMPUTED_VALUE"""),"Alkin Yuliyanov Cholakov")</f>
        <v>Alkin Yuliyanov Cholakov</v>
      </c>
      <c r="E26" s="7" t="str">
        <f>IFERROR(__xludf.DUMMYFUNCTION("""COMPUTED_VALUE"""),"SBI-code: 4312 - Grondverzet")</f>
        <v>SBI-code: 4312 - Grondverzet</v>
      </c>
      <c r="F26" s="7" t="str">
        <f>IFERROR(__xludf.DUMMYFUNCTION("""COMPUTED_VALUE"""),"+359 89 6732599")</f>
        <v>+359 89 6732599</v>
      </c>
      <c r="G26" s="6" t="str">
        <f>IFERROR(__xludf.DUMMYFUNCTION("""COMPUTED_VALUE"""),"alkincholakov8@gmail.com")</f>
        <v>alkincholakov8@gmail.com</v>
      </c>
      <c r="H26" s="6" t="str">
        <f>IFERROR(__xludf.DUMMYFUNCTION("""COMPUTED_VALUE"""),"Ambachtstraat 5")</f>
        <v>Ambachtstraat 5</v>
      </c>
      <c r="I26" s="6" t="str">
        <f>IFERROR(__xludf.DUMMYFUNCTION("""COMPUTED_VALUE"""),"5331HX")</f>
        <v>5331HX</v>
      </c>
      <c r="J26" s="6" t="str">
        <f>IFERROR(__xludf.DUMMYFUNCTION("""COMPUTED_VALUE"""),"Kerkdriel")</f>
        <v>Kerkdriel</v>
      </c>
      <c r="K26" s="6" t="str">
        <f>IFERROR(__xludf.DUMMYFUNCTION("""COMPUTED_VALUE"""),"Nederland")</f>
        <v>Nederland</v>
      </c>
      <c r="L26" s="6" t="str">
        <f>IFERROR(__xludf.DUMMYFUNCTION("""COMPUTED_VALUE"""),"Чолаков")</f>
        <v>Чолаков</v>
      </c>
      <c r="M26" s="8">
        <f>IFERROR(__xludf.DUMMYFUNCTION("""COMPUTED_VALUE"""),45902.0)</f>
        <v>45902</v>
      </c>
      <c r="N26" s="6" t="str">
        <f>IFERROR(__xludf.DUMMYFUNCTION("""COMPUTED_VALUE"""),"NL603184248B01")</f>
        <v>NL603184248B01</v>
      </c>
      <c r="O26" s="6">
        <f>IFERROR(__xludf.DUMMYFUNCTION("""COMPUTED_VALUE"""),9.8187368E7)</f>
        <v>98187368</v>
      </c>
      <c r="P26" s="6" t="str">
        <f>IFERROR(__xludf.DUMMYFUNCTION("""COMPUTED_VALUE"""),"NL70INGB0117091049")</f>
        <v>NL70INGB0117091049</v>
      </c>
      <c r="Q26" s="9">
        <f>IFERROR(__xludf.DUMMYFUNCTION("""COMPUTED_VALUE"""),45902.0)</f>
        <v>45902</v>
      </c>
      <c r="R26" s="6"/>
      <c r="S26" s="6" t="str">
        <f>IFERROR(__xludf.DUMMYFUNCTION("""COMPUTED_VALUE"""),"NL005314151B19")</f>
        <v>NL005314151B19</v>
      </c>
      <c r="T26" s="6">
        <f>IFERROR(__xludf.DUMMYFUNCTION("""COMPUTED_VALUE"""),6.03184248E8)</f>
        <v>603184248</v>
      </c>
      <c r="U26" s="7" t="str">
        <f>IFERROR(__xludf.DUMMYFUNCTION("""COMPUTED_VALUE"""),"Eenmanszaak")</f>
        <v>Eenmanszaak</v>
      </c>
      <c r="V26" s="7" t="str">
        <f>IFERROR(__xludf.DUMMYFUNCTION("""COMPUTED_VALUE"""),"000063368706")</f>
        <v>000063368706</v>
      </c>
      <c r="W26" s="6" t="str">
        <f>IFERROR(__xludf.DUMMYFUNCTION("""COMPUTED_VALUE"""),"ink.alkin.2288aa@zarabota.nl")</f>
        <v>ink.alkin.2288aa@zarabota.nl</v>
      </c>
      <c r="X26" s="6" t="str">
        <f>IFERROR(__xludf.DUMMYFUNCTION("""COMPUTED_VALUE"""),"ver.alkin.2288aa@zarabota.nl")</f>
        <v>ver.alkin.2288aa@zarabota.nl</v>
      </c>
      <c r="Y26" s="6" t="str">
        <f>IFERROR(__xludf.DUMMYFUNCTION("""COMPUTED_VALUE"""),"Hr.")</f>
        <v>Hr.</v>
      </c>
      <c r="Z26" s="6" t="str">
        <f>IFERROR(__xludf.DUMMYFUNCTION("""COMPUTED_VALUE"""),"Alkin Yuliyanov")</f>
        <v>Alkin Yuliyanov</v>
      </c>
      <c r="AA26" s="6" t="str">
        <f>IFERROR(__xludf.DUMMYFUNCTION("""COMPUTED_VALUE"""),"Cholakov")</f>
        <v>Cholakov</v>
      </c>
      <c r="AB26" s="6" t="str">
        <f>IFERROR(__xludf.DUMMYFUNCTION("""COMPUTED_VALUE"""),"A.Y.")</f>
        <v>A.Y.</v>
      </c>
      <c r="AC26" s="6">
        <f>IFERROR(__xludf.DUMMYFUNCTION("""COMPUTED_VALUE"""),6.03184248E8)</f>
        <v>603184248</v>
      </c>
      <c r="AD26" s="9">
        <f>IFERROR(__xludf.DUMMYFUNCTION("""COMPUTED_VALUE"""),36294.0)</f>
        <v>36294</v>
      </c>
      <c r="AE26" s="6" t="str">
        <f>IFERROR(__xludf.DUMMYFUNCTION("""COMPUTED_VALUE"""),"bg")</f>
        <v>bg</v>
      </c>
      <c r="AF26" s="6" t="str">
        <f>IFERROR(__xludf.DUMMYFUNCTION("""COMPUTED_VALUE"""),"Targovishte")</f>
        <v>Targovishte</v>
      </c>
      <c r="AG26" s="6" t="str">
        <f>IFERROR(__xludf.DUMMYFUNCTION("""COMPUTED_VALUE"""),"Hr. A.Y. Cholakov")</f>
        <v>Hr. A.Y. Cholakov</v>
      </c>
      <c r="AH26" s="6"/>
      <c r="AI26" s="6"/>
      <c r="AJ26" s="6" t="str">
        <f>IFERROR(__xludf.DUMMYFUNCTION("""COMPUTED_VALUE"""),"ID Kaart")</f>
        <v>ID Kaart</v>
      </c>
      <c r="AK26" s="6">
        <f>IFERROR(__xludf.DUMMYFUNCTION("""COMPUTED_VALUE"""),6.47119385E8)</f>
        <v>647119385</v>
      </c>
      <c r="AL26" s="9">
        <f>IFERROR(__xludf.DUMMYFUNCTION("""COMPUTED_VALUE"""),46587.0)</f>
        <v>46587</v>
      </c>
      <c r="AM26" s="6" t="str">
        <f>IFERROR(__xludf.DUMMYFUNCTION("""COMPUTED_VALUE"""),"Bulgarije")</f>
        <v>Bulgarije</v>
      </c>
      <c r="AN26" s="6" t="str">
        <f>IFERROR(__xludf.DUMMYFUNCTION("""COMPUTED_VALUE"""),"Alkin Yuliyanov Cholakov")</f>
        <v>Alkin Yuliyanov Cholakov</v>
      </c>
      <c r="AO26" s="6">
        <f>IFERROR(__xludf.DUMMYFUNCTION("""COMPUTED_VALUE"""),1759.0)</f>
        <v>1759</v>
      </c>
    </row>
    <row r="27">
      <c r="A27" s="6" t="str">
        <f>IFERROR(__xludf.DUMMYFUNCTION("""COMPUTED_VALUE"""),"Alp Bouw")</f>
        <v>Alp Bouw</v>
      </c>
      <c r="B27" s="6" t="str">
        <f>IFERROR(__xludf.DUMMYFUNCTION("""COMPUTED_VALUE"""),"Alp Bouw")</f>
        <v>Alp Bouw</v>
      </c>
      <c r="C27" s="6">
        <f>IFERROR(__xludf.DUMMYFUNCTION("""COMPUTED_VALUE"""),1698.0)</f>
        <v>1698</v>
      </c>
      <c r="D27" s="7" t="str">
        <f>IFERROR(__xludf.DUMMYFUNCTION("""COMPUTED_VALUE"""),"Remzi Halibryam Ismail")</f>
        <v>Remzi Halibryam Ismail</v>
      </c>
      <c r="E27" s="7" t="str">
        <f>IFERROR(__xludf.DUMMYFUNCTION("""COMPUTED_VALUE"""),"SBI-code: 4120 - Algemene burgerlijke en utiliteitsbouw")</f>
        <v>SBI-code: 4120 - Algemene burgerlijke en utiliteitsbouw</v>
      </c>
      <c r="F27" s="7" t="str">
        <f>IFERROR(__xludf.DUMMYFUNCTION("""COMPUTED_VALUE"""),"0684640121")</f>
        <v>0684640121</v>
      </c>
      <c r="G27" s="6" t="str">
        <f>IFERROR(__xludf.DUMMYFUNCTION("""COMPUTED_VALUE"""),"alpbouw@gmail.com")</f>
        <v>alpbouw@gmail.com</v>
      </c>
      <c r="H27" s="6" t="str">
        <f>IFERROR(__xludf.DUMMYFUNCTION("""COMPUTED_VALUE"""),"De Lannoystraat 155")</f>
        <v>De Lannoystraat 155</v>
      </c>
      <c r="I27" s="6" t="str">
        <f>IFERROR(__xludf.DUMMYFUNCTION("""COMPUTED_VALUE"""),"2533XS")</f>
        <v>2533XS</v>
      </c>
      <c r="J27" s="6" t="str">
        <f>IFERROR(__xludf.DUMMYFUNCTION("""COMPUTED_VALUE"""),"s-Gravenhage")</f>
        <v>s-Gravenhage</v>
      </c>
      <c r="K27" s="6" t="str">
        <f>IFERROR(__xludf.DUMMYFUNCTION("""COMPUTED_VALUE"""),"Nederland")</f>
        <v>Nederland</v>
      </c>
      <c r="L27" s="6" t="str">
        <f>IFERROR(__xludf.DUMMYFUNCTION("""COMPUTED_VALUE"""),"Исмаил")</f>
        <v>Исмаил</v>
      </c>
      <c r="M27" s="8">
        <f>IFERROR(__xludf.DUMMYFUNCTION("""COMPUTED_VALUE"""),45658.0)</f>
        <v>45658</v>
      </c>
      <c r="N27" s="6" t="str">
        <f>IFERROR(__xludf.DUMMYFUNCTION("""COMPUTED_VALUE"""),"NL311976050B01")</f>
        <v>NL311976050B01</v>
      </c>
      <c r="O27" s="6">
        <f>IFERROR(__xludf.DUMMYFUNCTION("""COMPUTED_VALUE"""),6.8071515E7)</f>
        <v>68071515</v>
      </c>
      <c r="P27" s="6" t="str">
        <f>IFERROR(__xludf.DUMMYFUNCTION("""COMPUTED_VALUE"""),"NL81INGB0007649631")</f>
        <v>NL81INGB0007649631</v>
      </c>
      <c r="Q27" s="9">
        <f>IFERROR(__xludf.DUMMYFUNCTION("""COMPUTED_VALUE"""),42767.0)</f>
        <v>42767</v>
      </c>
      <c r="R27" s="6"/>
      <c r="S27" s="6" t="str">
        <f>IFERROR(__xludf.DUMMYFUNCTION("""COMPUTED_VALUE"""),"NL002466163B49")</f>
        <v>NL002466163B49</v>
      </c>
      <c r="T27" s="6">
        <f>IFERROR(__xludf.DUMMYFUNCTION("""COMPUTED_VALUE"""),3.1197605E8)</f>
        <v>311976050</v>
      </c>
      <c r="U27" s="7" t="str">
        <f>IFERROR(__xludf.DUMMYFUNCTION("""COMPUTED_VALUE"""),"Eenmanszaak")</f>
        <v>Eenmanszaak</v>
      </c>
      <c r="V27" s="7" t="str">
        <f>IFERROR(__xludf.DUMMYFUNCTION("""COMPUTED_VALUE"""),"000036545708")</f>
        <v>000036545708</v>
      </c>
      <c r="W27" s="6" t="str">
        <f>IFERROR(__xludf.DUMMYFUNCTION("""COMPUTED_VALUE"""),"ink.alpbouw.2288aa@zarabota.nl")</f>
        <v>ink.alpbouw.2288aa@zarabota.nl</v>
      </c>
      <c r="X27" s="6" t="str">
        <f>IFERROR(__xludf.DUMMYFUNCTION("""COMPUTED_VALUE"""),"ver.alpbouw.2288aa@zarabota.nl")</f>
        <v>ver.alpbouw.2288aa@zarabota.nl</v>
      </c>
      <c r="Y27" s="6" t="str">
        <f>IFERROR(__xludf.DUMMYFUNCTION("""COMPUTED_VALUE"""),"Hr.")</f>
        <v>Hr.</v>
      </c>
      <c r="Z27" s="6" t="str">
        <f>IFERROR(__xludf.DUMMYFUNCTION("""COMPUTED_VALUE"""),"Remzi Halibryam")</f>
        <v>Remzi Halibryam</v>
      </c>
      <c r="AA27" s="6" t="str">
        <f>IFERROR(__xludf.DUMMYFUNCTION("""COMPUTED_VALUE"""),"Ismail")</f>
        <v>Ismail</v>
      </c>
      <c r="AB27" s="6" t="str">
        <f>IFERROR(__xludf.DUMMYFUNCTION("""COMPUTED_VALUE"""),"R.H.")</f>
        <v>R.H.</v>
      </c>
      <c r="AC27" s="6">
        <f>IFERROR(__xludf.DUMMYFUNCTION("""COMPUTED_VALUE"""),3.1197605E8)</f>
        <v>311976050</v>
      </c>
      <c r="AD27" s="9">
        <f>IFERROR(__xludf.DUMMYFUNCTION("""COMPUTED_VALUE"""),28714.0)</f>
        <v>28714</v>
      </c>
      <c r="AE27" s="6" t="str">
        <f>IFERROR(__xludf.DUMMYFUNCTION("""COMPUTED_VALUE"""),"bg")</f>
        <v>bg</v>
      </c>
      <c r="AF27" s="6" t="str">
        <f>IFERROR(__xludf.DUMMYFUNCTION("""COMPUTED_VALUE"""),"Vodach")</f>
        <v>Vodach</v>
      </c>
      <c r="AG27" s="6" t="str">
        <f>IFERROR(__xludf.DUMMYFUNCTION("""COMPUTED_VALUE"""),"Hr. R.H. Ismail")</f>
        <v>Hr. R.H. Ismail</v>
      </c>
      <c r="AH27" s="6" t="str">
        <f>IFERROR(__xludf.DUMMYFUNCTION("""COMPUTED_VALUE"""),"NL54INGB0651337267")</f>
        <v>NL54INGB0651337267</v>
      </c>
      <c r="AI27" s="6"/>
      <c r="AJ27" s="6" t="str">
        <f>IFERROR(__xludf.DUMMYFUNCTION("""COMPUTED_VALUE"""),"ID Kaart")</f>
        <v>ID Kaart</v>
      </c>
      <c r="AK27" s="6">
        <f>IFERROR(__xludf.DUMMYFUNCTION("""COMPUTED_VALUE"""),6.49214915E8)</f>
        <v>649214915</v>
      </c>
      <c r="AL27" s="9">
        <f>IFERROR(__xludf.DUMMYFUNCTION("""COMPUTED_VALUE"""),47687.0)</f>
        <v>47687</v>
      </c>
      <c r="AM27" s="6" t="str">
        <f>IFERROR(__xludf.DUMMYFUNCTION("""COMPUTED_VALUE"""),"Bulgarije")</f>
        <v>Bulgarije</v>
      </c>
      <c r="AN27" s="6" t="str">
        <f>IFERROR(__xludf.DUMMYFUNCTION("""COMPUTED_VALUE"""),"Remzi Halibryam Ismail")</f>
        <v>Remzi Halibryam Ismail</v>
      </c>
      <c r="AO27" s="6">
        <f>IFERROR(__xludf.DUMMYFUNCTION("""COMPUTED_VALUE"""),1698.0)</f>
        <v>1698</v>
      </c>
    </row>
    <row r="28">
      <c r="A28" s="6" t="str">
        <f>IFERROR(__xludf.DUMMYFUNCTION("""COMPUTED_VALUE"""),"AlPand Bouw")</f>
        <v>AlPand Bouw</v>
      </c>
      <c r="B28" s="6" t="str">
        <f>IFERROR(__xludf.DUMMYFUNCTION("""COMPUTED_VALUE"""),"AlPand Bouw")</f>
        <v>AlPand Bouw</v>
      </c>
      <c r="C28" s="6">
        <f>IFERROR(__xludf.DUMMYFUNCTION("""COMPUTED_VALUE"""),379.0)</f>
        <v>379</v>
      </c>
      <c r="D28" s="7" t="str">
        <f>IFERROR(__xludf.DUMMYFUNCTION("""COMPUTED_VALUE"""),"Aleksandra Ivanova Dzhongova")</f>
        <v>Aleksandra Ivanova Dzhongova</v>
      </c>
      <c r="E28" s="7" t="str">
        <f>IFERROR(__xludf.DUMMYFUNCTION("""COMPUTED_VALUE"""),"SBI-code: 4120 - Algemene burgerlijke en utiliteitsbouw")</f>
        <v>SBI-code: 4120 - Algemene burgerlijke en utiliteitsbouw</v>
      </c>
      <c r="F28" s="7" t="str">
        <f>IFERROR(__xludf.DUMMYFUNCTION("""COMPUTED_VALUE"""),"0628708802")</f>
        <v>0628708802</v>
      </c>
      <c r="G28" s="6" t="str">
        <f>IFERROR(__xludf.DUMMYFUNCTION("""COMPUTED_VALUE"""),"krumpandov@abv.bg")</f>
        <v>krumpandov@abv.bg</v>
      </c>
      <c r="H28" s="6" t="str">
        <f>IFERROR(__xludf.DUMMYFUNCTION("""COMPUTED_VALUE"""),"Van Beverningkstraat 252")</f>
        <v>Van Beverningkstraat 252</v>
      </c>
      <c r="I28" s="6" t="str">
        <f>IFERROR(__xludf.DUMMYFUNCTION("""COMPUTED_VALUE"""),"2582VM")</f>
        <v>2582VM</v>
      </c>
      <c r="J28" s="6" t="str">
        <f>IFERROR(__xludf.DUMMYFUNCTION("""COMPUTED_VALUE"""),"s-Gravenhage")</f>
        <v>s-Gravenhage</v>
      </c>
      <c r="K28" s="6" t="str">
        <f>IFERROR(__xludf.DUMMYFUNCTION("""COMPUTED_VALUE"""),"Nederland")</f>
        <v>Nederland</v>
      </c>
      <c r="L28" s="6" t="str">
        <f>IFERROR(__xludf.DUMMYFUNCTION("""COMPUTED_VALUE"""),"Джонгова")</f>
        <v>Джонгова</v>
      </c>
      <c r="M28" s="8">
        <f>IFERROR(__xludf.DUMMYFUNCTION("""COMPUTED_VALUE"""),43101.0)</f>
        <v>43101</v>
      </c>
      <c r="N28" s="6" t="str">
        <f>IFERROR(__xludf.DUMMYFUNCTION("""COMPUTED_VALUE"""),"NL855639015B01")</f>
        <v>NL855639015B01</v>
      </c>
      <c r="O28" s="6">
        <f>IFERROR(__xludf.DUMMYFUNCTION("""COMPUTED_VALUE"""),6.4373193E7)</f>
        <v>64373193</v>
      </c>
      <c r="P28" s="6" t="str">
        <f>IFERROR(__xludf.DUMMYFUNCTION("""COMPUTED_VALUE"""),"NL25INGB0007089688")</f>
        <v>NL25INGB0007089688</v>
      </c>
      <c r="Q28" s="9">
        <f>IFERROR(__xludf.DUMMYFUNCTION("""COMPUTED_VALUE"""),42297.0)</f>
        <v>42297</v>
      </c>
      <c r="R28" s="6"/>
      <c r="S28" s="6" t="str">
        <f>IFERROR(__xludf.DUMMYFUNCTION("""COMPUTED_VALUE"""),"NL855639015B01")</f>
        <v>NL855639015B01</v>
      </c>
      <c r="T28" s="6">
        <f>IFERROR(__xludf.DUMMYFUNCTION("""COMPUTED_VALUE"""),8.55639015E8)</f>
        <v>855639015</v>
      </c>
      <c r="U28" s="7" t="str">
        <f>IFERROR(__xludf.DUMMYFUNCTION("""COMPUTED_VALUE"""),"Eenmanszaak")</f>
        <v>Eenmanszaak</v>
      </c>
      <c r="V28" s="7" t="str">
        <f>IFERROR(__xludf.DUMMYFUNCTION("""COMPUTED_VALUE"""),"000033203555")</f>
        <v>000033203555</v>
      </c>
      <c r="W28" s="6" t="str">
        <f>IFERROR(__xludf.DUMMYFUNCTION("""COMPUTED_VALUE"""),"ink.alpandbouwvof.2288aa@zarabota.nl")</f>
        <v>ink.alpandbouwvof.2288aa@zarabota.nl</v>
      </c>
      <c r="X28" s="6" t="str">
        <f>IFERROR(__xludf.DUMMYFUNCTION("""COMPUTED_VALUE"""),"ver.alpandbouwvof.2288aa@zarabota.nl")</f>
        <v>ver.alpandbouwvof.2288aa@zarabota.nl</v>
      </c>
      <c r="Y28" s="6" t="str">
        <f>IFERROR(__xludf.DUMMYFUNCTION("""COMPUTED_VALUE"""),"Mw.")</f>
        <v>Mw.</v>
      </c>
      <c r="Z28" s="6" t="str">
        <f>IFERROR(__xludf.DUMMYFUNCTION("""COMPUTED_VALUE"""),"Aleksandra Ivanova")</f>
        <v>Aleksandra Ivanova</v>
      </c>
      <c r="AA28" s="6" t="str">
        <f>IFERROR(__xludf.DUMMYFUNCTION("""COMPUTED_VALUE"""),"Dzhongova")</f>
        <v>Dzhongova</v>
      </c>
      <c r="AB28" s="6" t="str">
        <f>IFERROR(__xludf.DUMMYFUNCTION("""COMPUTED_VALUE"""),"A.I.")</f>
        <v>A.I.</v>
      </c>
      <c r="AC28" s="6">
        <f>IFERROR(__xludf.DUMMYFUNCTION("""COMPUTED_VALUE"""),4.24155254E8)</f>
        <v>424155254</v>
      </c>
      <c r="AD28" s="9">
        <f>IFERROR(__xludf.DUMMYFUNCTION("""COMPUTED_VALUE"""),32917.0)</f>
        <v>32917</v>
      </c>
      <c r="AE28" s="6" t="str">
        <f>IFERROR(__xludf.DUMMYFUNCTION("""COMPUTED_VALUE"""),"bg")</f>
        <v>bg</v>
      </c>
      <c r="AF28" s="6" t="str">
        <f>IFERROR(__xludf.DUMMYFUNCTION("""COMPUTED_VALUE"""),"Asenovgrad")</f>
        <v>Asenovgrad</v>
      </c>
      <c r="AG28" s="6" t="str">
        <f>IFERROR(__xludf.DUMMYFUNCTION("""COMPUTED_VALUE"""),"Mw. A.I. Dzhongova")</f>
        <v>Mw. A.I. Dzhongova</v>
      </c>
      <c r="AH28" s="6"/>
      <c r="AI28" s="6"/>
      <c r="AJ28" s="6"/>
      <c r="AK28" s="6"/>
      <c r="AL28" s="6"/>
      <c r="AM28" s="6"/>
      <c r="AN28" s="6" t="str">
        <f>IFERROR(__xludf.DUMMYFUNCTION("""COMPUTED_VALUE"""),"Aleksandra Ivanova Dzhongova")</f>
        <v>Aleksandra Ivanova Dzhongova</v>
      </c>
      <c r="AO28" s="6"/>
    </row>
    <row r="29">
      <c r="A29" s="6" t="str">
        <f>IFERROR(__xludf.DUMMYFUNCTION("""COMPUTED_VALUE"""),"Altay 79")</f>
        <v>Altay 79</v>
      </c>
      <c r="B29" s="6" t="str">
        <f>IFERROR(__xludf.DUMMYFUNCTION("""COMPUTED_VALUE"""),"Altay 79")</f>
        <v>Altay 79</v>
      </c>
      <c r="C29" s="6">
        <f>IFERROR(__xludf.DUMMYFUNCTION("""COMPUTED_VALUE"""),688.0)</f>
        <v>688</v>
      </c>
      <c r="D29" s="7" t="str">
        <f>IFERROR(__xludf.DUMMYFUNCTION("""COMPUTED_VALUE"""),"Ahmed Fahri Ahmed")</f>
        <v>Ahmed Fahri Ahmed</v>
      </c>
      <c r="E29" s="7" t="str">
        <f>IFERROR(__xludf.DUMMYFUNCTION("""COMPUTED_VALUE"""),"SBI-code: 4120 - Algemene burgerlijke en utiliteitsbouw")</f>
        <v>SBI-code: 4120 - Algemene burgerlijke en utiliteitsbouw</v>
      </c>
      <c r="F29" s="7" t="str">
        <f>IFERROR(__xludf.DUMMYFUNCTION("""COMPUTED_VALUE"""),"0629426261")</f>
        <v>0629426261</v>
      </c>
      <c r="G29" s="6" t="str">
        <f>IFERROR(__xludf.DUMMYFUNCTION("""COMPUTED_VALUE"""),"afahriahmed@gmail.com")</f>
        <v>afahriahmed@gmail.com</v>
      </c>
      <c r="H29" s="6" t="str">
        <f>IFERROR(__xludf.DUMMYFUNCTION("""COMPUTED_VALUE"""),"Da Costastraat 16 B")</f>
        <v>Da Costastraat 16 B</v>
      </c>
      <c r="I29" s="6" t="str">
        <f>IFERROR(__xludf.DUMMYFUNCTION("""COMPUTED_VALUE"""),"3117PH")</f>
        <v>3117PH</v>
      </c>
      <c r="J29" s="6" t="str">
        <f>IFERROR(__xludf.DUMMYFUNCTION("""COMPUTED_VALUE"""),"Schiedam")</f>
        <v>Schiedam</v>
      </c>
      <c r="K29" s="6" t="str">
        <f>IFERROR(__xludf.DUMMYFUNCTION("""COMPUTED_VALUE"""),"Nederland")</f>
        <v>Nederland</v>
      </c>
      <c r="L29" s="6" t="str">
        <f>IFERROR(__xludf.DUMMYFUNCTION("""COMPUTED_VALUE"""),"Ахмед")</f>
        <v>Ахмед</v>
      </c>
      <c r="M29" s="8">
        <f>IFERROR(__xludf.DUMMYFUNCTION("""COMPUTED_VALUE"""),43482.0)</f>
        <v>43482</v>
      </c>
      <c r="N29" s="6" t="str">
        <f>IFERROR(__xludf.DUMMYFUNCTION("""COMPUTED_VALUE"""),"NL350076091B01")</f>
        <v>NL350076091B01</v>
      </c>
      <c r="O29" s="6">
        <f>IFERROR(__xludf.DUMMYFUNCTION("""COMPUTED_VALUE"""),7.3890812E7)</f>
        <v>73890812</v>
      </c>
      <c r="P29" s="6" t="str">
        <f>IFERROR(__xludf.DUMMYFUNCTION("""COMPUTED_VALUE"""),"NL16INGB0007610643")</f>
        <v>NL16INGB0007610643</v>
      </c>
      <c r="Q29" s="9">
        <f>IFERROR(__xludf.DUMMYFUNCTION("""COMPUTED_VALUE"""),43482.0)</f>
        <v>43482</v>
      </c>
      <c r="R29" s="6"/>
      <c r="S29" s="6" t="str">
        <f>IFERROR(__xludf.DUMMYFUNCTION("""COMPUTED_VALUE"""),"NL002472304B70")</f>
        <v>NL002472304B70</v>
      </c>
      <c r="T29" s="6">
        <f>IFERROR(__xludf.DUMMYFUNCTION("""COMPUTED_VALUE"""),3.50076091E8)</f>
        <v>350076091</v>
      </c>
      <c r="U29" s="7" t="str">
        <f>IFERROR(__xludf.DUMMYFUNCTION("""COMPUTED_VALUE"""),"Eenmanszaak")</f>
        <v>Eenmanszaak</v>
      </c>
      <c r="V29" s="7" t="str">
        <f>IFERROR(__xludf.DUMMYFUNCTION("""COMPUTED_VALUE"""),"000041889169")</f>
        <v>000041889169</v>
      </c>
      <c r="W29" s="6" t="str">
        <f>IFERROR(__xludf.DUMMYFUNCTION("""COMPUTED_VALUE"""),"ink.altay79.2288aa@zarabota.nl")</f>
        <v>ink.altay79.2288aa@zarabota.nl</v>
      </c>
      <c r="X29" s="6" t="str">
        <f>IFERROR(__xludf.DUMMYFUNCTION("""COMPUTED_VALUE"""),"ver.altay79.2288aa@zarabota.nl")</f>
        <v>ver.altay79.2288aa@zarabota.nl</v>
      </c>
      <c r="Y29" s="6" t="str">
        <f>IFERROR(__xludf.DUMMYFUNCTION("""COMPUTED_VALUE"""),"Hr.")</f>
        <v>Hr.</v>
      </c>
      <c r="Z29" s="6" t="str">
        <f>IFERROR(__xludf.DUMMYFUNCTION("""COMPUTED_VALUE"""),"Ahmed Fahri")</f>
        <v>Ahmed Fahri</v>
      </c>
      <c r="AA29" s="6" t="str">
        <f>IFERROR(__xludf.DUMMYFUNCTION("""COMPUTED_VALUE"""),"Ahmed")</f>
        <v>Ahmed</v>
      </c>
      <c r="AB29" s="6" t="str">
        <f>IFERROR(__xludf.DUMMYFUNCTION("""COMPUTED_VALUE"""),"A.F.")</f>
        <v>A.F.</v>
      </c>
      <c r="AC29" s="6">
        <f>IFERROR(__xludf.DUMMYFUNCTION("""COMPUTED_VALUE"""),3.50076091E8)</f>
        <v>350076091</v>
      </c>
      <c r="AD29" s="9">
        <f>IFERROR(__xludf.DUMMYFUNCTION("""COMPUTED_VALUE"""),29182.0)</f>
        <v>29182</v>
      </c>
      <c r="AE29" s="6" t="str">
        <f>IFERROR(__xludf.DUMMYFUNCTION("""COMPUTED_VALUE"""),"bg")</f>
        <v>bg</v>
      </c>
      <c r="AF29" s="6" t="str">
        <f>IFERROR(__xludf.DUMMYFUNCTION("""COMPUTED_VALUE"""),"Aytos")</f>
        <v>Aytos</v>
      </c>
      <c r="AG29" s="6" t="str">
        <f>IFERROR(__xludf.DUMMYFUNCTION("""COMPUTED_VALUE"""),"Hr. A.F. Ahmed")</f>
        <v>Hr. A.F. Ahmed</v>
      </c>
      <c r="AH29" s="6" t="str">
        <f>IFERROR(__xludf.DUMMYFUNCTION("""COMPUTED_VALUE"""),"NL39INGB0670371998")</f>
        <v>NL39INGB0670371998</v>
      </c>
      <c r="AI29" s="9">
        <f>IFERROR(__xludf.DUMMYFUNCTION("""COMPUTED_VALUE"""),43405.0)</f>
        <v>43405</v>
      </c>
      <c r="AJ29" s="6"/>
      <c r="AK29" s="6"/>
      <c r="AL29" s="6"/>
      <c r="AM29" s="6"/>
      <c r="AN29" s="6" t="str">
        <f>IFERROR(__xludf.DUMMYFUNCTION("""COMPUTED_VALUE"""),"Ahmed Fahri Ahmed")</f>
        <v>Ahmed Fahri Ahmed</v>
      </c>
      <c r="AO29" s="6"/>
    </row>
    <row r="30">
      <c r="A30" s="6" t="str">
        <f>IFERROR(__xludf.DUMMYFUNCTION("""COMPUTED_VALUE"""),"Anastasiya Nails")</f>
        <v>Anastasiya Nails</v>
      </c>
      <c r="B30" s="6" t="str">
        <f>IFERROR(__xludf.DUMMYFUNCTION("""COMPUTED_VALUE"""),"Anastasiya Nails - KOR per 01-07-2024")</f>
        <v>Anastasiya Nails - KOR per 01-07-2024</v>
      </c>
      <c r="C30" s="6">
        <f>IFERROR(__xludf.DUMMYFUNCTION("""COMPUTED_VALUE"""),1587.0)</f>
        <v>1587</v>
      </c>
      <c r="D30" s="7" t="str">
        <f>IFERROR(__xludf.DUMMYFUNCTION("""COMPUTED_VALUE"""),"Anastasiya Atanasova Petrova-Semerdzhieva")</f>
        <v>Anastasiya Atanasova Petrova-Semerdzhieva</v>
      </c>
      <c r="E30" s="7" t="str">
        <f>IFERROR(__xludf.DUMMYFUNCTION("""COMPUTED_VALUE"""),"SBI-code: 4120 - Algemene burgerlijke en utiliteitsbouw")</f>
        <v>SBI-code: 4120 - Algemene burgerlijke en utiliteitsbouw</v>
      </c>
      <c r="F30" s="7" t="str">
        <f>IFERROR(__xludf.DUMMYFUNCTION("""COMPUTED_VALUE"""),"0687017808")</f>
        <v>0687017808</v>
      </c>
      <c r="G30" s="6" t="str">
        <f>IFERROR(__xludf.DUMMYFUNCTION("""COMPUTED_VALUE"""),"anastasia_petrova@abv.bg")</f>
        <v>anastasia_petrova@abv.bg</v>
      </c>
      <c r="H30" s="6" t="str">
        <f>IFERROR(__xludf.DUMMYFUNCTION("""COMPUTED_VALUE"""),"Escamplaan 771")</f>
        <v>Escamplaan 771</v>
      </c>
      <c r="I30" s="6" t="str">
        <f>IFERROR(__xludf.DUMMYFUNCTION("""COMPUTED_VALUE"""),"2547EJ")</f>
        <v>2547EJ</v>
      </c>
      <c r="J30" s="6" t="str">
        <f>IFERROR(__xludf.DUMMYFUNCTION("""COMPUTED_VALUE"""),"s-Gravenhage")</f>
        <v>s-Gravenhage</v>
      </c>
      <c r="K30" s="6" t="str">
        <f>IFERROR(__xludf.DUMMYFUNCTION("""COMPUTED_VALUE"""),"Nederland")</f>
        <v>Nederland</v>
      </c>
      <c r="L30" s="6" t="str">
        <f>IFERROR(__xludf.DUMMYFUNCTION("""COMPUTED_VALUE"""),"Петрова-Семерджиева")</f>
        <v>Петрова-Семерджиева</v>
      </c>
      <c r="M30" s="8">
        <f>IFERROR(__xludf.DUMMYFUNCTION("""COMPUTED_VALUE"""),45315.0)</f>
        <v>45315</v>
      </c>
      <c r="N30" s="6" t="str">
        <f>IFERROR(__xludf.DUMMYFUNCTION("""COMPUTED_VALUE"""),"NL")</f>
        <v>NL</v>
      </c>
      <c r="O30" s="6">
        <f>IFERROR(__xludf.DUMMYFUNCTION("""COMPUTED_VALUE"""),9.2845312E7)</f>
        <v>92845312</v>
      </c>
      <c r="P30" s="6" t="str">
        <f>IFERROR(__xludf.DUMMYFUNCTION("""COMPUTED_VALUE"""),"NL73INGB0109404327")</f>
        <v>NL73INGB0109404327</v>
      </c>
      <c r="Q30" s="9">
        <f>IFERROR(__xludf.DUMMYFUNCTION("""COMPUTED_VALUE"""),45315.0)</f>
        <v>45315</v>
      </c>
      <c r="R30" s="6"/>
      <c r="S30" s="6" t="str">
        <f>IFERROR(__xludf.DUMMYFUNCTION("""COMPUTED_VALUE"""),"NL004980987B31")</f>
        <v>NL004980987B31</v>
      </c>
      <c r="T30" s="6">
        <f>IFERROR(__xludf.DUMMYFUNCTION("""COMPUTED_VALUE"""),4.33236279E8)</f>
        <v>433236279</v>
      </c>
      <c r="U30" s="7" t="str">
        <f>IFERROR(__xludf.DUMMYFUNCTION("""COMPUTED_VALUE"""),"Eenmanszaak")</f>
        <v>Eenmanszaak</v>
      </c>
      <c r="V30" s="7" t="str">
        <f>IFERROR(__xludf.DUMMYFUNCTION("""COMPUTED_VALUE"""),"000058424628")</f>
        <v>000058424628</v>
      </c>
      <c r="W30" s="6" t="str">
        <f>IFERROR(__xludf.DUMMYFUNCTION("""COMPUTED_VALUE"""),"ink.anastasiyanails.2288aa@zarabota.nl")</f>
        <v>ink.anastasiyanails.2288aa@zarabota.nl</v>
      </c>
      <c r="X30" s="6" t="str">
        <f>IFERROR(__xludf.DUMMYFUNCTION("""COMPUTED_VALUE"""),"ver.anastasiyanails.2288aa@zarabota.nl")</f>
        <v>ver.anastasiyanails.2288aa@zarabota.nl</v>
      </c>
      <c r="Y30" s="6" t="str">
        <f>IFERROR(__xludf.DUMMYFUNCTION("""COMPUTED_VALUE"""),"Mw.")</f>
        <v>Mw.</v>
      </c>
      <c r="Z30" s="6" t="str">
        <f>IFERROR(__xludf.DUMMYFUNCTION("""COMPUTED_VALUE"""),"Anastasiya Atanasova")</f>
        <v>Anastasiya Atanasova</v>
      </c>
      <c r="AA30" s="6" t="str">
        <f>IFERROR(__xludf.DUMMYFUNCTION("""COMPUTED_VALUE"""),"Petrova-Semerdzhieva")</f>
        <v>Petrova-Semerdzhieva</v>
      </c>
      <c r="AB30" s="6" t="str">
        <f>IFERROR(__xludf.DUMMYFUNCTION("""COMPUTED_VALUE"""),"A.A")</f>
        <v>A.A</v>
      </c>
      <c r="AC30" s="6">
        <f>IFERROR(__xludf.DUMMYFUNCTION("""COMPUTED_VALUE"""),4.33236279E8)</f>
        <v>433236279</v>
      </c>
      <c r="AD30" s="9">
        <f>IFERROR(__xludf.DUMMYFUNCTION("""COMPUTED_VALUE"""),27355.0)</f>
        <v>27355</v>
      </c>
      <c r="AE30" s="6" t="str">
        <f>IFERROR(__xludf.DUMMYFUNCTION("""COMPUTED_VALUE"""),"bg")</f>
        <v>bg</v>
      </c>
      <c r="AF30" s="6"/>
      <c r="AG30" s="6" t="str">
        <f>IFERROR(__xludf.DUMMYFUNCTION("""COMPUTED_VALUE"""),"Mw. A.A Petrova-Semerdzhieva")</f>
        <v>Mw. A.A Petrova-Semerdzhieva</v>
      </c>
      <c r="AH30" s="6" t="str">
        <f>IFERROR(__xludf.DUMMYFUNCTION("""COMPUTED_VALUE"""),"NL63 INGB 0651 7546 90")</f>
        <v>NL63 INGB 0651 7546 90</v>
      </c>
      <c r="AI30" s="9">
        <f>IFERROR(__xludf.DUMMYFUNCTION("""COMPUTED_VALUE"""),42790.0)</f>
        <v>42790</v>
      </c>
      <c r="AJ30" s="6" t="str">
        <f>IFERROR(__xludf.DUMMYFUNCTION("""COMPUTED_VALUE"""),"ID Kaart")</f>
        <v>ID Kaart</v>
      </c>
      <c r="AK30" s="6"/>
      <c r="AL30" s="6"/>
      <c r="AM30" s="6" t="str">
        <f>IFERROR(__xludf.DUMMYFUNCTION("""COMPUTED_VALUE"""),"Bulgarije")</f>
        <v>Bulgarije</v>
      </c>
      <c r="AN30" s="6" t="str">
        <f>IFERROR(__xludf.DUMMYFUNCTION("""COMPUTED_VALUE"""),"Anastasiya Atanasova Petrova-Semerdzhieva")</f>
        <v>Anastasiya Atanasova Petrova-Semerdzhieva</v>
      </c>
      <c r="AO30" s="6">
        <f>IFERROR(__xludf.DUMMYFUNCTION("""COMPUTED_VALUE"""),1587.0)</f>
        <v>1587</v>
      </c>
    </row>
    <row r="31">
      <c r="A31" s="6" t="str">
        <f>IFERROR(__xludf.DUMMYFUNCTION("""COMPUTED_VALUE"""),"Andreev Express")</f>
        <v>Andreev Express</v>
      </c>
      <c r="B31" s="6" t="str">
        <f>IFERROR(__xludf.DUMMYFUNCTION("""COMPUTED_VALUE"""),"Andreev Express")</f>
        <v>Andreev Express</v>
      </c>
      <c r="C31" s="6">
        <f>IFERROR(__xludf.DUMMYFUNCTION("""COMPUTED_VALUE"""),611.0)</f>
        <v>611</v>
      </c>
      <c r="D31" s="7" t="str">
        <f>IFERROR(__xludf.DUMMYFUNCTION("""COMPUTED_VALUE"""),"Asen Robertov Andreev")</f>
        <v>Asen Robertov Andreev</v>
      </c>
      <c r="E31" s="7" t="str">
        <f>IFERROR(__xludf.DUMMYFUNCTION("""COMPUTED_VALUE"""),"SBI-code: 4120 - Algemene burgerlijke en utiliteitsbouw")</f>
        <v>SBI-code: 4120 - Algemene burgerlijke en utiliteitsbouw</v>
      </c>
      <c r="F31" s="7" t="str">
        <f>IFERROR(__xludf.DUMMYFUNCTION("""COMPUTED_VALUE"""),"0684990924")</f>
        <v>0684990924</v>
      </c>
      <c r="G31" s="6" t="str">
        <f>IFERROR(__xludf.DUMMYFUNCTION("""COMPUTED_VALUE"""),"andreevasen5@gmail.com")</f>
        <v>andreevasen5@gmail.com</v>
      </c>
      <c r="H31" s="6" t="str">
        <f>IFERROR(__xludf.DUMMYFUNCTION("""COMPUTED_VALUE"""),"Stavenissestraat 129")</f>
        <v>Stavenissestraat 129</v>
      </c>
      <c r="I31" s="6" t="str">
        <f>IFERROR(__xludf.DUMMYFUNCTION("""COMPUTED_VALUE"""),"3086RA")</f>
        <v>3086RA</v>
      </c>
      <c r="J31" s="6" t="str">
        <f>IFERROR(__xludf.DUMMYFUNCTION("""COMPUTED_VALUE"""),"s-Gravenhage")</f>
        <v>s-Gravenhage</v>
      </c>
      <c r="K31" s="6" t="str">
        <f>IFERROR(__xludf.DUMMYFUNCTION("""COMPUTED_VALUE"""),"Nederland")</f>
        <v>Nederland</v>
      </c>
      <c r="L31" s="6" t="str">
        <f>IFERROR(__xludf.DUMMYFUNCTION("""COMPUTED_VALUE"""),"Андреев")</f>
        <v>Андреев</v>
      </c>
      <c r="M31" s="8">
        <f>IFERROR(__xludf.DUMMYFUNCTION("""COMPUTED_VALUE"""),43307.0)</f>
        <v>43307</v>
      </c>
      <c r="N31" s="6" t="str">
        <f>IFERROR(__xludf.DUMMYFUNCTION("""COMPUTED_VALUE"""),"NL")</f>
        <v>NL</v>
      </c>
      <c r="O31" s="6">
        <f>IFERROR(__xludf.DUMMYFUNCTION("""COMPUTED_VALUE"""),7.2236167E7)</f>
        <v>72236167</v>
      </c>
      <c r="P31" s="6" t="str">
        <f>IFERROR(__xludf.DUMMYFUNCTION("""COMPUTED_VALUE"""),"NL")</f>
        <v>NL</v>
      </c>
      <c r="Q31" s="9">
        <f>IFERROR(__xludf.DUMMYFUNCTION("""COMPUTED_VALUE"""),43307.0)</f>
        <v>43307</v>
      </c>
      <c r="R31" s="6"/>
      <c r="S31" s="6" t="str">
        <f>IFERROR(__xludf.DUMMYFUNCTION("""COMPUTED_VALUE"""),"NL002456843B24")</f>
        <v>NL002456843B24</v>
      </c>
      <c r="T31" s="6">
        <f>IFERROR(__xludf.DUMMYFUNCTION("""COMPUTED_VALUE"""),2.64710538E8)</f>
        <v>264710538</v>
      </c>
      <c r="U31" s="7" t="str">
        <f>IFERROR(__xludf.DUMMYFUNCTION("""COMPUTED_VALUE"""),"Eenmanszaak")</f>
        <v>Eenmanszaak</v>
      </c>
      <c r="V31" s="7" t="str">
        <f>IFERROR(__xludf.DUMMYFUNCTION("""COMPUTED_VALUE"""),"000040357619")</f>
        <v>000040357619</v>
      </c>
      <c r="W31" s="6" t="str">
        <f>IFERROR(__xludf.DUMMYFUNCTION("""COMPUTED_VALUE"""),"ink.andreevexpress.2288aa@zarabota.nl")</f>
        <v>ink.andreevexpress.2288aa@zarabota.nl</v>
      </c>
      <c r="X31" s="6" t="str">
        <f>IFERROR(__xludf.DUMMYFUNCTION("""COMPUTED_VALUE"""),"ver.andreevexpress.2288aa@zarabota.nl")</f>
        <v>ver.andreevexpress.2288aa@zarabota.nl</v>
      </c>
      <c r="Y31" s="6" t="str">
        <f>IFERROR(__xludf.DUMMYFUNCTION("""COMPUTED_VALUE"""),"Hr.")</f>
        <v>Hr.</v>
      </c>
      <c r="Z31" s="6" t="str">
        <f>IFERROR(__xludf.DUMMYFUNCTION("""COMPUTED_VALUE"""),"Asen Robertov")</f>
        <v>Asen Robertov</v>
      </c>
      <c r="AA31" s="6" t="str">
        <f>IFERROR(__xludf.DUMMYFUNCTION("""COMPUTED_VALUE"""),"Andreev")</f>
        <v>Andreev</v>
      </c>
      <c r="AB31" s="6" t="str">
        <f>IFERROR(__xludf.DUMMYFUNCTION("""COMPUTED_VALUE"""),"A.R.")</f>
        <v>A.R.</v>
      </c>
      <c r="AC31" s="6">
        <f>IFERROR(__xludf.DUMMYFUNCTION("""COMPUTED_VALUE"""),2.64710538E8)</f>
        <v>264710538</v>
      </c>
      <c r="AD31" s="9">
        <f>IFERROR(__xludf.DUMMYFUNCTION("""COMPUTED_VALUE"""),29754.0)</f>
        <v>29754</v>
      </c>
      <c r="AE31" s="6" t="str">
        <f>IFERROR(__xludf.DUMMYFUNCTION("""COMPUTED_VALUE"""),"bg")</f>
        <v>bg</v>
      </c>
      <c r="AF31" s="6" t="str">
        <f>IFERROR(__xludf.DUMMYFUNCTION("""COMPUTED_VALUE"""),"Montana")</f>
        <v>Montana</v>
      </c>
      <c r="AG31" s="6" t="str">
        <f>IFERROR(__xludf.DUMMYFUNCTION("""COMPUTED_VALUE"""),"Hr. A.R. Andreev")</f>
        <v>Hr. A.R. Andreev</v>
      </c>
      <c r="AH31" s="6"/>
      <c r="AI31" s="6"/>
      <c r="AJ31" s="6"/>
      <c r="AK31" s="6"/>
      <c r="AL31" s="6"/>
      <c r="AM31" s="6"/>
      <c r="AN31" s="6" t="str">
        <f>IFERROR(__xludf.DUMMYFUNCTION("""COMPUTED_VALUE"""),"Asen Robertov Andreev")</f>
        <v>Asen Robertov Andreev</v>
      </c>
      <c r="AO31" s="6"/>
    </row>
    <row r="32">
      <c r="A32" s="6" t="str">
        <f>IFERROR(__xludf.DUMMYFUNCTION("""COMPUTED_VALUE"""),"Anev Bouwbedrijf")</f>
        <v>Anev Bouwbedrijf</v>
      </c>
      <c r="B32" s="6" t="str">
        <f>IFERROR(__xludf.DUMMYFUNCTION("""COMPUTED_VALUE"""),"Anev Bouwbedrijf")</f>
        <v>Anev Bouwbedrijf</v>
      </c>
      <c r="C32" s="6">
        <f>IFERROR(__xludf.DUMMYFUNCTION("""COMPUTED_VALUE"""),1305.0)</f>
        <v>1305</v>
      </c>
      <c r="D32" s="7" t="str">
        <f>IFERROR(__xludf.DUMMYFUNCTION("""COMPUTED_VALUE"""),"Plamen Anev Merdzhanov")</f>
        <v>Plamen Anev Merdzhanov</v>
      </c>
      <c r="E32" s="7" t="str">
        <f>IFERROR(__xludf.DUMMYFUNCTION("""COMPUTED_VALUE"""),"SBI-code: 4120 - Algemene burgerlijke en utiliteitsbouw")</f>
        <v>SBI-code: 4120 - Algemene burgerlijke en utiliteitsbouw</v>
      </c>
      <c r="F32" s="7" t="str">
        <f>IFERROR(__xludf.DUMMYFUNCTION("""COMPUTED_VALUE"""),"+34621234079")</f>
        <v>+34621234079</v>
      </c>
      <c r="G32" s="6" t="str">
        <f>IFERROR(__xludf.DUMMYFUNCTION("""COMPUTED_VALUE"""),"plamen_navarres@hotmail.com")</f>
        <v>plamen_navarres@hotmail.com</v>
      </c>
      <c r="H32" s="6" t="str">
        <f>IFERROR(__xludf.DUMMYFUNCTION("""COMPUTED_VALUE"""),"Van Dijckstraat 138")</f>
        <v>Van Dijckstraat 138</v>
      </c>
      <c r="I32" s="6" t="str">
        <f>IFERROR(__xludf.DUMMYFUNCTION("""COMPUTED_VALUE"""),"2526SG")</f>
        <v>2526SG</v>
      </c>
      <c r="J32" s="6" t="str">
        <f>IFERROR(__xludf.DUMMYFUNCTION("""COMPUTED_VALUE"""),"s-Gravenhage")</f>
        <v>s-Gravenhage</v>
      </c>
      <c r="K32" s="6" t="str">
        <f>IFERROR(__xludf.DUMMYFUNCTION("""COMPUTED_VALUE"""),"Nederland")</f>
        <v>Nederland</v>
      </c>
      <c r="L32" s="6" t="str">
        <f>IFERROR(__xludf.DUMMYFUNCTION("""COMPUTED_VALUE"""),"Мерджанов")</f>
        <v>Мерджанов</v>
      </c>
      <c r="M32" s="8">
        <f>IFERROR(__xludf.DUMMYFUNCTION("""COMPUTED_VALUE"""),46086.0)</f>
        <v>46086</v>
      </c>
      <c r="N32" s="6" t="str">
        <f>IFERROR(__xludf.DUMMYFUNCTION("""COMPUTED_VALUE"""),"NL")</f>
        <v>NL</v>
      </c>
      <c r="O32" s="6">
        <f>IFERROR(__xludf.DUMMYFUNCTION("""COMPUTED_VALUE"""),4.2007778E7)</f>
        <v>42007778</v>
      </c>
      <c r="P32" s="6" t="str">
        <f>IFERROR(__xludf.DUMMYFUNCTION("""COMPUTED_VALUE"""),"NL")</f>
        <v>NL</v>
      </c>
      <c r="Q32" s="9">
        <f>IFERROR(__xludf.DUMMYFUNCTION("""COMPUTED_VALUE"""),46086.0)</f>
        <v>46086</v>
      </c>
      <c r="R32" s="6"/>
      <c r="S32" s="6" t="str">
        <f>IFERROR(__xludf.DUMMYFUNCTION("""COMPUTED_VALUE"""),"NL0")</f>
        <v>NL0</v>
      </c>
      <c r="T32" s="6">
        <f>IFERROR(__xludf.DUMMYFUNCTION("""COMPUTED_VALUE"""),5.43080614E8)</f>
        <v>543080614</v>
      </c>
      <c r="U32" s="7" t="str">
        <f>IFERROR(__xludf.DUMMYFUNCTION("""COMPUTED_VALUE"""),"Eenmanszaak")</f>
        <v>Eenmanszaak</v>
      </c>
      <c r="V32" s="7" t="str">
        <f>IFERROR(__xludf.DUMMYFUNCTION("""COMPUTED_VALUE"""),"000051598930")</f>
        <v>000051598930</v>
      </c>
      <c r="W32" s="6" t="str">
        <f>IFERROR(__xludf.DUMMYFUNCTION("""COMPUTED_VALUE"""),"ink.anevbouwbedrijf.2288aa@zarabota.nl")</f>
        <v>ink.anevbouwbedrijf.2288aa@zarabota.nl</v>
      </c>
      <c r="X32" s="6" t="str">
        <f>IFERROR(__xludf.DUMMYFUNCTION("""COMPUTED_VALUE"""),"ver.anevbouwbedrijf.2288aa@zarabota.nl")</f>
        <v>ver.anevbouwbedrijf.2288aa@zarabota.nl</v>
      </c>
      <c r="Y32" s="6" t="str">
        <f>IFERROR(__xludf.DUMMYFUNCTION("""COMPUTED_VALUE"""),"Hr.")</f>
        <v>Hr.</v>
      </c>
      <c r="Z32" s="6" t="str">
        <f>IFERROR(__xludf.DUMMYFUNCTION("""COMPUTED_VALUE"""),"Plamen Anev")</f>
        <v>Plamen Anev</v>
      </c>
      <c r="AA32" s="6" t="str">
        <f>IFERROR(__xludf.DUMMYFUNCTION("""COMPUTED_VALUE"""),"Merdzhanov")</f>
        <v>Merdzhanov</v>
      </c>
      <c r="AB32" s="6" t="str">
        <f>IFERROR(__xludf.DUMMYFUNCTION("""COMPUTED_VALUE"""),"P.A.")</f>
        <v>P.A.</v>
      </c>
      <c r="AC32" s="6">
        <f>IFERROR(__xludf.DUMMYFUNCTION("""COMPUTED_VALUE"""),5.43080614E8)</f>
        <v>543080614</v>
      </c>
      <c r="AD32" s="9">
        <f>IFERROR(__xludf.DUMMYFUNCTION("""COMPUTED_VALUE"""),36718.0)</f>
        <v>36718</v>
      </c>
      <c r="AE32" s="6" t="str">
        <f>IFERROR(__xludf.DUMMYFUNCTION("""COMPUTED_VALUE"""),"bg")</f>
        <v>bg</v>
      </c>
      <c r="AF32" s="6" t="str">
        <f>IFERROR(__xludf.DUMMYFUNCTION("""COMPUTED_VALUE"""),"Dimitrovgrad")</f>
        <v>Dimitrovgrad</v>
      </c>
      <c r="AG32" s="6" t="str">
        <f>IFERROR(__xludf.DUMMYFUNCTION("""COMPUTED_VALUE"""),"Hr. P.A. Merdzhanov")</f>
        <v>Hr. P.A. Merdzhanov</v>
      </c>
      <c r="AH32" s="6"/>
      <c r="AI32" s="9">
        <f>IFERROR(__xludf.DUMMYFUNCTION("""COMPUTED_VALUE"""),44587.0)</f>
        <v>44587</v>
      </c>
      <c r="AJ32" s="6" t="str">
        <f>IFERROR(__xludf.DUMMYFUNCTION("""COMPUTED_VALUE"""),"ID Kaart")</f>
        <v>ID Kaart</v>
      </c>
      <c r="AK32" s="6">
        <f>IFERROR(__xludf.DUMMYFUNCTION("""COMPUTED_VALUE"""),6.47795663E8)</f>
        <v>647795663</v>
      </c>
      <c r="AL32" s="9">
        <f>IFERROR(__xludf.DUMMYFUNCTION("""COMPUTED_VALUE"""),47010.0)</f>
        <v>47010</v>
      </c>
      <c r="AM32" s="6" t="str">
        <f>IFERROR(__xludf.DUMMYFUNCTION("""COMPUTED_VALUE"""),"Bulgarije")</f>
        <v>Bulgarije</v>
      </c>
      <c r="AN32" s="6" t="str">
        <f>IFERROR(__xludf.DUMMYFUNCTION("""COMPUTED_VALUE"""),"Plamen Anev Merdzhanov")</f>
        <v>Plamen Anev Merdzhanov</v>
      </c>
      <c r="AO32" s="6">
        <f>IFERROR(__xludf.DUMMYFUNCTION("""COMPUTED_VALUE"""),1305.0)</f>
        <v>1305</v>
      </c>
    </row>
    <row r="33">
      <c r="A33" s="6" t="str">
        <f>IFERROR(__xludf.DUMMYFUNCTION("""COMPUTED_VALUE"""),"Angel Bouw A.A.N.")</f>
        <v>Angel Bouw A.A.N.</v>
      </c>
      <c r="B33" s="6" t="str">
        <f>IFERROR(__xludf.DUMMYFUNCTION("""COMPUTED_VALUE"""),"Angel Bouw A.A.N.")</f>
        <v>Angel Bouw A.A.N.</v>
      </c>
      <c r="C33" s="6">
        <f>IFERROR(__xludf.DUMMYFUNCTION("""COMPUTED_VALUE"""),1220.0)</f>
        <v>1220</v>
      </c>
      <c r="D33" s="7" t="str">
        <f>IFERROR(__xludf.DUMMYFUNCTION("""COMPUTED_VALUE"""),"Aleksandar Angelov Georgiev")</f>
        <v>Aleksandar Angelov Georgiev</v>
      </c>
      <c r="E33" s="7" t="str">
        <f>IFERROR(__xludf.DUMMYFUNCTION("""COMPUTED_VALUE"""),"SBI-code: 4120 - Algemene burgerlijke en utiliteitsbouw")</f>
        <v>SBI-code: 4120 - Algemene burgerlijke en utiliteitsbouw</v>
      </c>
      <c r="F33" s="7" t="str">
        <f>IFERROR(__xludf.DUMMYFUNCTION("""COMPUTED_VALUE"""),"0687717135")</f>
        <v>0687717135</v>
      </c>
      <c r="G33" s="6" t="str">
        <f>IFERROR(__xludf.DUMMYFUNCTION("""COMPUTED_VALUE"""),"aleksandargeorgiev522@gmail.com")</f>
        <v>aleksandargeorgiev522@gmail.com</v>
      </c>
      <c r="H33" s="6" t="str">
        <f>IFERROR(__xludf.DUMMYFUNCTION("""COMPUTED_VALUE"""),"Aarnout Drostlaan 48")</f>
        <v>Aarnout Drostlaan 48</v>
      </c>
      <c r="I33" s="6" t="str">
        <f>IFERROR(__xludf.DUMMYFUNCTION("""COMPUTED_VALUE"""),"2523EN")</f>
        <v>2523EN</v>
      </c>
      <c r="J33" s="6" t="str">
        <f>IFERROR(__xludf.DUMMYFUNCTION("""COMPUTED_VALUE"""),"s-Gravenhage")</f>
        <v>s-Gravenhage</v>
      </c>
      <c r="K33" s="6" t="str">
        <f>IFERROR(__xludf.DUMMYFUNCTION("""COMPUTED_VALUE"""),"Nederland")</f>
        <v>Nederland</v>
      </c>
      <c r="L33" s="6" t="str">
        <f>IFERROR(__xludf.DUMMYFUNCTION("""COMPUTED_VALUE"""),"Георгиев")</f>
        <v>Георгиев</v>
      </c>
      <c r="M33" s="8">
        <f>IFERROR(__xludf.DUMMYFUNCTION("""COMPUTED_VALUE"""),44440.0)</f>
        <v>44440</v>
      </c>
      <c r="N33" s="6" t="str">
        <f>IFERROR(__xludf.DUMMYFUNCTION("""COMPUTED_VALUE"""),"NL390837581B01")</f>
        <v>NL390837581B01</v>
      </c>
      <c r="O33" s="6">
        <f>IFERROR(__xludf.DUMMYFUNCTION("""COMPUTED_VALUE"""),8.3956883E7)</f>
        <v>83956883</v>
      </c>
      <c r="P33" s="6" t="str">
        <f>IFERROR(__xludf.DUMMYFUNCTION("""COMPUTED_VALUE"""),"NL50INGB0006283071")</f>
        <v>NL50INGB0006283071</v>
      </c>
      <c r="Q33" s="9">
        <f>IFERROR(__xludf.DUMMYFUNCTION("""COMPUTED_VALUE"""),44440.0)</f>
        <v>44440</v>
      </c>
      <c r="R33" s="6"/>
      <c r="S33" s="6" t="str">
        <f>IFERROR(__xludf.DUMMYFUNCTION("""COMPUTED_VALUE"""),"NL003894540B66")</f>
        <v>NL003894540B66</v>
      </c>
      <c r="T33" s="6">
        <f>IFERROR(__xludf.DUMMYFUNCTION("""COMPUTED_VALUE"""),3.90837581E8)</f>
        <v>390837581</v>
      </c>
      <c r="U33" s="7" t="str">
        <f>IFERROR(__xludf.DUMMYFUNCTION("""COMPUTED_VALUE"""),"Eenmanszaak")</f>
        <v>Eenmanszaak</v>
      </c>
      <c r="V33" s="7" t="str">
        <f>IFERROR(__xludf.DUMMYFUNCTION("""COMPUTED_VALUE"""),"000050100726")</f>
        <v>000050100726</v>
      </c>
      <c r="W33" s="6" t="str">
        <f>IFERROR(__xludf.DUMMYFUNCTION("""COMPUTED_VALUE"""),"ink.angelbouw.2288aa@zarabota.nl")</f>
        <v>ink.angelbouw.2288aa@zarabota.nl</v>
      </c>
      <c r="X33" s="6" t="str">
        <f>IFERROR(__xludf.DUMMYFUNCTION("""COMPUTED_VALUE"""),"ver.angelbouw.2288aa@zarabota.nl")</f>
        <v>ver.angelbouw.2288aa@zarabota.nl</v>
      </c>
      <c r="Y33" s="6" t="str">
        <f>IFERROR(__xludf.DUMMYFUNCTION("""COMPUTED_VALUE"""),"Hr.")</f>
        <v>Hr.</v>
      </c>
      <c r="Z33" s="6" t="str">
        <f>IFERROR(__xludf.DUMMYFUNCTION("""COMPUTED_VALUE"""),"Aleksandar Angelov")</f>
        <v>Aleksandar Angelov</v>
      </c>
      <c r="AA33" s="6" t="str">
        <f>IFERROR(__xludf.DUMMYFUNCTION("""COMPUTED_VALUE"""),"Georgiev")</f>
        <v>Georgiev</v>
      </c>
      <c r="AB33" s="6" t="str">
        <f>IFERROR(__xludf.DUMMYFUNCTION("""COMPUTED_VALUE"""),"A.A.")</f>
        <v>A.A.</v>
      </c>
      <c r="AC33" s="6">
        <f>IFERROR(__xludf.DUMMYFUNCTION("""COMPUTED_VALUE"""),3.90837581E8)</f>
        <v>390837581</v>
      </c>
      <c r="AD33" s="9">
        <f>IFERROR(__xludf.DUMMYFUNCTION("""COMPUTED_VALUE"""),33909.0)</f>
        <v>33909</v>
      </c>
      <c r="AE33" s="6" t="str">
        <f>IFERROR(__xludf.DUMMYFUNCTION("""COMPUTED_VALUE"""),"bg")</f>
        <v>bg</v>
      </c>
      <c r="AF33" s="6" t="str">
        <f>IFERROR(__xludf.DUMMYFUNCTION("""COMPUTED_VALUE"""),"Svilengrad")</f>
        <v>Svilengrad</v>
      </c>
      <c r="AG33" s="6" t="str">
        <f>IFERROR(__xludf.DUMMYFUNCTION("""COMPUTED_VALUE"""),"Hr. A.A. Georgiev")</f>
        <v>Hr. A.A. Georgiev</v>
      </c>
      <c r="AH33" s="6" t="str">
        <f>IFERROR(__xludf.DUMMYFUNCTION("""COMPUTED_VALUE"""),"NL22INGB0798028130")</f>
        <v>NL22INGB0798028130</v>
      </c>
      <c r="AI33" s="6"/>
      <c r="AJ33" s="6" t="str">
        <f>IFERROR(__xludf.DUMMYFUNCTION("""COMPUTED_VALUE"""),"ID Kaart")</f>
        <v>ID Kaart</v>
      </c>
      <c r="AK33" s="6">
        <f>IFERROR(__xludf.DUMMYFUNCTION("""COMPUTED_VALUE"""),6.47254418E8)</f>
        <v>647254418</v>
      </c>
      <c r="AL33" s="9">
        <f>IFERROR(__xludf.DUMMYFUNCTION("""COMPUTED_VALUE"""),46664.0)</f>
        <v>46664</v>
      </c>
      <c r="AM33" s="6" t="str">
        <f>IFERROR(__xludf.DUMMYFUNCTION("""COMPUTED_VALUE"""),"Bulgarije")</f>
        <v>Bulgarije</v>
      </c>
      <c r="AN33" s="6" t="str">
        <f>IFERROR(__xludf.DUMMYFUNCTION("""COMPUTED_VALUE"""),"Aleksandar Angelov Georgiev")</f>
        <v>Aleksandar Angelov Georgiev</v>
      </c>
      <c r="AO33" s="6">
        <f>IFERROR(__xludf.DUMMYFUNCTION("""COMPUTED_VALUE"""),1220.0)</f>
        <v>1220</v>
      </c>
    </row>
    <row r="34">
      <c r="A34" s="6" t="str">
        <f>IFERROR(__xludf.DUMMYFUNCTION("""COMPUTED_VALUE"""),"Angel Pro")</f>
        <v>Angel Pro</v>
      </c>
      <c r="B34" s="6" t="str">
        <f>IFERROR(__xludf.DUMMYFUNCTION("""COMPUTED_VALUE"""),"Angel Pro")</f>
        <v>Angel Pro</v>
      </c>
      <c r="C34" s="6">
        <f>IFERROR(__xludf.DUMMYFUNCTION("""COMPUTED_VALUE"""),1631.0)</f>
        <v>1631</v>
      </c>
      <c r="D34" s="7" t="str">
        <f>IFERROR(__xludf.DUMMYFUNCTION("""COMPUTED_VALUE"""),"Angel Mladenov Aleksandrov")</f>
        <v>Angel Mladenov Aleksandrov</v>
      </c>
      <c r="E34" s="7" t="str">
        <f>IFERROR(__xludf.DUMMYFUNCTION("""COMPUTED_VALUE"""),"SBI-code: 4120 - Algemene burgerlijke en utiliteitsbouw")</f>
        <v>SBI-code: 4120 - Algemene burgerlijke en utiliteitsbouw</v>
      </c>
      <c r="F34" s="7" t="str">
        <f>IFERROR(__xludf.DUMMYFUNCTION("""COMPUTED_VALUE"""),"0684265496")</f>
        <v>0684265496</v>
      </c>
      <c r="G34" s="6" t="str">
        <f>IFERROR(__xludf.DUMMYFUNCTION("""COMPUTED_VALUE"""),"info@angelpro.nl")</f>
        <v>info@angelpro.nl</v>
      </c>
      <c r="H34" s="6" t="str">
        <f>IFERROR(__xludf.DUMMYFUNCTION("""COMPUTED_VALUE"""),"Van der Helststraat 14")</f>
        <v>Van der Helststraat 14</v>
      </c>
      <c r="I34" s="6" t="str">
        <f>IFERROR(__xludf.DUMMYFUNCTION("""COMPUTED_VALUE"""),"2526BD")</f>
        <v>2526BD</v>
      </c>
      <c r="J34" s="6" t="str">
        <f>IFERROR(__xludf.DUMMYFUNCTION("""COMPUTED_VALUE"""),"s-Gravenhage")</f>
        <v>s-Gravenhage</v>
      </c>
      <c r="K34" s="6" t="str">
        <f>IFERROR(__xludf.DUMMYFUNCTION("""COMPUTED_VALUE"""),"Nederland")</f>
        <v>Nederland</v>
      </c>
      <c r="L34" s="6" t="str">
        <f>IFERROR(__xludf.DUMMYFUNCTION("""COMPUTED_VALUE"""),"Александров")</f>
        <v>Александров</v>
      </c>
      <c r="M34" s="8">
        <f>IFERROR(__xludf.DUMMYFUNCTION("""COMPUTED_VALUE"""),45401.0)</f>
        <v>45401</v>
      </c>
      <c r="N34" s="6" t="str">
        <f>IFERROR(__xludf.DUMMYFUNCTION("""COMPUTED_VALUE"""),"NL438071384B01")</f>
        <v>NL438071384B01</v>
      </c>
      <c r="O34" s="6">
        <f>IFERROR(__xludf.DUMMYFUNCTION("""COMPUTED_VALUE"""),9.3652054E7)</f>
        <v>93652054</v>
      </c>
      <c r="P34" s="6" t="str">
        <f>IFERROR(__xludf.DUMMYFUNCTION("""COMPUTED_VALUE"""),"NL51INGB0105065137")</f>
        <v>NL51INGB0105065137</v>
      </c>
      <c r="Q34" s="9">
        <f>IFERROR(__xludf.DUMMYFUNCTION("""COMPUTED_VALUE"""),45401.0)</f>
        <v>45401</v>
      </c>
      <c r="R34" s="6"/>
      <c r="S34" s="6" t="str">
        <f>IFERROR(__xludf.DUMMYFUNCTION("""COMPUTED_VALUE"""),"NL005033216B32")</f>
        <v>NL005033216B32</v>
      </c>
      <c r="T34" s="6">
        <f>IFERROR(__xludf.DUMMYFUNCTION("""COMPUTED_VALUE"""),4.38071384E8)</f>
        <v>438071384</v>
      </c>
      <c r="U34" s="7" t="str">
        <f>IFERROR(__xludf.DUMMYFUNCTION("""COMPUTED_VALUE"""),"Eenmanszaak")</f>
        <v>Eenmanszaak</v>
      </c>
      <c r="V34" s="7" t="str">
        <f>IFERROR(__xludf.DUMMYFUNCTION("""COMPUTED_VALUE"""),"000059178310")</f>
        <v>000059178310</v>
      </c>
      <c r="W34" s="6" t="str">
        <f>IFERROR(__xludf.DUMMYFUNCTION("""COMPUTED_VALUE"""),"ink.angelpro.2288aa@zarabota.nl")</f>
        <v>ink.angelpro.2288aa@zarabota.nl</v>
      </c>
      <c r="X34" s="6" t="str">
        <f>IFERROR(__xludf.DUMMYFUNCTION("""COMPUTED_VALUE"""),"ver.angelpro.2288aa@zarabota.nl")</f>
        <v>ver.angelpro.2288aa@zarabota.nl</v>
      </c>
      <c r="Y34" s="6" t="str">
        <f>IFERROR(__xludf.DUMMYFUNCTION("""COMPUTED_VALUE"""),"Hr.")</f>
        <v>Hr.</v>
      </c>
      <c r="Z34" s="6" t="str">
        <f>IFERROR(__xludf.DUMMYFUNCTION("""COMPUTED_VALUE"""),"Angel Mladenov")</f>
        <v>Angel Mladenov</v>
      </c>
      <c r="AA34" s="6" t="str">
        <f>IFERROR(__xludf.DUMMYFUNCTION("""COMPUTED_VALUE"""),"Aleksandrov")</f>
        <v>Aleksandrov</v>
      </c>
      <c r="AB34" s="6" t="str">
        <f>IFERROR(__xludf.DUMMYFUNCTION("""COMPUTED_VALUE"""),"A.M.")</f>
        <v>A.M.</v>
      </c>
      <c r="AC34" s="6">
        <f>IFERROR(__xludf.DUMMYFUNCTION("""COMPUTED_VALUE"""),4.38071384E8)</f>
        <v>438071384</v>
      </c>
      <c r="AD34" s="9">
        <f>IFERROR(__xludf.DUMMYFUNCTION("""COMPUTED_VALUE"""),34220.0)</f>
        <v>34220</v>
      </c>
      <c r="AE34" s="6" t="str">
        <f>IFERROR(__xludf.DUMMYFUNCTION("""COMPUTED_VALUE"""),"bg")</f>
        <v>bg</v>
      </c>
      <c r="AF34" s="6" t="str">
        <f>IFERROR(__xludf.DUMMYFUNCTION("""COMPUTED_VALUE"""),"Parvomay")</f>
        <v>Parvomay</v>
      </c>
      <c r="AG34" s="6" t="str">
        <f>IFERROR(__xludf.DUMMYFUNCTION("""COMPUTED_VALUE"""),"Hr. A.M. Aleksandrov")</f>
        <v>Hr. A.M. Aleksandrov</v>
      </c>
      <c r="AH34" s="6"/>
      <c r="AI34" s="6"/>
      <c r="AJ34" s="6" t="str">
        <f>IFERROR(__xludf.DUMMYFUNCTION("""COMPUTED_VALUE"""),"ID Kaart")</f>
        <v>ID Kaart</v>
      </c>
      <c r="AK34" s="6">
        <f>IFERROR(__xludf.DUMMYFUNCTION("""COMPUTED_VALUE"""),6.51306517E8)</f>
        <v>651306517</v>
      </c>
      <c r="AL34" s="9">
        <f>IFERROR(__xludf.DUMMYFUNCTION("""COMPUTED_VALUE"""),48164.0)</f>
        <v>48164</v>
      </c>
      <c r="AM34" s="6" t="str">
        <f>IFERROR(__xludf.DUMMYFUNCTION("""COMPUTED_VALUE"""),"Bulgarije")</f>
        <v>Bulgarije</v>
      </c>
      <c r="AN34" s="6" t="str">
        <f>IFERROR(__xludf.DUMMYFUNCTION("""COMPUTED_VALUE"""),"Angel Mladenov Aleksandrov")</f>
        <v>Angel Mladenov Aleksandrov</v>
      </c>
      <c r="AO34" s="6">
        <f>IFERROR(__xludf.DUMMYFUNCTION("""COMPUTED_VALUE"""),1631.0)</f>
        <v>1631</v>
      </c>
    </row>
    <row r="35">
      <c r="A35" s="6" t="str">
        <f>IFERROR(__xludf.DUMMYFUNCTION("""COMPUTED_VALUE"""),"Anton Angelov Bouw")</f>
        <v>Anton Angelov Bouw</v>
      </c>
      <c r="B35" s="6" t="str">
        <f>IFERROR(__xludf.DUMMYFUNCTION("""COMPUTED_VALUE"""),"Anton Angelov Bouw")</f>
        <v>Anton Angelov Bouw</v>
      </c>
      <c r="C35" s="6">
        <f>IFERROR(__xludf.DUMMYFUNCTION("""COMPUTED_VALUE"""),1064.0)</f>
        <v>1064</v>
      </c>
      <c r="D35" s="7" t="str">
        <f>IFERROR(__xludf.DUMMYFUNCTION("""COMPUTED_VALUE"""),"Anton Georgiev Angelov")</f>
        <v>Anton Georgiev Angelov</v>
      </c>
      <c r="E35" s="7" t="str">
        <f>IFERROR(__xludf.DUMMYFUNCTION("""COMPUTED_VALUE"""),"SBI-code: 4120 - Algemene burgerlijke en utiliteitsbouw")</f>
        <v>SBI-code: 4120 - Algemene burgerlijke en utiliteitsbouw</v>
      </c>
      <c r="F35" s="7" t="str">
        <f>IFERROR(__xludf.DUMMYFUNCTION("""COMPUTED_VALUE"""),"0685758653")</f>
        <v>0685758653</v>
      </c>
      <c r="G35" s="6" t="str">
        <f>IFERROR(__xludf.DUMMYFUNCTION("""COMPUTED_VALUE"""),"antonangelov23@icloud.com")</f>
        <v>antonangelov23@icloud.com</v>
      </c>
      <c r="H35" s="6" t="str">
        <f>IFERROR(__xludf.DUMMYFUNCTION("""COMPUTED_VALUE"""),"Deimanstraat 238")</f>
        <v>Deimanstraat 238</v>
      </c>
      <c r="I35" s="6" t="str">
        <f>IFERROR(__xludf.DUMMYFUNCTION("""COMPUTED_VALUE"""),"2522BR")</f>
        <v>2522BR</v>
      </c>
      <c r="J35" s="6" t="str">
        <f>IFERROR(__xludf.DUMMYFUNCTION("""COMPUTED_VALUE"""),"s-Gravenhage")</f>
        <v>s-Gravenhage</v>
      </c>
      <c r="K35" s="6" t="str">
        <f>IFERROR(__xludf.DUMMYFUNCTION("""COMPUTED_VALUE"""),"Nederland")</f>
        <v>Nederland</v>
      </c>
      <c r="L35" s="6" t="str">
        <f>IFERROR(__xludf.DUMMYFUNCTION("""COMPUTED_VALUE"""),"Ангелов")</f>
        <v>Ангелов</v>
      </c>
      <c r="M35" s="8">
        <f>IFERROR(__xludf.DUMMYFUNCTION("""COMPUTED_VALUE"""),44218.0)</f>
        <v>44218</v>
      </c>
      <c r="N35" s="6" t="str">
        <f>IFERROR(__xludf.DUMMYFUNCTION("""COMPUTED_VALUE"""),"NL395245722B01")</f>
        <v>NL395245722B01</v>
      </c>
      <c r="O35" s="6">
        <f>IFERROR(__xludf.DUMMYFUNCTION("""COMPUTED_VALUE"""),8.183867E7)</f>
        <v>81838670</v>
      </c>
      <c r="P35" s="6" t="str">
        <f>IFERROR(__xludf.DUMMYFUNCTION("""COMPUTED_VALUE"""),"NL86INGB0008642433")</f>
        <v>NL86INGB0008642433</v>
      </c>
      <c r="Q35" s="9">
        <f>IFERROR(__xludf.DUMMYFUNCTION("""COMPUTED_VALUE"""),44218.0)</f>
        <v>44218</v>
      </c>
      <c r="R35" s="6"/>
      <c r="S35" s="6" t="str">
        <f>IFERROR(__xludf.DUMMYFUNCTION("""COMPUTED_VALUE"""),"NL003608938B81")</f>
        <v>NL003608938B81</v>
      </c>
      <c r="T35" s="6">
        <f>IFERROR(__xludf.DUMMYFUNCTION("""COMPUTED_VALUE"""),3.95245722E8)</f>
        <v>395245722</v>
      </c>
      <c r="U35" s="7" t="str">
        <f>IFERROR(__xludf.DUMMYFUNCTION("""COMPUTED_VALUE"""),"Eenmanszaak")</f>
        <v>Eenmanszaak</v>
      </c>
      <c r="V35" s="7" t="str">
        <f>IFERROR(__xludf.DUMMYFUNCTION("""COMPUTED_VALUE"""),"000048105813")</f>
        <v>000048105813</v>
      </c>
      <c r="W35" s="6" t="str">
        <f>IFERROR(__xludf.DUMMYFUNCTION("""COMPUTED_VALUE"""),"ink.antonangelovbouw.2288aa@zarabota.nl")</f>
        <v>ink.antonangelovbouw.2288aa@zarabota.nl</v>
      </c>
      <c r="X35" s="6" t="str">
        <f>IFERROR(__xludf.DUMMYFUNCTION("""COMPUTED_VALUE"""),"ver.antonangelovbouw.2288aa@zarabota.nl")</f>
        <v>ver.antonangelovbouw.2288aa@zarabota.nl</v>
      </c>
      <c r="Y35" s="6" t="str">
        <f>IFERROR(__xludf.DUMMYFUNCTION("""COMPUTED_VALUE"""),"Hr.")</f>
        <v>Hr.</v>
      </c>
      <c r="Z35" s="6" t="str">
        <f>IFERROR(__xludf.DUMMYFUNCTION("""COMPUTED_VALUE"""),"Anton Georgiev")</f>
        <v>Anton Georgiev</v>
      </c>
      <c r="AA35" s="6" t="str">
        <f>IFERROR(__xludf.DUMMYFUNCTION("""COMPUTED_VALUE"""),"Angelov")</f>
        <v>Angelov</v>
      </c>
      <c r="AB35" s="6" t="str">
        <f>IFERROR(__xludf.DUMMYFUNCTION("""COMPUTED_VALUE"""),"A.G.")</f>
        <v>A.G.</v>
      </c>
      <c r="AC35" s="6">
        <f>IFERROR(__xludf.DUMMYFUNCTION("""COMPUTED_VALUE"""),3.95245722E8)</f>
        <v>395245722</v>
      </c>
      <c r="AD35" s="9">
        <f>IFERROR(__xludf.DUMMYFUNCTION("""COMPUTED_VALUE"""),32008.0)</f>
        <v>32008</v>
      </c>
      <c r="AE35" s="6" t="str">
        <f>IFERROR(__xludf.DUMMYFUNCTION("""COMPUTED_VALUE"""),"bg")</f>
        <v>bg</v>
      </c>
      <c r="AF35" s="6" t="str">
        <f>IFERROR(__xludf.DUMMYFUNCTION("""COMPUTED_VALUE"""),"Haskovo")</f>
        <v>Haskovo</v>
      </c>
      <c r="AG35" s="6" t="str">
        <f>IFERROR(__xludf.DUMMYFUNCTION("""COMPUTED_VALUE"""),"Hr. A.G. Angelov")</f>
        <v>Hr. A.G. Angelov</v>
      </c>
      <c r="AH35" s="6" t="str">
        <f>IFERROR(__xludf.DUMMYFUNCTION("""COMPUTED_VALUE"""),"NL63 INGB 0704 7361 87")</f>
        <v>NL63 INGB 0704 7361 87</v>
      </c>
      <c r="AI35" s="6"/>
      <c r="AJ35" s="6" t="str">
        <f>IFERROR(__xludf.DUMMYFUNCTION("""COMPUTED_VALUE"""),"ID Kaart")</f>
        <v>ID Kaart</v>
      </c>
      <c r="AK35" s="6">
        <f>IFERROR(__xludf.DUMMYFUNCTION("""COMPUTED_VALUE"""),6.47370182E8)</f>
        <v>647370182</v>
      </c>
      <c r="AL35" s="9">
        <f>IFERROR(__xludf.DUMMYFUNCTION("""COMPUTED_VALUE"""),46762.0)</f>
        <v>46762</v>
      </c>
      <c r="AM35" s="6" t="str">
        <f>IFERROR(__xludf.DUMMYFUNCTION("""COMPUTED_VALUE"""),"Bulgarije")</f>
        <v>Bulgarije</v>
      </c>
      <c r="AN35" s="6" t="str">
        <f>IFERROR(__xludf.DUMMYFUNCTION("""COMPUTED_VALUE"""),"Anton Georgiev Angelov")</f>
        <v>Anton Georgiev Angelov</v>
      </c>
      <c r="AO35" s="6">
        <f>IFERROR(__xludf.DUMMYFUNCTION("""COMPUTED_VALUE"""),1063.0)</f>
        <v>1063</v>
      </c>
    </row>
    <row r="36">
      <c r="A36" s="6" t="str">
        <f>IFERROR(__xludf.DUMMYFUNCTION("""COMPUTED_VALUE"""),"Antonyk Klusbedrijf")</f>
        <v>Antonyk Klusbedrijf</v>
      </c>
      <c r="B36" s="6" t="str">
        <f>IFERROR(__xludf.DUMMYFUNCTION("""COMPUTED_VALUE"""),"Antonyk Klusbedrijf")</f>
        <v>Antonyk Klusbedrijf</v>
      </c>
      <c r="C36" s="6">
        <f>IFERROR(__xludf.DUMMYFUNCTION("""COMPUTED_VALUE"""),1616.0)</f>
        <v>1616</v>
      </c>
      <c r="D36" s="7" t="str">
        <f>IFERROR(__xludf.DUMMYFUNCTION("""COMPUTED_VALUE"""),"Andrii Antonyk")</f>
        <v>Andrii Antonyk</v>
      </c>
      <c r="E36" s="7" t="str">
        <f>IFERROR(__xludf.DUMMYFUNCTION("""COMPUTED_VALUE"""),"SBI-code: 4120 - Algemene burgerlijke en utiliteitsbouw")</f>
        <v>SBI-code: 4120 - Algemene burgerlijke en utiliteitsbouw</v>
      </c>
      <c r="F36" s="7" t="str">
        <f>IFERROR(__xludf.DUMMYFUNCTION("""COMPUTED_VALUE"""),"0630751924")</f>
        <v>0630751924</v>
      </c>
      <c r="G36" s="6" t="str">
        <f>IFERROR(__xludf.DUMMYFUNCTION("""COMPUTED_VALUE"""),"andriy220884@gmail.com")</f>
        <v>andriy220884@gmail.com</v>
      </c>
      <c r="H36" s="6" t="str">
        <f>IFERROR(__xludf.DUMMYFUNCTION("""COMPUTED_VALUE"""),"Thorbeckelaan 93")</f>
        <v>Thorbeckelaan 93</v>
      </c>
      <c r="I36" s="6" t="str">
        <f>IFERROR(__xludf.DUMMYFUNCTION("""COMPUTED_VALUE"""),"2564BH")</f>
        <v>2564BH</v>
      </c>
      <c r="J36" s="6" t="str">
        <f>IFERROR(__xludf.DUMMYFUNCTION("""COMPUTED_VALUE"""),"s-Gravenhage")</f>
        <v>s-Gravenhage</v>
      </c>
      <c r="K36" s="6" t="str">
        <f>IFERROR(__xludf.DUMMYFUNCTION("""COMPUTED_VALUE"""),"Nederland")</f>
        <v>Nederland</v>
      </c>
      <c r="L36" s="6" t="str">
        <f>IFERROR(__xludf.DUMMYFUNCTION("""COMPUTED_VALUE"""),"Антоник")</f>
        <v>Антоник</v>
      </c>
      <c r="M36" s="8">
        <f>IFERROR(__xludf.DUMMYFUNCTION("""COMPUTED_VALUE"""),45401.0)</f>
        <v>45401</v>
      </c>
      <c r="N36" s="6" t="str">
        <f>IFERROR(__xludf.DUMMYFUNCTION("""COMPUTED_VALUE"""),"NL540510105B01")</f>
        <v>NL540510105B01</v>
      </c>
      <c r="O36" s="6">
        <f>IFERROR(__xludf.DUMMYFUNCTION("""COMPUTED_VALUE"""),9.3680155E7)</f>
        <v>93680155</v>
      </c>
      <c r="P36" s="6" t="str">
        <f>IFERROR(__xludf.DUMMYFUNCTION("""COMPUTED_VALUE"""),"NL40INGB0105136727")</f>
        <v>NL40INGB0105136727</v>
      </c>
      <c r="Q36" s="9">
        <f>IFERROR(__xludf.DUMMYFUNCTION("""COMPUTED_VALUE"""),45401.0)</f>
        <v>45401</v>
      </c>
      <c r="R36" s="6"/>
      <c r="S36" s="6" t="str">
        <f>IFERROR(__xludf.DUMMYFUNCTION("""COMPUTED_VALUE"""),"NL005035225B90")</f>
        <v>NL005035225B90</v>
      </c>
      <c r="T36" s="6">
        <f>IFERROR(__xludf.DUMMYFUNCTION("""COMPUTED_VALUE"""),5.40510105E8)</f>
        <v>540510105</v>
      </c>
      <c r="U36" s="7" t="str">
        <f>IFERROR(__xludf.DUMMYFUNCTION("""COMPUTED_VALUE"""),"Eenmanszaak")</f>
        <v>Eenmanszaak</v>
      </c>
      <c r="V36" s="7" t="str">
        <f>IFERROR(__xludf.DUMMYFUNCTION("""COMPUTED_VALUE"""),"000059204842")</f>
        <v>000059204842</v>
      </c>
      <c r="W36" s="6" t="str">
        <f>IFERROR(__xludf.DUMMYFUNCTION("""COMPUTED_VALUE"""),"ink.antonyk.2288aa@zarabota.nl")</f>
        <v>ink.antonyk.2288aa@zarabota.nl</v>
      </c>
      <c r="X36" s="6" t="str">
        <f>IFERROR(__xludf.DUMMYFUNCTION("""COMPUTED_VALUE"""),"ver.antonyk.2288aa@zarabota.nl")</f>
        <v>ver.antonyk.2288aa@zarabota.nl</v>
      </c>
      <c r="Y36" s="6" t="str">
        <f>IFERROR(__xludf.DUMMYFUNCTION("""COMPUTED_VALUE"""),"Hr.")</f>
        <v>Hr.</v>
      </c>
      <c r="Z36" s="6" t="str">
        <f>IFERROR(__xludf.DUMMYFUNCTION("""COMPUTED_VALUE"""),"Andrii")</f>
        <v>Andrii</v>
      </c>
      <c r="AA36" s="6" t="str">
        <f>IFERROR(__xludf.DUMMYFUNCTION("""COMPUTED_VALUE"""),"Antonyk")</f>
        <v>Antonyk</v>
      </c>
      <c r="AB36" s="6" t="str">
        <f>IFERROR(__xludf.DUMMYFUNCTION("""COMPUTED_VALUE"""),"A.")</f>
        <v>A.</v>
      </c>
      <c r="AC36" s="6">
        <f>IFERROR(__xludf.DUMMYFUNCTION("""COMPUTED_VALUE"""),5.40510105E8)</f>
        <v>540510105</v>
      </c>
      <c r="AD36" s="9">
        <f>IFERROR(__xludf.DUMMYFUNCTION("""COMPUTED_VALUE"""),30916.0)</f>
        <v>30916</v>
      </c>
      <c r="AE36" s="6" t="str">
        <f>IFERROR(__xludf.DUMMYFUNCTION("""COMPUTED_VALUE"""),"bg")</f>
        <v>bg</v>
      </c>
      <c r="AF36" s="6" t="str">
        <f>IFERROR(__xludf.DUMMYFUNCTION("""COMPUTED_VALUE"""),"Lviv")</f>
        <v>Lviv</v>
      </c>
      <c r="AG36" s="6" t="str">
        <f>IFERROR(__xludf.DUMMYFUNCTION("""COMPUTED_VALUE"""),"Hr. A. Antonyk")</f>
        <v>Hr. A. Antonyk</v>
      </c>
      <c r="AH36" s="6"/>
      <c r="AI36" s="6"/>
      <c r="AJ36" s="6"/>
      <c r="AK36" s="6"/>
      <c r="AL36" s="6"/>
      <c r="AM36" s="6" t="str">
        <f>IFERROR(__xludf.DUMMYFUNCTION("""COMPUTED_VALUE"""),"Oekraïne")</f>
        <v>Oekraïne</v>
      </c>
      <c r="AN36" s="6" t="str">
        <f>IFERROR(__xludf.DUMMYFUNCTION("""COMPUTED_VALUE"""),"Andrii Antonyk")</f>
        <v>Andrii Antonyk</v>
      </c>
      <c r="AO36" s="6">
        <f>IFERROR(__xludf.DUMMYFUNCTION("""COMPUTED_VALUE"""),1616.0)</f>
        <v>1616</v>
      </c>
    </row>
    <row r="37">
      <c r="A37" s="6" t="str">
        <f>IFERROR(__xludf.DUMMYFUNCTION("""COMPUTED_VALUE"""),"Anushev Onderhoudsbedrijf")</f>
        <v>Anushev Onderhoudsbedrijf</v>
      </c>
      <c r="B37" s="6" t="str">
        <f>IFERROR(__xludf.DUMMYFUNCTION("""COMPUTED_VALUE"""),"Anushev Onderhoudsbedrijf")</f>
        <v>Anushev Onderhoudsbedrijf</v>
      </c>
      <c r="C37" s="6">
        <f>IFERROR(__xludf.DUMMYFUNCTION("""COMPUTED_VALUE"""),955.0)</f>
        <v>955</v>
      </c>
      <c r="D37" s="7" t="str">
        <f>IFERROR(__xludf.DUMMYFUNCTION("""COMPUTED_VALUE"""),"Stanko Radoslavov Anushev")</f>
        <v>Stanko Radoslavov Anushev</v>
      </c>
      <c r="E37" s="7" t="str">
        <f>IFERROR(__xludf.DUMMYFUNCTION("""COMPUTED_VALUE"""),"SBI-code: 4120 - Algemene burgerlijke en utiliteitsbouw")</f>
        <v>SBI-code: 4120 - Algemene burgerlijke en utiliteitsbouw</v>
      </c>
      <c r="F37" s="7" t="str">
        <f>IFERROR(__xludf.DUMMYFUNCTION("""COMPUTED_VALUE"""),"0649628440")</f>
        <v>0649628440</v>
      </c>
      <c r="G37" s="6" t="str">
        <f>IFERROR(__xludf.DUMMYFUNCTION("""COMPUTED_VALUE"""),"s.anushev@gmail.com")</f>
        <v>s.anushev@gmail.com</v>
      </c>
      <c r="H37" s="6" t="str">
        <f>IFERROR(__xludf.DUMMYFUNCTION("""COMPUTED_VALUE"""),"Vinkensteynstraat 103")</f>
        <v>Vinkensteynstraat 103</v>
      </c>
      <c r="I37" s="6" t="str">
        <f>IFERROR(__xludf.DUMMYFUNCTION("""COMPUTED_VALUE"""),"2562TN")</f>
        <v>2562TN</v>
      </c>
      <c r="J37" s="6" t="str">
        <f>IFERROR(__xludf.DUMMYFUNCTION("""COMPUTED_VALUE"""),"s-Gravenhage")</f>
        <v>s-Gravenhage</v>
      </c>
      <c r="K37" s="6" t="str">
        <f>IFERROR(__xludf.DUMMYFUNCTION("""COMPUTED_VALUE"""),"Nederland")</f>
        <v>Nederland</v>
      </c>
      <c r="L37" s="6" t="str">
        <f>IFERROR(__xludf.DUMMYFUNCTION("""COMPUTED_VALUE"""),"Анушев")</f>
        <v>Анушев</v>
      </c>
      <c r="M37" s="8">
        <f>IFERROR(__xludf.DUMMYFUNCTION("""COMPUTED_VALUE"""),43885.0)</f>
        <v>43885</v>
      </c>
      <c r="N37" s="6" t="str">
        <f>IFERROR(__xludf.DUMMYFUNCTION("""COMPUTED_VALUE"""),"NL639696818B01")</f>
        <v>NL639696818B01</v>
      </c>
      <c r="O37" s="6">
        <f>IFERROR(__xludf.DUMMYFUNCTION("""COMPUTED_VALUE"""),7.7352947E7)</f>
        <v>77352947</v>
      </c>
      <c r="P37" s="6" t="str">
        <f>IFERROR(__xludf.DUMMYFUNCTION("""COMPUTED_VALUE"""),"NL14SNSB8839487395")</f>
        <v>NL14SNSB8839487395</v>
      </c>
      <c r="Q37" s="9">
        <f>IFERROR(__xludf.DUMMYFUNCTION("""COMPUTED_VALUE"""),43885.0)</f>
        <v>43885</v>
      </c>
      <c r="R37" s="6"/>
      <c r="S37" s="6" t="str">
        <f>IFERROR(__xludf.DUMMYFUNCTION("""COMPUTED_VALUE"""),"NL003190325B21")</f>
        <v>NL003190325B21</v>
      </c>
      <c r="T37" s="6">
        <f>IFERROR(__xludf.DUMMYFUNCTION("""COMPUTED_VALUE"""),6.39696818E8)</f>
        <v>639696818</v>
      </c>
      <c r="U37" s="7" t="str">
        <f>IFERROR(__xludf.DUMMYFUNCTION("""COMPUTED_VALUE"""),"Eenmanszaak")</f>
        <v>Eenmanszaak</v>
      </c>
      <c r="V37" s="7" t="str">
        <f>IFERROR(__xludf.DUMMYFUNCTION("""COMPUTED_VALUE"""),"000045059225")</f>
        <v>000045059225</v>
      </c>
      <c r="W37" s="6" t="str">
        <f>IFERROR(__xludf.DUMMYFUNCTION("""COMPUTED_VALUE"""),"ink.anushevonderhoudsbedrijf.2288aa@zarabota.nl")</f>
        <v>ink.anushevonderhoudsbedrijf.2288aa@zarabota.nl</v>
      </c>
      <c r="X37" s="6" t="str">
        <f>IFERROR(__xludf.DUMMYFUNCTION("""COMPUTED_VALUE"""),"ver.anushevonderhoudsbedrijf.2288aa@zarabota.nl")</f>
        <v>ver.anushevonderhoudsbedrijf.2288aa@zarabota.nl</v>
      </c>
      <c r="Y37" s="6" t="str">
        <f>IFERROR(__xludf.DUMMYFUNCTION("""COMPUTED_VALUE"""),"Hr.")</f>
        <v>Hr.</v>
      </c>
      <c r="Z37" s="6" t="str">
        <f>IFERROR(__xludf.DUMMYFUNCTION("""COMPUTED_VALUE"""),"Stanko Radoslavov")</f>
        <v>Stanko Radoslavov</v>
      </c>
      <c r="AA37" s="6" t="str">
        <f>IFERROR(__xludf.DUMMYFUNCTION("""COMPUTED_VALUE"""),"Anushev")</f>
        <v>Anushev</v>
      </c>
      <c r="AB37" s="6" t="str">
        <f>IFERROR(__xludf.DUMMYFUNCTION("""COMPUTED_VALUE"""),"S.R.")</f>
        <v>S.R.</v>
      </c>
      <c r="AC37" s="6">
        <f>IFERROR(__xludf.DUMMYFUNCTION("""COMPUTED_VALUE"""),6.39696818E8)</f>
        <v>639696818</v>
      </c>
      <c r="AD37" s="9">
        <f>IFERROR(__xludf.DUMMYFUNCTION("""COMPUTED_VALUE"""),33307.0)</f>
        <v>33307</v>
      </c>
      <c r="AE37" s="6" t="str">
        <f>IFERROR(__xludf.DUMMYFUNCTION("""COMPUTED_VALUE"""),"bg")</f>
        <v>bg</v>
      </c>
      <c r="AF37" s="6" t="str">
        <f>IFERROR(__xludf.DUMMYFUNCTION("""COMPUTED_VALUE"""),"Kardzhali")</f>
        <v>Kardzhali</v>
      </c>
      <c r="AG37" s="6" t="str">
        <f>IFERROR(__xludf.DUMMYFUNCTION("""COMPUTED_VALUE""")," S.R. Anushev")</f>
        <v> S.R. Anushev</v>
      </c>
      <c r="AH37" s="6" t="str">
        <f>IFERROR(__xludf.DUMMYFUNCTION("""COMPUTED_VALUE"""),"NL80SNSB0787492442")</f>
        <v>NL80SNSB0787492442</v>
      </c>
      <c r="AI37" s="6"/>
      <c r="AJ37" s="6" t="str">
        <f>IFERROR(__xludf.DUMMYFUNCTION("""COMPUTED_VALUE"""),"ID Kaart")</f>
        <v>ID Kaart</v>
      </c>
      <c r="AK37" s="6">
        <f>IFERROR(__xludf.DUMMYFUNCTION("""COMPUTED_VALUE"""),6.4820843E8)</f>
        <v>648208430</v>
      </c>
      <c r="AL37" s="9">
        <f>IFERROR(__xludf.DUMMYFUNCTION("""COMPUTED_VALUE"""),47165.0)</f>
        <v>47165</v>
      </c>
      <c r="AM37" s="6" t="str">
        <f>IFERROR(__xludf.DUMMYFUNCTION("""COMPUTED_VALUE"""),"Bulgarije")</f>
        <v>Bulgarije</v>
      </c>
      <c r="AN37" s="6" t="str">
        <f>IFERROR(__xludf.DUMMYFUNCTION("""COMPUTED_VALUE"""),"Stanko Radoslavov Anushev")</f>
        <v>Stanko Radoslavov Anushev</v>
      </c>
      <c r="AO37" s="6"/>
    </row>
    <row r="38">
      <c r="A38" s="6" t="str">
        <f>IFERROR(__xludf.DUMMYFUNCTION("""COMPUTED_VALUE"""),"APF Dienstverlening")</f>
        <v>APF Dienstverlening</v>
      </c>
      <c r="B38" s="6" t="str">
        <f>IFERROR(__xludf.DUMMYFUNCTION("""COMPUTED_VALUE"""),"APF Dienstverlening")</f>
        <v>APF Dienstverlening</v>
      </c>
      <c r="C38" s="6">
        <f>IFERROR(__xludf.DUMMYFUNCTION("""COMPUTED_VALUE"""),1467.0)</f>
        <v>1467</v>
      </c>
      <c r="D38" s="7" t="str">
        <f>IFERROR(__xludf.DUMMYFUNCTION("""COMPUTED_VALUE"""),"Petros Anyfantakis")</f>
        <v>Petros Anyfantakis</v>
      </c>
      <c r="E38" s="7" t="str">
        <f>IFERROR(__xludf.DUMMYFUNCTION("""COMPUTED_VALUE"""),"SBI-code: 4120 - Algemene burgerlijke en utiliteitsbouw")</f>
        <v>SBI-code: 4120 - Algemene burgerlijke en utiliteitsbouw</v>
      </c>
      <c r="F38" s="7" t="str">
        <f>IFERROR(__xludf.DUMMYFUNCTION("""COMPUTED_VALUE"""),"+306987319009")</f>
        <v>+306987319009</v>
      </c>
      <c r="G38" s="6" t="str">
        <f>IFERROR(__xludf.DUMMYFUNCTION("""COMPUTED_VALUE"""),"petrosanyf089@gmail.com")</f>
        <v>petrosanyf089@gmail.com</v>
      </c>
      <c r="H38" s="6" t="str">
        <f>IFERROR(__xludf.DUMMYFUNCTION("""COMPUTED_VALUE"""),"Paradijsweg 1")</f>
        <v>Paradijsweg 1</v>
      </c>
      <c r="I38" s="6" t="str">
        <f>IFERROR(__xludf.DUMMYFUNCTION("""COMPUTED_VALUE"""),"2042GC")</f>
        <v>2042GC</v>
      </c>
      <c r="J38" s="6" t="str">
        <f>IFERROR(__xludf.DUMMYFUNCTION("""COMPUTED_VALUE"""),"s-Gravenhage")</f>
        <v>s-Gravenhage</v>
      </c>
      <c r="K38" s="6" t="str">
        <f>IFERROR(__xludf.DUMMYFUNCTION("""COMPUTED_VALUE"""),"Nederland")</f>
        <v>Nederland</v>
      </c>
      <c r="L38" s="6" t="str">
        <f>IFERROR(__xludf.DUMMYFUNCTION("""COMPUTED_VALUE"""),"Anyfantakis")</f>
        <v>Anyfantakis</v>
      </c>
      <c r="M38" s="8">
        <f>IFERROR(__xludf.DUMMYFUNCTION("""COMPUTED_VALUE"""),45027.0)</f>
        <v>45027</v>
      </c>
      <c r="N38" s="6" t="str">
        <f>IFERROR(__xludf.DUMMYFUNCTION("""COMPUTED_VALUE"""),"NL329754439B01")</f>
        <v>NL329754439B01</v>
      </c>
      <c r="O38" s="6">
        <f>IFERROR(__xludf.DUMMYFUNCTION("""COMPUTED_VALUE"""),8.9865073E7)</f>
        <v>89865073</v>
      </c>
      <c r="P38" s="6" t="str">
        <f>IFERROR(__xludf.DUMMYFUNCTION("""COMPUTED_VALUE"""),"NL40INGB0100474713")</f>
        <v>NL40INGB0100474713</v>
      </c>
      <c r="Q38" s="9">
        <f>IFERROR(__xludf.DUMMYFUNCTION("""COMPUTED_VALUE"""),45027.0)</f>
        <v>45027</v>
      </c>
      <c r="R38" s="6"/>
      <c r="S38" s="6" t="str">
        <f>IFERROR(__xludf.DUMMYFUNCTION("""COMPUTED_VALUE"""),"NL004767129B79")</f>
        <v>NL004767129B79</v>
      </c>
      <c r="T38" s="6">
        <f>IFERROR(__xludf.DUMMYFUNCTION("""COMPUTED_VALUE"""),3.29754439E8)</f>
        <v>329754439</v>
      </c>
      <c r="U38" s="7" t="str">
        <f>IFERROR(__xludf.DUMMYFUNCTION("""COMPUTED_VALUE"""),"Eenmanszaak")</f>
        <v>Eenmanszaak</v>
      </c>
      <c r="V38" s="7" t="str">
        <f>IFERROR(__xludf.DUMMYFUNCTION("""COMPUTED_VALUE"""),"000055625746")</f>
        <v>000055625746</v>
      </c>
      <c r="W38" s="6" t="str">
        <f>IFERROR(__xludf.DUMMYFUNCTION("""COMPUTED_VALUE"""),"ink.apf.2288aa@zarabota.nl")</f>
        <v>ink.apf.2288aa@zarabota.nl</v>
      </c>
      <c r="X38" s="6" t="str">
        <f>IFERROR(__xludf.DUMMYFUNCTION("""COMPUTED_VALUE"""),"ver.apf.2288aa@zarabota.nl")</f>
        <v>ver.apf.2288aa@zarabota.nl</v>
      </c>
      <c r="Y38" s="6" t="str">
        <f>IFERROR(__xludf.DUMMYFUNCTION("""COMPUTED_VALUE"""),"Hr.")</f>
        <v>Hr.</v>
      </c>
      <c r="Z38" s="6" t="str">
        <f>IFERROR(__xludf.DUMMYFUNCTION("""COMPUTED_VALUE"""),"Petros")</f>
        <v>Petros</v>
      </c>
      <c r="AA38" s="6" t="str">
        <f>IFERROR(__xludf.DUMMYFUNCTION("""COMPUTED_VALUE"""),"Anyfantakis")</f>
        <v>Anyfantakis</v>
      </c>
      <c r="AB38" s="6" t="str">
        <f>IFERROR(__xludf.DUMMYFUNCTION("""COMPUTED_VALUE"""),"P.")</f>
        <v>P.</v>
      </c>
      <c r="AC38" s="6">
        <f>IFERROR(__xludf.DUMMYFUNCTION("""COMPUTED_VALUE"""),3.29754439E8)</f>
        <v>329754439</v>
      </c>
      <c r="AD38" s="9">
        <f>IFERROR(__xludf.DUMMYFUNCTION("""COMPUTED_VALUE"""),32766.0)</f>
        <v>32766</v>
      </c>
      <c r="AE38" s="6" t="str">
        <f>IFERROR(__xludf.DUMMYFUNCTION("""COMPUTED_VALUE"""),"en")</f>
        <v>en</v>
      </c>
      <c r="AF38" s="6"/>
      <c r="AG38" s="6" t="str">
        <f>IFERROR(__xludf.DUMMYFUNCTION("""COMPUTED_VALUE"""),"Hr. P. Anyfantakis")</f>
        <v>Hr. P. Anyfantakis</v>
      </c>
      <c r="AH38" s="6" t="str">
        <f>IFERROR(__xludf.DUMMYFUNCTION("""COMPUTED_VALUE"""),"NL59INGB0103357793")</f>
        <v>NL59INGB0103357793</v>
      </c>
      <c r="AI38" s="6"/>
      <c r="AJ38" s="6" t="str">
        <f>IFERROR(__xludf.DUMMYFUNCTION("""COMPUTED_VALUE"""),"Paspoort")</f>
        <v>Paspoort</v>
      </c>
      <c r="AK38" s="6" t="str">
        <f>IFERROR(__xludf.DUMMYFUNCTION("""COMPUTED_VALUE"""),"at5579258")</f>
        <v>at5579258</v>
      </c>
      <c r="AL38" s="9">
        <f>IFERROR(__xludf.DUMMYFUNCTION("""COMPUTED_VALUE"""),46516.0)</f>
        <v>46516</v>
      </c>
      <c r="AM38" s="6" t="str">
        <f>IFERROR(__xludf.DUMMYFUNCTION("""COMPUTED_VALUE"""),"Bulgarije")</f>
        <v>Bulgarije</v>
      </c>
      <c r="AN38" s="6" t="str">
        <f>IFERROR(__xludf.DUMMYFUNCTION("""COMPUTED_VALUE"""),"Petros Anyfantakis")</f>
        <v>Petros Anyfantakis</v>
      </c>
      <c r="AO38" s="6">
        <f>IFERROR(__xludf.DUMMYFUNCTION("""COMPUTED_VALUE"""),1467.0)</f>
        <v>1467</v>
      </c>
    </row>
    <row r="39">
      <c r="A39" s="6" t="str">
        <f>IFERROR(__xludf.DUMMYFUNCTION("""COMPUTED_VALUE"""),"APRIBOUW VOF")</f>
        <v>APRIBOUW VOF</v>
      </c>
      <c r="B39" s="6" t="str">
        <f>IFERROR(__xludf.DUMMYFUNCTION("""COMPUTED_VALUE"""),"APRIBOUW VOF")</f>
        <v>APRIBOUW VOF</v>
      </c>
      <c r="C39" s="6">
        <f>IFERROR(__xludf.DUMMYFUNCTION("""COMPUTED_VALUE"""),1512.0)</f>
        <v>1512</v>
      </c>
      <c r="D39" s="7" t="str">
        <f>IFERROR(__xludf.DUMMYFUNCTION("""COMPUTED_VALUE"""),"Sergii Volianiuk")</f>
        <v>Sergii Volianiuk</v>
      </c>
      <c r="E39" s="7" t="str">
        <f>IFERROR(__xludf.DUMMYFUNCTION("""COMPUTED_VALUE"""),"SBI-code: 4120 - Algemene burgerlijke en utiliteitsbouw")</f>
        <v>SBI-code: 4120 - Algemene burgerlijke en utiliteitsbouw</v>
      </c>
      <c r="F39" s="7" t="str">
        <f>IFERROR(__xludf.DUMMYFUNCTION("""COMPUTED_VALUE"""),"0685137374")</f>
        <v>0685137374</v>
      </c>
      <c r="G39" s="6" t="str">
        <f>IFERROR(__xludf.DUMMYFUNCTION("""COMPUTED_VALUE"""),"apribouw@gmail.com")</f>
        <v>apribouw@gmail.com</v>
      </c>
      <c r="H39" s="6" t="str">
        <f>IFERROR(__xludf.DUMMYFUNCTION("""COMPUTED_VALUE"""),"B.Thoenplantsoen 26")</f>
        <v>B.Thoenplantsoen 26</v>
      </c>
      <c r="I39" s="6" t="str">
        <f>IFERROR(__xludf.DUMMYFUNCTION("""COMPUTED_VALUE"""),"2552JK")</f>
        <v>2552JK</v>
      </c>
      <c r="J39" s="6" t="str">
        <f>IFERROR(__xludf.DUMMYFUNCTION("""COMPUTED_VALUE"""),"s-Gravenhage")</f>
        <v>s-Gravenhage</v>
      </c>
      <c r="K39" s="6" t="str">
        <f>IFERROR(__xludf.DUMMYFUNCTION("""COMPUTED_VALUE"""),"Nederland")</f>
        <v>Nederland</v>
      </c>
      <c r="L39" s="6" t="str">
        <f>IFERROR(__xludf.DUMMYFUNCTION("""COMPUTED_VALUE"""),"Волянюк")</f>
        <v>Волянюк</v>
      </c>
      <c r="M39" s="8">
        <f>IFERROR(__xludf.DUMMYFUNCTION("""COMPUTED_VALUE"""),45017.0)</f>
        <v>45017</v>
      </c>
      <c r="N39" s="6" t="str">
        <f>IFERROR(__xludf.DUMMYFUNCTION("""COMPUTED_VALUE"""),"NL865099820B01")</f>
        <v>NL865099820B01</v>
      </c>
      <c r="O39" s="6">
        <f>IFERROR(__xludf.DUMMYFUNCTION("""COMPUTED_VALUE"""),8.9767217E7)</f>
        <v>89767217</v>
      </c>
      <c r="P39" s="6" t="str">
        <f>IFERROR(__xludf.DUMMYFUNCTION("""COMPUTED_VALUE"""),"NL82INGB0100570666")</f>
        <v>NL82INGB0100570666</v>
      </c>
      <c r="Q39" s="9">
        <f>IFERROR(__xludf.DUMMYFUNCTION("""COMPUTED_VALUE"""),45017.0)</f>
        <v>45017</v>
      </c>
      <c r="R39" s="6"/>
      <c r="S39" s="6" t="str">
        <f>IFERROR(__xludf.DUMMYFUNCTION("""COMPUTED_VALUE"""),"NL865099820B01")</f>
        <v>NL865099820B01</v>
      </c>
      <c r="T39" s="6">
        <f>IFERROR(__xludf.DUMMYFUNCTION("""COMPUTED_VALUE"""),8.6509982E8)</f>
        <v>865099820</v>
      </c>
      <c r="U39" s="7" t="str">
        <f>IFERROR(__xludf.DUMMYFUNCTION("""COMPUTED_VALUE"""),"Eenmanszaak")</f>
        <v>Eenmanszaak</v>
      </c>
      <c r="V39" s="7" t="str">
        <f>IFERROR(__xludf.DUMMYFUNCTION("""COMPUTED_VALUE"""),"000055537359")</f>
        <v>000055537359</v>
      </c>
      <c r="W39" s="6" t="str">
        <f>IFERROR(__xludf.DUMMYFUNCTION("""COMPUTED_VALUE"""),"ink.apribouw.2288aa@zarabota.nl")</f>
        <v>ink.apribouw.2288aa@zarabota.nl</v>
      </c>
      <c r="X39" s="6" t="str">
        <f>IFERROR(__xludf.DUMMYFUNCTION("""COMPUTED_VALUE"""),"ver.apribouw.2288aa@zarabota.nl")</f>
        <v>ver.apribouw.2288aa@zarabota.nl</v>
      </c>
      <c r="Y39" s="6" t="str">
        <f>IFERROR(__xludf.DUMMYFUNCTION("""COMPUTED_VALUE"""),"Hr.")</f>
        <v>Hr.</v>
      </c>
      <c r="Z39" s="6" t="str">
        <f>IFERROR(__xludf.DUMMYFUNCTION("""COMPUTED_VALUE"""),"Sergii")</f>
        <v>Sergii</v>
      </c>
      <c r="AA39" s="6" t="str">
        <f>IFERROR(__xludf.DUMMYFUNCTION("""COMPUTED_VALUE"""),"Volianiuk")</f>
        <v>Volianiuk</v>
      </c>
      <c r="AB39" s="6" t="str">
        <f>IFERROR(__xludf.DUMMYFUNCTION("""COMPUTED_VALUE"""),"S.")</f>
        <v>S.</v>
      </c>
      <c r="AC39" s="6">
        <f>IFERROR(__xludf.DUMMYFUNCTION("""COMPUTED_VALUE"""),3.70102721E8)</f>
        <v>370102721</v>
      </c>
      <c r="AD39" s="9">
        <f>IFERROR(__xludf.DUMMYFUNCTION("""COMPUTED_VALUE"""),28609.0)</f>
        <v>28609</v>
      </c>
      <c r="AE39" s="6" t="str">
        <f>IFERROR(__xludf.DUMMYFUNCTION("""COMPUTED_VALUE"""),"bg")</f>
        <v>bg</v>
      </c>
      <c r="AF39" s="6" t="str">
        <f>IFERROR(__xludf.DUMMYFUNCTION("""COMPUTED_VALUE"""),"Onbekend")</f>
        <v>Onbekend</v>
      </c>
      <c r="AG39" s="6" t="str">
        <f>IFERROR(__xludf.DUMMYFUNCTION("""COMPUTED_VALUE"""),"Hr. S. Volianiuk")</f>
        <v>Hr. S. Volianiuk</v>
      </c>
      <c r="AH39" s="6"/>
      <c r="AI39" s="6"/>
      <c r="AJ39" s="6" t="str">
        <f>IFERROR(__xludf.DUMMYFUNCTION("""COMPUTED_VALUE"""),"Paspoort")</f>
        <v>Paspoort</v>
      </c>
      <c r="AK39" s="6" t="str">
        <f>IFERROR(__xludf.DUMMYFUNCTION("""COMPUTED_VALUE"""),"FY242287")</f>
        <v>FY242287</v>
      </c>
      <c r="AL39" s="9">
        <f>IFERROR(__xludf.DUMMYFUNCTION("""COMPUTED_VALUE"""),47497.0)</f>
        <v>47497</v>
      </c>
      <c r="AM39" s="6" t="str">
        <f>IFERROR(__xludf.DUMMYFUNCTION("""COMPUTED_VALUE"""),"Bulgarije")</f>
        <v>Bulgarije</v>
      </c>
      <c r="AN39" s="6" t="str">
        <f>IFERROR(__xludf.DUMMYFUNCTION("""COMPUTED_VALUE"""),"Sergii Volianiuk")</f>
        <v>Sergii Volianiuk</v>
      </c>
      <c r="AO39" s="6">
        <f>IFERROR(__xludf.DUMMYFUNCTION("""COMPUTED_VALUE"""),1512.0)</f>
        <v>1512</v>
      </c>
    </row>
    <row r="40">
      <c r="A40" s="6" t="str">
        <f>IFERROR(__xludf.DUMMYFUNCTION("""COMPUTED_VALUE"""),"ARA Services")</f>
        <v>ARA Services</v>
      </c>
      <c r="B40" s="6" t="str">
        <f>IFERROR(__xludf.DUMMYFUNCTION("""COMPUTED_VALUE"""),"ARA Services")</f>
        <v>ARA Services</v>
      </c>
      <c r="C40" s="6">
        <f>IFERROR(__xludf.DUMMYFUNCTION("""COMPUTED_VALUE"""),313.0)</f>
        <v>313</v>
      </c>
      <c r="D40" s="7" t="str">
        <f>IFERROR(__xludf.DUMMYFUNCTION("""COMPUTED_VALUE"""),"Rosen Asenov Atanasov")</f>
        <v>Rosen Asenov Atanasov</v>
      </c>
      <c r="E40" s="7" t="str">
        <f>IFERROR(__xludf.DUMMYFUNCTION("""COMPUTED_VALUE"""),"SBI-code: 4120 - Algemene burgerlijke en utiliteitsbouw")</f>
        <v>SBI-code: 4120 - Algemene burgerlijke en utiliteitsbouw</v>
      </c>
      <c r="F40" s="7" t="str">
        <f>IFERROR(__xludf.DUMMYFUNCTION("""COMPUTED_VALUE"""),"0614729133")</f>
        <v>0614729133</v>
      </c>
      <c r="G40" s="6" t="str">
        <f>IFERROR(__xludf.DUMMYFUNCTION("""COMPUTED_VALUE"""),"ara.atanasov@gmail.com")</f>
        <v>ara.atanasov@gmail.com</v>
      </c>
      <c r="H40" s="6" t="str">
        <f>IFERROR(__xludf.DUMMYFUNCTION("""COMPUTED_VALUE"""),"van Leeuwenhoeklaan 198")</f>
        <v>van Leeuwenhoeklaan 198</v>
      </c>
      <c r="I40" s="6" t="str">
        <f>IFERROR(__xludf.DUMMYFUNCTION("""COMPUTED_VALUE"""),"4708BD")</f>
        <v>4708BD</v>
      </c>
      <c r="J40" s="6" t="str">
        <f>IFERROR(__xludf.DUMMYFUNCTION("""COMPUTED_VALUE"""),"s-Gravenhage")</f>
        <v>s-Gravenhage</v>
      </c>
      <c r="K40" s="6" t="str">
        <f>IFERROR(__xludf.DUMMYFUNCTION("""COMPUTED_VALUE"""),"Nederland")</f>
        <v>Nederland</v>
      </c>
      <c r="L40" s="6" t="str">
        <f>IFERROR(__xludf.DUMMYFUNCTION("""COMPUTED_VALUE"""),"Атанасов")</f>
        <v>Атанасов</v>
      </c>
      <c r="M40" s="8">
        <f>IFERROR(__xludf.DUMMYFUNCTION("""COMPUTED_VALUE"""),43175.0)</f>
        <v>43175</v>
      </c>
      <c r="N40" s="6" t="str">
        <f>IFERROR(__xludf.DUMMYFUNCTION("""COMPUTED_VALUE"""),"NL546944176B01")</f>
        <v>NL546944176B01</v>
      </c>
      <c r="O40" s="6">
        <f>IFERROR(__xludf.DUMMYFUNCTION("""COMPUTED_VALUE"""),6.6053587E7)</f>
        <v>66053587</v>
      </c>
      <c r="P40" s="6" t="str">
        <f>IFERROR(__xludf.DUMMYFUNCTION("""COMPUTED_VALUE"""),"NL42INGB0007306662")</f>
        <v>NL42INGB0007306662</v>
      </c>
      <c r="Q40" s="9">
        <f>IFERROR(__xludf.DUMMYFUNCTION("""COMPUTED_VALUE"""),42502.0)</f>
        <v>42502</v>
      </c>
      <c r="R40" s="6"/>
      <c r="S40" s="6" t="str">
        <f>IFERROR(__xludf.DUMMYFUNCTION("""COMPUTED_VALUE"""),"NL002498696B95")</f>
        <v>NL002498696B95</v>
      </c>
      <c r="T40" s="6">
        <f>IFERROR(__xludf.DUMMYFUNCTION("""COMPUTED_VALUE"""),5.46944176E8)</f>
        <v>546944176</v>
      </c>
      <c r="U40" s="7" t="str">
        <f>IFERROR(__xludf.DUMMYFUNCTION("""COMPUTED_VALUE"""),"Eenmanszaak")</f>
        <v>Eenmanszaak</v>
      </c>
      <c r="V40" s="7" t="str">
        <f>IFERROR(__xludf.DUMMYFUNCTION("""COMPUTED_VALUE"""),"000034712690")</f>
        <v>000034712690</v>
      </c>
      <c r="W40" s="6" t="str">
        <f>IFERROR(__xludf.DUMMYFUNCTION("""COMPUTED_VALUE"""),"ink.araservices.2288aa@zarabota.nl")</f>
        <v>ink.araservices.2288aa@zarabota.nl</v>
      </c>
      <c r="X40" s="6" t="str">
        <f>IFERROR(__xludf.DUMMYFUNCTION("""COMPUTED_VALUE"""),"ver.araservices.2288aa@zarabota.nl")</f>
        <v>ver.araservices.2288aa@zarabota.nl</v>
      </c>
      <c r="Y40" s="6" t="str">
        <f>IFERROR(__xludf.DUMMYFUNCTION("""COMPUTED_VALUE"""),"Hr.")</f>
        <v>Hr.</v>
      </c>
      <c r="Z40" s="6" t="str">
        <f>IFERROR(__xludf.DUMMYFUNCTION("""COMPUTED_VALUE"""),"Rosen Asenov")</f>
        <v>Rosen Asenov</v>
      </c>
      <c r="AA40" s="6" t="str">
        <f>IFERROR(__xludf.DUMMYFUNCTION("""COMPUTED_VALUE"""),"Atanasov")</f>
        <v>Atanasov</v>
      </c>
      <c r="AB40" s="6" t="str">
        <f>IFERROR(__xludf.DUMMYFUNCTION("""COMPUTED_VALUE"""),"R.A.")</f>
        <v>R.A.</v>
      </c>
      <c r="AC40" s="6">
        <f>IFERROR(__xludf.DUMMYFUNCTION("""COMPUTED_VALUE"""),5.46944176E8)</f>
        <v>546944176</v>
      </c>
      <c r="AD40" s="9">
        <f>IFERROR(__xludf.DUMMYFUNCTION("""COMPUTED_VALUE"""),28539.0)</f>
        <v>28539</v>
      </c>
      <c r="AE40" s="6" t="str">
        <f>IFERROR(__xludf.DUMMYFUNCTION("""COMPUTED_VALUE"""),"bg")</f>
        <v>bg</v>
      </c>
      <c r="AF40" s="6" t="str">
        <f>IFERROR(__xludf.DUMMYFUNCTION("""COMPUTED_VALUE"""),"Smolyan")</f>
        <v>Smolyan</v>
      </c>
      <c r="AG40" s="6" t="str">
        <f>IFERROR(__xludf.DUMMYFUNCTION("""COMPUTED_VALUE"""),"Hr. R.A. Atanasov")</f>
        <v>Hr. R.A. Atanasov</v>
      </c>
      <c r="AH40" s="6" t="str">
        <f>IFERROR(__xludf.DUMMYFUNCTION("""COMPUTED_VALUE"""),"NL69INGB0702915971")</f>
        <v>NL69INGB0702915971</v>
      </c>
      <c r="AI40" s="9">
        <f>IFERROR(__xludf.DUMMYFUNCTION("""COMPUTED_VALUE"""),42502.0)</f>
        <v>42502</v>
      </c>
      <c r="AJ40" s="6"/>
      <c r="AK40" s="6"/>
      <c r="AL40" s="6"/>
      <c r="AM40" s="6"/>
      <c r="AN40" s="6" t="str">
        <f>IFERROR(__xludf.DUMMYFUNCTION("""COMPUTED_VALUE"""),"Rosen Asenov Atanasov")</f>
        <v>Rosen Asenov Atanasov</v>
      </c>
      <c r="AO40" s="6"/>
    </row>
    <row r="41">
      <c r="A41" s="6" t="str">
        <f>IFERROR(__xludf.DUMMYFUNCTION("""COMPUTED_VALUE"""),"AREA Trans VOF")</f>
        <v>AREA Trans VOF</v>
      </c>
      <c r="B41" s="6" t="str">
        <f>IFERROR(__xludf.DUMMYFUNCTION("""COMPUTED_VALUE"""),"AREA Trans VOF")</f>
        <v>AREA Trans VOF</v>
      </c>
      <c r="C41" s="6">
        <f>IFERROR(__xludf.DUMMYFUNCTION("""COMPUTED_VALUE"""),1267.0)</f>
        <v>1267</v>
      </c>
      <c r="D41" s="7" t="str">
        <f>IFERROR(__xludf.DUMMYFUNCTION("""COMPUTED_VALUE"""),"Aleksandar Zdravkov Stamboliyski")</f>
        <v>Aleksandar Zdravkov Stamboliyski</v>
      </c>
      <c r="E41" s="7" t="str">
        <f>IFERROR(__xludf.DUMMYFUNCTION("""COMPUTED_VALUE"""),"SBI-code: 4120 - Algemene burgerlijke en utiliteitsbouw")</f>
        <v>SBI-code: 4120 - Algemene burgerlijke en utiliteitsbouw</v>
      </c>
      <c r="F41" s="7" t="str">
        <f>IFERROR(__xludf.DUMMYFUNCTION("""COMPUTED_VALUE"""),"+31612833600")</f>
        <v>+31612833600</v>
      </c>
      <c r="G41" s="6" t="str">
        <f>IFERROR(__xludf.DUMMYFUNCTION("""COMPUTED_VALUE"""),"areatrans20@gmail.com")</f>
        <v>areatrans20@gmail.com</v>
      </c>
      <c r="H41" s="6" t="str">
        <f>IFERROR(__xludf.DUMMYFUNCTION("""COMPUTED_VALUE"""),"Donk 2B")</f>
        <v>Donk 2B</v>
      </c>
      <c r="I41" s="6" t="str">
        <f>IFERROR(__xludf.DUMMYFUNCTION("""COMPUTED_VALUE"""),"2991LE")</f>
        <v>2991LE</v>
      </c>
      <c r="J41" s="6" t="str">
        <f>IFERROR(__xludf.DUMMYFUNCTION("""COMPUTED_VALUE"""),"s-Gravenhage")</f>
        <v>s-Gravenhage</v>
      </c>
      <c r="K41" s="6" t="str">
        <f>IFERROR(__xludf.DUMMYFUNCTION("""COMPUTED_VALUE"""),"Nederland")</f>
        <v>Nederland</v>
      </c>
      <c r="L41" s="6" t="str">
        <f>IFERROR(__xludf.DUMMYFUNCTION("""COMPUTED_VALUE"""),"Стамболийски")</f>
        <v>Стамболийски</v>
      </c>
      <c r="M41" s="8">
        <f>IFERROR(__xludf.DUMMYFUNCTION("""COMPUTED_VALUE"""),44562.0)</f>
        <v>44562</v>
      </c>
      <c r="N41" s="6" t="str">
        <f>IFERROR(__xludf.DUMMYFUNCTION("""COMPUTED_VALUE"""),"NL864923624B01")</f>
        <v>NL864923624B01</v>
      </c>
      <c r="O41" s="6">
        <f>IFERROR(__xludf.DUMMYFUNCTION("""COMPUTED_VALUE"""),8.9249003E7)</f>
        <v>89249003</v>
      </c>
      <c r="P41" s="6" t="str">
        <f>IFERROR(__xludf.DUMMYFUNCTION("""COMPUTED_VALUE"""),"NL31INGB0008642453")</f>
        <v>NL31INGB0008642453</v>
      </c>
      <c r="Q41" s="9">
        <f>IFERROR(__xludf.DUMMYFUNCTION("""COMPUTED_VALUE"""),44531.0)</f>
        <v>44531</v>
      </c>
      <c r="R41" s="6"/>
      <c r="S41" s="6" t="str">
        <f>IFERROR(__xludf.DUMMYFUNCTION("""COMPUTED_VALUE"""),"NL864923624B01")</f>
        <v>NL864923624B01</v>
      </c>
      <c r="T41" s="6">
        <f>IFERROR(__xludf.DUMMYFUNCTION("""COMPUTED_VALUE"""),8.64923624E8)</f>
        <v>864923624</v>
      </c>
      <c r="U41" s="7" t="str">
        <f>IFERROR(__xludf.DUMMYFUNCTION("""COMPUTED_VALUE"""),"Eenmanszaak")</f>
        <v>Eenmanszaak</v>
      </c>
      <c r="V41" s="7" t="str">
        <f>IFERROR(__xludf.DUMMYFUNCTION("""COMPUTED_VALUE"""),"000046619747")</f>
        <v>000046619747</v>
      </c>
      <c r="W41" s="6" t="str">
        <f>IFERROR(__xludf.DUMMYFUNCTION("""COMPUTED_VALUE"""),"ink.areatrans.2288aa@zarabota.nl")</f>
        <v>ink.areatrans.2288aa@zarabota.nl</v>
      </c>
      <c r="X41" s="6" t="str">
        <f>IFERROR(__xludf.DUMMYFUNCTION("""COMPUTED_VALUE"""),"ver.areatrans.2288aa@zarabota.nl")</f>
        <v>ver.areatrans.2288aa@zarabota.nl</v>
      </c>
      <c r="Y41" s="6" t="str">
        <f>IFERROR(__xludf.DUMMYFUNCTION("""COMPUTED_VALUE"""),"Hr.")</f>
        <v>Hr.</v>
      </c>
      <c r="Z41" s="6" t="str">
        <f>IFERROR(__xludf.DUMMYFUNCTION("""COMPUTED_VALUE"""),"Aleksandar Zdravkov")</f>
        <v>Aleksandar Zdravkov</v>
      </c>
      <c r="AA41" s="6" t="str">
        <f>IFERROR(__xludf.DUMMYFUNCTION("""COMPUTED_VALUE"""),"Stamboliyski")</f>
        <v>Stamboliyski</v>
      </c>
      <c r="AB41" s="6" t="str">
        <f>IFERROR(__xludf.DUMMYFUNCTION("""COMPUTED_VALUE"""),"A.Z.")</f>
        <v>A.Z.</v>
      </c>
      <c r="AC41" s="6">
        <f>IFERROR(__xludf.DUMMYFUNCTION("""COMPUTED_VALUE"""),6.76590342E8)</f>
        <v>676590342</v>
      </c>
      <c r="AD41" s="9">
        <f>IFERROR(__xludf.DUMMYFUNCTION("""COMPUTED_VALUE"""),28990.0)</f>
        <v>28990</v>
      </c>
      <c r="AE41" s="6" t="str">
        <f>IFERROR(__xludf.DUMMYFUNCTION("""COMPUTED_VALUE"""),"bg")</f>
        <v>bg</v>
      </c>
      <c r="AF41" s="6" t="str">
        <f>IFERROR(__xludf.DUMMYFUNCTION("""COMPUTED_VALUE"""),"Kyustendil")</f>
        <v>Kyustendil</v>
      </c>
      <c r="AG41" s="6" t="str">
        <f>IFERROR(__xludf.DUMMYFUNCTION("""COMPUTED_VALUE"""),"Hr. A.Z. Stamboliyski")</f>
        <v>Hr. A.Z. Stamboliyski</v>
      </c>
      <c r="AH41" s="6" t="str">
        <f>IFERROR(__xludf.DUMMYFUNCTION("""COMPUTED_VALUE"""),"NL13INGB0799423831")</f>
        <v>NL13INGB0799423831</v>
      </c>
      <c r="AI41" s="6"/>
      <c r="AJ41" s="6" t="str">
        <f>IFERROR(__xludf.DUMMYFUNCTION("""COMPUTED_VALUE"""),"ID Kaart")</f>
        <v>ID Kaart</v>
      </c>
      <c r="AK41" s="6">
        <f>IFERROR(__xludf.DUMMYFUNCTION("""COMPUTED_VALUE"""),6.46692362E8)</f>
        <v>646692362</v>
      </c>
      <c r="AL41" s="9">
        <f>IFERROR(__xludf.DUMMYFUNCTION("""COMPUTED_VALUE"""),46350.0)</f>
        <v>46350</v>
      </c>
      <c r="AM41" s="6" t="str">
        <f>IFERROR(__xludf.DUMMYFUNCTION("""COMPUTED_VALUE"""),"Bulgarije")</f>
        <v>Bulgarije</v>
      </c>
      <c r="AN41" s="6" t="str">
        <f>IFERROR(__xludf.DUMMYFUNCTION("""COMPUTED_VALUE"""),"Aleksandar Zdravkov Stamboliyski")</f>
        <v>Aleksandar Zdravkov Stamboliyski</v>
      </c>
      <c r="AO41" s="6">
        <f>IFERROR(__xludf.DUMMYFUNCTION("""COMPUTED_VALUE"""),1267.0)</f>
        <v>1267</v>
      </c>
    </row>
    <row r="42">
      <c r="A42" s="6" t="str">
        <f>IFERROR(__xludf.DUMMYFUNCTION("""COMPUTED_VALUE"""),"ARRS Bouw")</f>
        <v>ARRS Bouw</v>
      </c>
      <c r="B42" s="6" t="str">
        <f>IFERROR(__xludf.DUMMYFUNCTION("""COMPUTED_VALUE"""),"ARRS Bouw")</f>
        <v>ARRS Bouw</v>
      </c>
      <c r="C42" s="6">
        <f>IFERROR(__xludf.DUMMYFUNCTION("""COMPUTED_VALUE"""),1048.0)</f>
        <v>1048</v>
      </c>
      <c r="D42" s="7" t="str">
        <f>IFERROR(__xludf.DUMMYFUNCTION("""COMPUTED_VALUE"""),"Atanas Goranov Vasilev")</f>
        <v>Atanas Goranov Vasilev</v>
      </c>
      <c r="E42" s="7" t="str">
        <f>IFERROR(__xludf.DUMMYFUNCTION("""COMPUTED_VALUE"""),"SBI-code: 4120 - Algemene burgerlijke en utiliteitsbouw")</f>
        <v>SBI-code: 4120 - Algemene burgerlijke en utiliteitsbouw</v>
      </c>
      <c r="F42" s="7" t="str">
        <f>IFERROR(__xludf.DUMMYFUNCTION("""COMPUTED_VALUE"""),"0687700931")</f>
        <v>0687700931</v>
      </c>
      <c r="G42" s="6" t="str">
        <f>IFERROR(__xludf.DUMMYFUNCTION("""COMPUTED_VALUE"""),"nasko191981@gmail.com")</f>
        <v>nasko191981@gmail.com</v>
      </c>
      <c r="H42" s="6" t="str">
        <f>IFERROR(__xludf.DUMMYFUNCTION("""COMPUTED_VALUE"""),"Soestdijkseplein 3")</f>
        <v>Soestdijkseplein 3</v>
      </c>
      <c r="I42" s="6" t="str">
        <f>IFERROR(__xludf.DUMMYFUNCTION("""COMPUTED_VALUE"""),"2574 GX")</f>
        <v>2574 GX</v>
      </c>
      <c r="J42" s="6" t="str">
        <f>IFERROR(__xludf.DUMMYFUNCTION("""COMPUTED_VALUE"""),"s-Gravenhage")</f>
        <v>s-Gravenhage</v>
      </c>
      <c r="K42" s="6" t="str">
        <f>IFERROR(__xludf.DUMMYFUNCTION("""COMPUTED_VALUE"""),"Nederland")</f>
        <v>Nederland</v>
      </c>
      <c r="L42" s="6" t="str">
        <f>IFERROR(__xludf.DUMMYFUNCTION("""COMPUTED_VALUE"""),"Василев")</f>
        <v>Василев</v>
      </c>
      <c r="M42" s="8">
        <f>IFERROR(__xludf.DUMMYFUNCTION("""COMPUTED_VALUE"""),45017.0)</f>
        <v>45017</v>
      </c>
      <c r="N42" s="6" t="str">
        <f>IFERROR(__xludf.DUMMYFUNCTION("""COMPUTED_VALUE"""),"NL300516599B01")</f>
        <v>NL300516599B01</v>
      </c>
      <c r="O42" s="6">
        <f>IFERROR(__xludf.DUMMYFUNCTION("""COMPUTED_VALUE"""),8.105184E7)</f>
        <v>81051840</v>
      </c>
      <c r="P42" s="6" t="str">
        <f>IFERROR(__xludf.DUMMYFUNCTION("""COMPUTED_VALUE"""),"NL91SNSB8845762394")</f>
        <v>NL91SNSB8845762394</v>
      </c>
      <c r="Q42" s="9">
        <f>IFERROR(__xludf.DUMMYFUNCTION("""COMPUTED_VALUE"""),44166.0)</f>
        <v>44166</v>
      </c>
      <c r="R42" s="6"/>
      <c r="S42" s="6" t="str">
        <f>IFERROR(__xludf.DUMMYFUNCTION("""COMPUTED_VALUE"""),"NL003523036B12")</f>
        <v>NL003523036B12</v>
      </c>
      <c r="T42" s="6">
        <f>IFERROR(__xludf.DUMMYFUNCTION("""COMPUTED_VALUE"""),3.00516599E8)</f>
        <v>300516599</v>
      </c>
      <c r="U42" s="7" t="str">
        <f>IFERROR(__xludf.DUMMYFUNCTION("""COMPUTED_VALUE"""),"Eenmanszaak")</f>
        <v>Eenmanszaak</v>
      </c>
      <c r="V42" s="7" t="str">
        <f>IFERROR(__xludf.DUMMYFUNCTION("""COMPUTED_VALUE"""),"000047376198")</f>
        <v>000047376198</v>
      </c>
      <c r="W42" s="6" t="str">
        <f>IFERROR(__xludf.DUMMYFUNCTION("""COMPUTED_VALUE"""),"ink.arrsbouw.2288aa@zarabota.nl")</f>
        <v>ink.arrsbouw.2288aa@zarabota.nl</v>
      </c>
      <c r="X42" s="6" t="str">
        <f>IFERROR(__xludf.DUMMYFUNCTION("""COMPUTED_VALUE"""),"ver.arrsbouw.2288aa@zarabota.nl")</f>
        <v>ver.arrsbouw.2288aa@zarabota.nl</v>
      </c>
      <c r="Y42" s="6" t="str">
        <f>IFERROR(__xludf.DUMMYFUNCTION("""COMPUTED_VALUE"""),"Hr.")</f>
        <v>Hr.</v>
      </c>
      <c r="Z42" s="6" t="str">
        <f>IFERROR(__xludf.DUMMYFUNCTION("""COMPUTED_VALUE"""),"Atanas Goranov")</f>
        <v>Atanas Goranov</v>
      </c>
      <c r="AA42" s="6" t="str">
        <f>IFERROR(__xludf.DUMMYFUNCTION("""COMPUTED_VALUE"""),"Vasilev")</f>
        <v>Vasilev</v>
      </c>
      <c r="AB42" s="6" t="str">
        <f>IFERROR(__xludf.DUMMYFUNCTION("""COMPUTED_VALUE"""),"A.G.")</f>
        <v>A.G.</v>
      </c>
      <c r="AC42" s="6">
        <f>IFERROR(__xludf.DUMMYFUNCTION("""COMPUTED_VALUE"""),3.00516599E8)</f>
        <v>300516599</v>
      </c>
      <c r="AD42" s="9">
        <f>IFERROR(__xludf.DUMMYFUNCTION("""COMPUTED_VALUE"""),29636.0)</f>
        <v>29636</v>
      </c>
      <c r="AE42" s="6" t="str">
        <f>IFERROR(__xludf.DUMMYFUNCTION("""COMPUTED_VALUE"""),"bg")</f>
        <v>bg</v>
      </c>
      <c r="AF42" s="6" t="str">
        <f>IFERROR(__xludf.DUMMYFUNCTION("""COMPUTED_VALUE"""),"Varna")</f>
        <v>Varna</v>
      </c>
      <c r="AG42" s="6" t="str">
        <f>IFERROR(__xludf.DUMMYFUNCTION("""COMPUTED_VALUE"""),"Hr. A.G. Vasilev")</f>
        <v>Hr. A.G. Vasilev</v>
      </c>
      <c r="AH42" s="6" t="str">
        <f>IFERROR(__xludf.DUMMYFUNCTION("""COMPUTED_VALUE"""),"NL24INGB0433292768")</f>
        <v>NL24INGB0433292768</v>
      </c>
      <c r="AI42" s="6"/>
      <c r="AJ42" s="6" t="str">
        <f>IFERROR(__xludf.DUMMYFUNCTION("""COMPUTED_VALUE"""),"ID Kaart")</f>
        <v>ID Kaart</v>
      </c>
      <c r="AK42" s="6">
        <f>IFERROR(__xludf.DUMMYFUNCTION("""COMPUTED_VALUE"""),6.44634001E8)</f>
        <v>644634001</v>
      </c>
      <c r="AL42" s="9">
        <f>IFERROR(__xludf.DUMMYFUNCTION("""COMPUTED_VALUE"""),45068.0)</f>
        <v>45068</v>
      </c>
      <c r="AM42" s="6" t="str">
        <f>IFERROR(__xludf.DUMMYFUNCTION("""COMPUTED_VALUE"""),"Bulgarije")</f>
        <v>Bulgarije</v>
      </c>
      <c r="AN42" s="6" t="str">
        <f>IFERROR(__xludf.DUMMYFUNCTION("""COMPUTED_VALUE"""),"Atanas Goranov Vasilev")</f>
        <v>Atanas Goranov Vasilev</v>
      </c>
      <c r="AO42" s="6">
        <f>IFERROR(__xludf.DUMMYFUNCTION("""COMPUTED_VALUE"""),1048.0)</f>
        <v>1048</v>
      </c>
    </row>
    <row r="43">
      <c r="A43" s="6" t="str">
        <f>IFERROR(__xludf.DUMMYFUNCTION("""COMPUTED_VALUE"""),"ArsAlan Steigerbouw")</f>
        <v>ArsAlan Steigerbouw</v>
      </c>
      <c r="B43" s="6" t="str">
        <f>IFERROR(__xludf.DUMMYFUNCTION("""COMPUTED_VALUE"""),"ArsAlan Steigerbouw")</f>
        <v>ArsAlan Steigerbouw</v>
      </c>
      <c r="C43" s="6">
        <f>IFERROR(__xludf.DUMMYFUNCTION("""COMPUTED_VALUE"""),1737.0)</f>
        <v>1737</v>
      </c>
      <c r="D43" s="7" t="str">
        <f>IFERROR(__xludf.DUMMYFUNCTION("""COMPUTED_VALUE"""),"Spartak Nodarovich Khaliev")</f>
        <v>Spartak Nodarovich Khaliev</v>
      </c>
      <c r="E43" s="7" t="str">
        <f>IFERROR(__xludf.DUMMYFUNCTION("""COMPUTED_VALUE"""),"SBI-code: 4120 - Algemene burgerlijke en utiliteitsbouw")</f>
        <v>SBI-code: 4120 - Algemene burgerlijke en utiliteitsbouw</v>
      </c>
      <c r="F43" s="7" t="str">
        <f>IFERROR(__xludf.DUMMYFUNCTION("""COMPUTED_VALUE"""),"0631223132")</f>
        <v>0631223132</v>
      </c>
      <c r="G43" s="6" t="str">
        <f>IFERROR(__xludf.DUMMYFUNCTION("""COMPUTED_VALUE"""),"arsalans.iron@gmail.com")</f>
        <v>arsalans.iron@gmail.com</v>
      </c>
      <c r="H43" s="6" t="str">
        <f>IFERROR(__xludf.DUMMYFUNCTION("""COMPUTED_VALUE"""),"Leiwater 99")</f>
        <v>Leiwater 99</v>
      </c>
      <c r="I43" s="6" t="str">
        <f>IFERROR(__xludf.DUMMYFUNCTION("""COMPUTED_VALUE"""),"2715BB")</f>
        <v>2715BB</v>
      </c>
      <c r="J43" s="6" t="str">
        <f>IFERROR(__xludf.DUMMYFUNCTION("""COMPUTED_VALUE"""),"Zoetermeer")</f>
        <v>Zoetermeer</v>
      </c>
      <c r="K43" s="6" t="str">
        <f>IFERROR(__xludf.DUMMYFUNCTION("""COMPUTED_VALUE"""),"Nederland")</f>
        <v>Nederland</v>
      </c>
      <c r="L43" s="6" t="str">
        <f>IFERROR(__xludf.DUMMYFUNCTION("""COMPUTED_VALUE"""),"Халиев")</f>
        <v>Халиев</v>
      </c>
      <c r="M43" s="8">
        <f>IFERROR(__xludf.DUMMYFUNCTION("""COMPUTED_VALUE"""),45658.0)</f>
        <v>45658</v>
      </c>
      <c r="N43" s="6" t="str">
        <f>IFERROR(__xludf.DUMMYFUNCTION("""COMPUTED_VALUE"""),"NL335172908B01")</f>
        <v>NL335172908B01</v>
      </c>
      <c r="O43" s="6">
        <f>IFERROR(__xludf.DUMMYFUNCTION("""COMPUTED_VALUE"""),7.4472682E7)</f>
        <v>74472682</v>
      </c>
      <c r="P43" s="6" t="str">
        <f>IFERROR(__xludf.DUMMYFUNCTION("""COMPUTED_VALUE"""),"NL98INGB0009209861")</f>
        <v>NL98INGB0009209861</v>
      </c>
      <c r="Q43" s="9">
        <f>IFERROR(__xludf.DUMMYFUNCTION("""COMPUTED_VALUE"""),43556.0)</f>
        <v>43556</v>
      </c>
      <c r="R43" s="6"/>
      <c r="S43" s="6" t="str">
        <f>IFERROR(__xludf.DUMMYFUNCTION("""COMPUTED_VALUE"""),"NL002470015B10")</f>
        <v>NL002470015B10</v>
      </c>
      <c r="T43" s="6">
        <f>IFERROR(__xludf.DUMMYFUNCTION("""COMPUTED_VALUE"""),3.35172908E8)</f>
        <v>335172908</v>
      </c>
      <c r="U43" s="7" t="str">
        <f>IFERROR(__xludf.DUMMYFUNCTION("""COMPUTED_VALUE"""),"Eenmanszaak")</f>
        <v>Eenmanszaak</v>
      </c>
      <c r="V43" s="7" t="str">
        <f>IFERROR(__xludf.DUMMYFUNCTION("""COMPUTED_VALUE"""),"000042426650")</f>
        <v>000042426650</v>
      </c>
      <c r="W43" s="6" t="str">
        <f>IFERROR(__xludf.DUMMYFUNCTION("""COMPUTED_VALUE"""),"ink.arsalan.2288aa@zarabota.nl")</f>
        <v>ink.arsalan.2288aa@zarabota.nl</v>
      </c>
      <c r="X43" s="6" t="str">
        <f>IFERROR(__xludf.DUMMYFUNCTION("""COMPUTED_VALUE"""),"ver.arsalan.2288aa@zarabota.nl")</f>
        <v>ver.arsalan.2288aa@zarabota.nl</v>
      </c>
      <c r="Y43" s="6" t="str">
        <f>IFERROR(__xludf.DUMMYFUNCTION("""COMPUTED_VALUE"""),"Hr.")</f>
        <v>Hr.</v>
      </c>
      <c r="Z43" s="6" t="str">
        <f>IFERROR(__xludf.DUMMYFUNCTION("""COMPUTED_VALUE"""),"Spartak Nodarovich")</f>
        <v>Spartak Nodarovich</v>
      </c>
      <c r="AA43" s="6" t="str">
        <f>IFERROR(__xludf.DUMMYFUNCTION("""COMPUTED_VALUE"""),"Khaliev")</f>
        <v>Khaliev</v>
      </c>
      <c r="AB43" s="6" t="str">
        <f>IFERROR(__xludf.DUMMYFUNCTION("""COMPUTED_VALUE"""),"S.N.")</f>
        <v>S.N.</v>
      </c>
      <c r="AC43" s="6">
        <f>IFERROR(__xludf.DUMMYFUNCTION("""COMPUTED_VALUE"""),3.35172908E8)</f>
        <v>335172908</v>
      </c>
      <c r="AD43" s="9">
        <f>IFERROR(__xludf.DUMMYFUNCTION("""COMPUTED_VALUE"""),34507.0)</f>
        <v>34507</v>
      </c>
      <c r="AE43" s="6" t="str">
        <f>IFERROR(__xludf.DUMMYFUNCTION("""COMPUTED_VALUE"""),"ru")</f>
        <v>ru</v>
      </c>
      <c r="AF43" s="6" t="str">
        <f>IFERROR(__xludf.DUMMYFUNCTION("""COMPUTED_VALUE"""),"Alania")</f>
        <v>Alania</v>
      </c>
      <c r="AG43" s="6" t="str">
        <f>IFERROR(__xludf.DUMMYFUNCTION("""COMPUTED_VALUE"""),"Hr. S.N. Khaliev")</f>
        <v>Hr. S.N. Khaliev</v>
      </c>
      <c r="AH43" s="6"/>
      <c r="AI43" s="6"/>
      <c r="AJ43" s="6" t="str">
        <f>IFERROR(__xludf.DUMMYFUNCTION("""COMPUTED_VALUE"""),"Verblijf Kaart")</f>
        <v>Verblijf Kaart</v>
      </c>
      <c r="AK43" s="6" t="str">
        <f>IFERROR(__xludf.DUMMYFUNCTION("""COMPUTED_VALUE"""),"VMC2PDCC7")</f>
        <v>VMC2PDCC7</v>
      </c>
      <c r="AL43" s="9">
        <f>IFERROR(__xludf.DUMMYFUNCTION("""COMPUTED_VALUE"""),47006.0)</f>
        <v>47006</v>
      </c>
      <c r="AM43" s="6" t="str">
        <f>IFERROR(__xludf.DUMMYFUNCTION("""COMPUTED_VALUE"""),"Rusland")</f>
        <v>Rusland</v>
      </c>
      <c r="AN43" s="6" t="str">
        <f>IFERROR(__xludf.DUMMYFUNCTION("""COMPUTED_VALUE"""),"Spartak Nodarovich Khaliev")</f>
        <v>Spartak Nodarovich Khaliev</v>
      </c>
      <c r="AO43" s="6"/>
    </row>
    <row r="44">
      <c r="A44" s="6" t="str">
        <f>IFERROR(__xludf.DUMMYFUNCTION("""COMPUTED_VALUE"""),"Arsenij's Enterprise")</f>
        <v>Arsenij's Enterprise</v>
      </c>
      <c r="B44" s="6" t="str">
        <f>IFERROR(__xludf.DUMMYFUNCTION("""COMPUTED_VALUE"""),"Arsenij's Enterprise (AC Montage)")</f>
        <v>Arsenij's Enterprise (AC Montage)</v>
      </c>
      <c r="C44" s="6">
        <f>IFERROR(__xludf.DUMMYFUNCTION("""COMPUTED_VALUE"""),1730.0)</f>
        <v>1730</v>
      </c>
      <c r="D44" s="7" t="str">
        <f>IFERROR(__xludf.DUMMYFUNCTION("""COMPUTED_VALUE"""),"Arsenijs Čistjakovs")</f>
        <v>Arsenijs Čistjakovs</v>
      </c>
      <c r="E44" s="7" t="str">
        <f>IFERROR(__xludf.DUMMYFUNCTION("""COMPUTED_VALUE"""),"SBI-code: 4120 - Algemene burgerlijke en utiliteitsbouw")</f>
        <v>SBI-code: 4120 - Algemene burgerlijke en utiliteitsbouw</v>
      </c>
      <c r="F44" s="7" t="str">
        <f>IFERROR(__xludf.DUMMYFUNCTION("""COMPUTED_VALUE"""),"0684672597")</f>
        <v>0684672597</v>
      </c>
      <c r="G44" s="6" t="str">
        <f>IFERROR(__xludf.DUMMYFUNCTION("""COMPUTED_VALUE"""),"arsenijs321@gmail.com")</f>
        <v>arsenijs321@gmail.com</v>
      </c>
      <c r="H44" s="6" t="str">
        <f>IFERROR(__xludf.DUMMYFUNCTION("""COMPUTED_VALUE"""),"Simonsstraat 42")</f>
        <v>Simonsstraat 42</v>
      </c>
      <c r="I44" s="6" t="str">
        <f>IFERROR(__xludf.DUMMYFUNCTION("""COMPUTED_VALUE"""),"2628TH")</f>
        <v>2628TH</v>
      </c>
      <c r="J44" s="6" t="str">
        <f>IFERROR(__xludf.DUMMYFUNCTION("""COMPUTED_VALUE"""),"Delft")</f>
        <v>Delft</v>
      </c>
      <c r="K44" s="6" t="str">
        <f>IFERROR(__xludf.DUMMYFUNCTION("""COMPUTED_VALUE"""),"Nederland")</f>
        <v>Nederland</v>
      </c>
      <c r="L44" s="6" t="str">
        <f>IFERROR(__xludf.DUMMYFUNCTION("""COMPUTED_VALUE"""),"Čistjakovs")</f>
        <v>Čistjakovs</v>
      </c>
      <c r="M44" s="8">
        <f>IFERROR(__xludf.DUMMYFUNCTION("""COMPUTED_VALUE"""),45915.0)</f>
        <v>45915</v>
      </c>
      <c r="N44" s="6" t="str">
        <f>IFERROR(__xludf.DUMMYFUNCTION("""COMPUTED_VALUE"""),"NL280095831B01")</f>
        <v>NL280095831B01</v>
      </c>
      <c r="O44" s="6">
        <f>IFERROR(__xludf.DUMMYFUNCTION("""COMPUTED_VALUE"""),9.4453934E7)</f>
        <v>94453934</v>
      </c>
      <c r="P44" s="6" t="str">
        <f>IFERROR(__xludf.DUMMYFUNCTION("""COMPUTED_VALUE"""),"NL93INGB0107878933")</f>
        <v>NL93INGB0107878933</v>
      </c>
      <c r="Q44" s="9">
        <f>IFERROR(__xludf.DUMMYFUNCTION("""COMPUTED_VALUE"""),45488.0)</f>
        <v>45488</v>
      </c>
      <c r="R44" s="6"/>
      <c r="S44" s="6" t="str">
        <f>IFERROR(__xludf.DUMMYFUNCTION("""COMPUTED_VALUE"""),"NL005084942B98")</f>
        <v>NL005084942B98</v>
      </c>
      <c r="T44" s="6">
        <f>IFERROR(__xludf.DUMMYFUNCTION("""COMPUTED_VALUE"""),2.80095831E8)</f>
        <v>280095831</v>
      </c>
      <c r="U44" s="7" t="str">
        <f>IFERROR(__xludf.DUMMYFUNCTION("""COMPUTED_VALUE"""),"Eenmanszaak")</f>
        <v>Eenmanszaak</v>
      </c>
      <c r="V44" s="7" t="str">
        <f>IFERROR(__xludf.DUMMYFUNCTION("""COMPUTED_VALUE"""),"000059919574")</f>
        <v>000059919574</v>
      </c>
      <c r="W44" s="6" t="str">
        <f>IFERROR(__xludf.DUMMYFUNCTION("""COMPUTED_VALUE"""),"ink.arsenijs.2288aa@zarabota.nl")</f>
        <v>ink.arsenijs.2288aa@zarabota.nl</v>
      </c>
      <c r="X44" s="6" t="str">
        <f>IFERROR(__xludf.DUMMYFUNCTION("""COMPUTED_VALUE"""),"ver.arsenijs.2288aa@zarabota.nl")</f>
        <v>ver.arsenijs.2288aa@zarabota.nl</v>
      </c>
      <c r="Y44" s="6" t="str">
        <f>IFERROR(__xludf.DUMMYFUNCTION("""COMPUTED_VALUE"""),"Hr.")</f>
        <v>Hr.</v>
      </c>
      <c r="Z44" s="6" t="str">
        <f>IFERROR(__xludf.DUMMYFUNCTION("""COMPUTED_VALUE"""),"Arsenijs")</f>
        <v>Arsenijs</v>
      </c>
      <c r="AA44" s="6" t="str">
        <f>IFERROR(__xludf.DUMMYFUNCTION("""COMPUTED_VALUE"""),"Čistjakovs")</f>
        <v>Čistjakovs</v>
      </c>
      <c r="AB44" s="6" t="str">
        <f>IFERROR(__xludf.DUMMYFUNCTION("""COMPUTED_VALUE"""),"A.")</f>
        <v>A.</v>
      </c>
      <c r="AC44" s="6">
        <f>IFERROR(__xludf.DUMMYFUNCTION("""COMPUTED_VALUE"""),2.80095831E8)</f>
        <v>280095831</v>
      </c>
      <c r="AD44" s="9">
        <f>IFERROR(__xludf.DUMMYFUNCTION("""COMPUTED_VALUE"""),36534.0)</f>
        <v>36534</v>
      </c>
      <c r="AE44" s="6" t="str">
        <f>IFERROR(__xludf.DUMMYFUNCTION("""COMPUTED_VALUE"""),"bg")</f>
        <v>bg</v>
      </c>
      <c r="AF44" s="6" t="str">
        <f>IFERROR(__xludf.DUMMYFUNCTION("""COMPUTED_VALUE"""),"Riga")</f>
        <v>Riga</v>
      </c>
      <c r="AG44" s="6" t="str">
        <f>IFERROR(__xludf.DUMMYFUNCTION("""COMPUTED_VALUE"""),"Hr. A. Čistjakovs")</f>
        <v>Hr. A. Čistjakovs</v>
      </c>
      <c r="AH44" s="6"/>
      <c r="AI44" s="6"/>
      <c r="AJ44" s="6" t="str">
        <f>IFERROR(__xludf.DUMMYFUNCTION("""COMPUTED_VALUE"""),"Paspoort")</f>
        <v>Paspoort</v>
      </c>
      <c r="AK44" s="6" t="str">
        <f>IFERROR(__xludf.DUMMYFUNCTION("""COMPUTED_VALUE"""),"LV6343167")</f>
        <v>LV6343167</v>
      </c>
      <c r="AL44" s="6"/>
      <c r="AM44" s="6" t="str">
        <f>IFERROR(__xludf.DUMMYFUNCTION("""COMPUTED_VALUE"""),"Letland")</f>
        <v>Letland</v>
      </c>
      <c r="AN44" s="6" t="str">
        <f>IFERROR(__xludf.DUMMYFUNCTION("""COMPUTED_VALUE"""),"Arsenijs Čistjakovs")</f>
        <v>Arsenijs Čistjakovs</v>
      </c>
      <c r="AO44" s="6">
        <f>IFERROR(__xludf.DUMMYFUNCTION("""COMPUTED_VALUE"""),1730.0)</f>
        <v>1730</v>
      </c>
    </row>
    <row r="45">
      <c r="A45" s="6" t="str">
        <f>IFERROR(__xludf.DUMMYFUNCTION("""COMPUTED_VALUE"""),"ASC Chilingira")</f>
        <v>ASC Chilingira</v>
      </c>
      <c r="B45" s="6" t="str">
        <f>IFERROR(__xludf.DUMMYFUNCTION("""COMPUTED_VALUE"""),"ASC Chilingira")</f>
        <v>ASC Chilingira</v>
      </c>
      <c r="C45" s="6">
        <f>IFERROR(__xludf.DUMMYFUNCTION("""COMPUTED_VALUE"""),446.0)</f>
        <v>446</v>
      </c>
      <c r="D45" s="7" t="str">
        <f>IFERROR(__xludf.DUMMYFUNCTION("""COMPUTED_VALUE"""),"Asen Sergeev Chilingirov")</f>
        <v>Asen Sergeev Chilingirov</v>
      </c>
      <c r="E45" s="7" t="str">
        <f>IFERROR(__xludf.DUMMYFUNCTION("""COMPUTED_VALUE"""),"SBI-code: 4120 - Algemene burgerlijke en utiliteitsbouw")</f>
        <v>SBI-code: 4120 - Algemene burgerlijke en utiliteitsbouw</v>
      </c>
      <c r="F45" s="7" t="str">
        <f>IFERROR(__xludf.DUMMYFUNCTION("""COMPUTED_VALUE"""),"0640643464")</f>
        <v>0640643464</v>
      </c>
      <c r="G45" s="6" t="str">
        <f>IFERROR(__xludf.DUMMYFUNCTION("""COMPUTED_VALUE"""),"chilingirovasen@gmail.com")</f>
        <v>chilingirovasen@gmail.com</v>
      </c>
      <c r="H45" s="6" t="str">
        <f>IFERROR(__xludf.DUMMYFUNCTION("""COMPUTED_VALUE"""),"Goeverneurlaan 490")</f>
        <v>Goeverneurlaan 490</v>
      </c>
      <c r="I45" s="6" t="str">
        <f>IFERROR(__xludf.DUMMYFUNCTION("""COMPUTED_VALUE"""),"2523CL")</f>
        <v>2523CL</v>
      </c>
      <c r="J45" s="6" t="str">
        <f>IFERROR(__xludf.DUMMYFUNCTION("""COMPUTED_VALUE"""),"s-Gravenhage")</f>
        <v>s-Gravenhage</v>
      </c>
      <c r="K45" s="6" t="str">
        <f>IFERROR(__xludf.DUMMYFUNCTION("""COMPUTED_VALUE"""),"Nederland")</f>
        <v>Nederland</v>
      </c>
      <c r="L45" s="6" t="str">
        <f>IFERROR(__xludf.DUMMYFUNCTION("""COMPUTED_VALUE"""),"Чилингиров")</f>
        <v>Чилингиров</v>
      </c>
      <c r="M45" s="8">
        <f>IFERROR(__xludf.DUMMYFUNCTION("""COMPUTED_VALUE"""),43175.0)</f>
        <v>43175</v>
      </c>
      <c r="N45" s="6" t="str">
        <f>IFERROR(__xludf.DUMMYFUNCTION("""COMPUTED_VALUE"""),"NL425207869B01")</f>
        <v>NL425207869B01</v>
      </c>
      <c r="O45" s="6">
        <f>IFERROR(__xludf.DUMMYFUNCTION("""COMPUTED_VALUE"""),6.9806977E7)</f>
        <v>69806977</v>
      </c>
      <c r="P45" s="6" t="str">
        <f>IFERROR(__xludf.DUMMYFUNCTION("""COMPUTED_VALUE"""),"NL81INGB0007924044")</f>
        <v>NL81INGB0007924044</v>
      </c>
      <c r="Q45" s="9">
        <f>IFERROR(__xludf.DUMMYFUNCTION("""COMPUTED_VALUE"""),43009.0)</f>
        <v>43009</v>
      </c>
      <c r="R45" s="6"/>
      <c r="S45" s="6" t="str">
        <f>IFERROR(__xludf.DUMMYFUNCTION("""COMPUTED_VALUE"""),"NL002482218B84")</f>
        <v>NL002482218B84</v>
      </c>
      <c r="T45" s="6">
        <f>IFERROR(__xludf.DUMMYFUNCTION("""COMPUTED_VALUE"""),4.25207869E8)</f>
        <v>425207869</v>
      </c>
      <c r="U45" s="7" t="str">
        <f>IFERROR(__xludf.DUMMYFUNCTION("""COMPUTED_VALUE"""),"Eenmanszaak")</f>
        <v>Eenmanszaak</v>
      </c>
      <c r="V45" s="7" t="str">
        <f>IFERROR(__xludf.DUMMYFUNCTION("""COMPUTED_VALUE"""),"000038132230")</f>
        <v>000038132230</v>
      </c>
      <c r="W45" s="6" t="str">
        <f>IFERROR(__xludf.DUMMYFUNCTION("""COMPUTED_VALUE"""),"ink.ascchilingira.2288aa@zarabota.nl")</f>
        <v>ink.ascchilingira.2288aa@zarabota.nl</v>
      </c>
      <c r="X45" s="6" t="str">
        <f>IFERROR(__xludf.DUMMYFUNCTION("""COMPUTED_VALUE"""),"ver.ascchilingira.2288aa@zarabota.nl")</f>
        <v>ver.ascchilingira.2288aa@zarabota.nl</v>
      </c>
      <c r="Y45" s="6" t="str">
        <f>IFERROR(__xludf.DUMMYFUNCTION("""COMPUTED_VALUE"""),"Hr.")</f>
        <v>Hr.</v>
      </c>
      <c r="Z45" s="6" t="str">
        <f>IFERROR(__xludf.DUMMYFUNCTION("""COMPUTED_VALUE"""),"Asen Sergeev")</f>
        <v>Asen Sergeev</v>
      </c>
      <c r="AA45" s="6" t="str">
        <f>IFERROR(__xludf.DUMMYFUNCTION("""COMPUTED_VALUE"""),"Chilingirov")</f>
        <v>Chilingirov</v>
      </c>
      <c r="AB45" s="6" t="str">
        <f>IFERROR(__xludf.DUMMYFUNCTION("""COMPUTED_VALUE"""),"A.S.")</f>
        <v>A.S.</v>
      </c>
      <c r="AC45" s="6">
        <f>IFERROR(__xludf.DUMMYFUNCTION("""COMPUTED_VALUE"""),4.25207869E8)</f>
        <v>425207869</v>
      </c>
      <c r="AD45" s="9">
        <f>IFERROR(__xludf.DUMMYFUNCTION("""COMPUTED_VALUE"""),29794.0)</f>
        <v>29794</v>
      </c>
      <c r="AE45" s="6" t="str">
        <f>IFERROR(__xludf.DUMMYFUNCTION("""COMPUTED_VALUE"""),"bg")</f>
        <v>bg</v>
      </c>
      <c r="AF45" s="6" t="str">
        <f>IFERROR(__xludf.DUMMYFUNCTION("""COMPUTED_VALUE"""),"Plovdiv")</f>
        <v>Plovdiv</v>
      </c>
      <c r="AG45" s="6" t="str">
        <f>IFERROR(__xludf.DUMMYFUNCTION("""COMPUTED_VALUE"""),"Hr. A.S. Chilingirov")</f>
        <v>Hr. A.S. Chilingirov</v>
      </c>
      <c r="AH45" s="6" t="str">
        <f>IFERROR(__xludf.DUMMYFUNCTION("""COMPUTED_VALUE"""),"NL05INGB0702948454")</f>
        <v>NL05INGB0702948454</v>
      </c>
      <c r="AI45" s="9">
        <f>IFERROR(__xludf.DUMMYFUNCTION("""COMPUTED_VALUE"""),42499.0)</f>
        <v>42499</v>
      </c>
      <c r="AJ45" s="6" t="str">
        <f>IFERROR(__xludf.DUMMYFUNCTION("""COMPUTED_VALUE"""),"ID Kaart")</f>
        <v>ID Kaart</v>
      </c>
      <c r="AK45" s="6">
        <f>IFERROR(__xludf.DUMMYFUNCTION("""COMPUTED_VALUE"""),6.43114922E8)</f>
        <v>643114922</v>
      </c>
      <c r="AL45" s="9">
        <f>IFERROR(__xludf.DUMMYFUNCTION("""COMPUTED_VALUE"""),44509.0)</f>
        <v>44509</v>
      </c>
      <c r="AM45" s="6"/>
      <c r="AN45" s="6" t="str">
        <f>IFERROR(__xludf.DUMMYFUNCTION("""COMPUTED_VALUE"""),"Asen Sergeev Chilingirov")</f>
        <v>Asen Sergeev Chilingirov</v>
      </c>
      <c r="AO45" s="6"/>
    </row>
    <row r="46">
      <c r="A46" s="6" t="str">
        <f>IFERROR(__xludf.DUMMYFUNCTION("""COMPUTED_VALUE"""),"Asen Bonev Bouw")</f>
        <v>Asen Bonev Bouw</v>
      </c>
      <c r="B46" s="6" t="str">
        <f>IFERROR(__xludf.DUMMYFUNCTION("""COMPUTED_VALUE"""),"Asen Bonev Bouw")</f>
        <v>Asen Bonev Bouw</v>
      </c>
      <c r="C46" s="6">
        <f>IFERROR(__xludf.DUMMYFUNCTION("""COMPUTED_VALUE"""),1162.0)</f>
        <v>1162</v>
      </c>
      <c r="D46" s="7" t="str">
        <f>IFERROR(__xludf.DUMMYFUNCTION("""COMPUTED_VALUE"""),"Asen Demirev Bonev")</f>
        <v>Asen Demirev Bonev</v>
      </c>
      <c r="E46" s="7" t="str">
        <f>IFERROR(__xludf.DUMMYFUNCTION("""COMPUTED_VALUE"""),"SBI-code: 4120 - Algemene burgerlijke en utiliteitsbouw")</f>
        <v>SBI-code: 4120 - Algemene burgerlijke en utiliteitsbouw</v>
      </c>
      <c r="F46" s="7" t="str">
        <f>IFERROR(__xludf.DUMMYFUNCTION("""COMPUTED_VALUE"""),"0685770757")</f>
        <v>0685770757</v>
      </c>
      <c r="G46" s="6" t="str">
        <f>IFERROR(__xludf.DUMMYFUNCTION("""COMPUTED_VALUE"""),"bonevasen8@gmail.com")</f>
        <v>bonevasen8@gmail.com</v>
      </c>
      <c r="H46" s="6" t="str">
        <f>IFERROR(__xludf.DUMMYFUNCTION("""COMPUTED_VALUE"""),"Colensostraat 27")</f>
        <v>Colensostraat 27</v>
      </c>
      <c r="I46" s="6" t="str">
        <f>IFERROR(__xludf.DUMMYFUNCTION("""COMPUTED_VALUE"""),"2572NS")</f>
        <v>2572NS</v>
      </c>
      <c r="J46" s="6" t="str">
        <f>IFERROR(__xludf.DUMMYFUNCTION("""COMPUTED_VALUE"""),"s-Gravenhage")</f>
        <v>s-Gravenhage</v>
      </c>
      <c r="K46" s="6" t="str">
        <f>IFERROR(__xludf.DUMMYFUNCTION("""COMPUTED_VALUE"""),"Nederland")</f>
        <v>Nederland</v>
      </c>
      <c r="L46" s="6" t="str">
        <f>IFERROR(__xludf.DUMMYFUNCTION("""COMPUTED_VALUE"""),"Бонев")</f>
        <v>Бонев</v>
      </c>
      <c r="M46" s="8">
        <f>IFERROR(__xludf.DUMMYFUNCTION("""COMPUTED_VALUE"""),44284.0)</f>
        <v>44284</v>
      </c>
      <c r="N46" s="6" t="str">
        <f>IFERROR(__xludf.DUMMYFUNCTION("""COMPUTED_VALUE"""),"NL385210206B01")</f>
        <v>NL385210206B01</v>
      </c>
      <c r="O46" s="6">
        <f>IFERROR(__xludf.DUMMYFUNCTION("""COMPUTED_VALUE"""),8.2353247E7)</f>
        <v>82353247</v>
      </c>
      <c r="P46" s="6" t="str">
        <f>IFERROR(__xludf.DUMMYFUNCTION("""COMPUTED_VALUE"""),"NL47INGB0006441914")</f>
        <v>NL47INGB0006441914</v>
      </c>
      <c r="Q46" s="9">
        <f>IFERROR(__xludf.DUMMYFUNCTION("""COMPUTED_VALUE"""),44284.0)</f>
        <v>44284</v>
      </c>
      <c r="R46" s="6"/>
      <c r="S46" s="6" t="str">
        <f>IFERROR(__xludf.DUMMYFUNCTION("""COMPUTED_VALUE"""),"NL003668306B45")</f>
        <v>NL003668306B45</v>
      </c>
      <c r="T46" s="6">
        <f>IFERROR(__xludf.DUMMYFUNCTION("""COMPUTED_VALUE"""),3.85210206E8)</f>
        <v>385210206</v>
      </c>
      <c r="U46" s="7" t="str">
        <f>IFERROR(__xludf.DUMMYFUNCTION("""COMPUTED_VALUE"""),"Eenmanszaak")</f>
        <v>Eenmanszaak</v>
      </c>
      <c r="V46" s="7" t="str">
        <f>IFERROR(__xludf.DUMMYFUNCTION("""COMPUTED_VALUE"""),"000048595004")</f>
        <v>000048595004</v>
      </c>
      <c r="W46" s="6" t="str">
        <f>IFERROR(__xludf.DUMMYFUNCTION("""COMPUTED_VALUE"""),"ink.asenbonevbouw.2288aa@zarabota.nl")</f>
        <v>ink.asenbonevbouw.2288aa@zarabota.nl</v>
      </c>
      <c r="X46" s="6" t="str">
        <f>IFERROR(__xludf.DUMMYFUNCTION("""COMPUTED_VALUE"""),"ver.asenbonevbouw.2288aa@zarabota.nl")</f>
        <v>ver.asenbonevbouw.2288aa@zarabota.nl</v>
      </c>
      <c r="Y46" s="6" t="str">
        <f>IFERROR(__xludf.DUMMYFUNCTION("""COMPUTED_VALUE"""),"Hr.")</f>
        <v>Hr.</v>
      </c>
      <c r="Z46" s="6" t="str">
        <f>IFERROR(__xludf.DUMMYFUNCTION("""COMPUTED_VALUE"""),"Asen Demirev")</f>
        <v>Asen Demirev</v>
      </c>
      <c r="AA46" s="6" t="str">
        <f>IFERROR(__xludf.DUMMYFUNCTION("""COMPUTED_VALUE"""),"Bonev")</f>
        <v>Bonev</v>
      </c>
      <c r="AB46" s="6" t="str">
        <f>IFERROR(__xludf.DUMMYFUNCTION("""COMPUTED_VALUE"""),"A.D.")</f>
        <v>A.D.</v>
      </c>
      <c r="AC46" s="6">
        <f>IFERROR(__xludf.DUMMYFUNCTION("""COMPUTED_VALUE"""),3.85210206E8)</f>
        <v>385210206</v>
      </c>
      <c r="AD46" s="9">
        <f>IFERROR(__xludf.DUMMYFUNCTION("""COMPUTED_VALUE"""),29400.0)</f>
        <v>29400</v>
      </c>
      <c r="AE46" s="6" t="str">
        <f>IFERROR(__xludf.DUMMYFUNCTION("""COMPUTED_VALUE"""),"bg")</f>
        <v>bg</v>
      </c>
      <c r="AF46" s="6" t="str">
        <f>IFERROR(__xludf.DUMMYFUNCTION("""COMPUTED_VALUE"""),"Dimitrovgrad")</f>
        <v>Dimitrovgrad</v>
      </c>
      <c r="AG46" s="6" t="str">
        <f>IFERROR(__xludf.DUMMYFUNCTION("""COMPUTED_VALUE"""),"Hr. A.D. Bonev")</f>
        <v>Hr. A.D. Bonev</v>
      </c>
      <c r="AH46" s="6" t="str">
        <f>IFERROR(__xludf.DUMMYFUNCTION("""COMPUTED_VALUE"""),"NL67INGB0419411585")</f>
        <v>NL67INGB0419411585</v>
      </c>
      <c r="AI46" s="6"/>
      <c r="AJ46" s="6"/>
      <c r="AK46" s="6"/>
      <c r="AL46" s="6"/>
      <c r="AM46" s="6" t="str">
        <f>IFERROR(__xludf.DUMMYFUNCTION("""COMPUTED_VALUE"""),"Bulgarije")</f>
        <v>Bulgarije</v>
      </c>
      <c r="AN46" s="6" t="str">
        <f>IFERROR(__xludf.DUMMYFUNCTION("""COMPUTED_VALUE"""),"Asen Demirev Bonev")</f>
        <v>Asen Demirev Bonev</v>
      </c>
      <c r="AO46" s="6">
        <f>IFERROR(__xludf.DUMMYFUNCTION("""COMPUTED_VALUE"""),1162.0)</f>
        <v>1162</v>
      </c>
    </row>
    <row r="47">
      <c r="A47" s="6" t="str">
        <f>IFERROR(__xludf.DUMMYFUNCTION("""COMPUTED_VALUE"""),"Asen DTV Bouw")</f>
        <v>Asen DTV Bouw</v>
      </c>
      <c r="B47" s="6" t="str">
        <f>IFERROR(__xludf.DUMMYFUNCTION("""COMPUTED_VALUE"""),"Asen DTV Bouw")</f>
        <v>Asen DTV Bouw</v>
      </c>
      <c r="C47" s="6">
        <f>IFERROR(__xludf.DUMMYFUNCTION("""COMPUTED_VALUE"""),1019.0)</f>
        <v>1019</v>
      </c>
      <c r="D47" s="7" t="str">
        <f>IFERROR(__xludf.DUMMYFUNCTION("""COMPUTED_VALUE"""),"Asen Dimitrov Asenov")</f>
        <v>Asen Dimitrov Asenov</v>
      </c>
      <c r="E47" s="7" t="str">
        <f>IFERROR(__xludf.DUMMYFUNCTION("""COMPUTED_VALUE"""),"SBI-code: 4120 - Algemene burgerlijke en utiliteitsbouw")</f>
        <v>SBI-code: 4120 - Algemene burgerlijke en utiliteitsbouw</v>
      </c>
      <c r="F47" s="7" t="str">
        <f>IFERROR(__xludf.DUMMYFUNCTION("""COMPUTED_VALUE"""),"0687600195")</f>
        <v>0687600195</v>
      </c>
      <c r="G47" s="6" t="str">
        <f>IFERROR(__xludf.DUMMYFUNCTION("""COMPUTED_VALUE"""),"mileldenis123@gmail.com")</f>
        <v>mileldenis123@gmail.com</v>
      </c>
      <c r="H47" s="6" t="str">
        <f>IFERROR(__xludf.DUMMYFUNCTION("""COMPUTED_VALUE"""),"Helmersstraat 73B")</f>
        <v>Helmersstraat 73B</v>
      </c>
      <c r="I47" s="6" t="str">
        <f>IFERROR(__xludf.DUMMYFUNCTION("""COMPUTED_VALUE"""),"2513RW")</f>
        <v>2513RW</v>
      </c>
      <c r="J47" s="6" t="str">
        <f>IFERROR(__xludf.DUMMYFUNCTION("""COMPUTED_VALUE"""),"s-Gravenhage")</f>
        <v>s-Gravenhage</v>
      </c>
      <c r="K47" s="6" t="str">
        <f>IFERROR(__xludf.DUMMYFUNCTION("""COMPUTED_VALUE"""),"Nederland")</f>
        <v>Nederland</v>
      </c>
      <c r="L47" s="6" t="str">
        <f>IFERROR(__xludf.DUMMYFUNCTION("""COMPUTED_VALUE"""),"Асенов")</f>
        <v>Асенов</v>
      </c>
      <c r="M47" s="8">
        <f>IFERROR(__xludf.DUMMYFUNCTION("""COMPUTED_VALUE"""),44029.0)</f>
        <v>44029</v>
      </c>
      <c r="N47" s="6" t="str">
        <f>IFERROR(__xludf.DUMMYFUNCTION("""COMPUTED_VALUE"""),"NL474167756B01")</f>
        <v>NL474167756B01</v>
      </c>
      <c r="O47" s="6">
        <f>IFERROR(__xludf.DUMMYFUNCTION("""COMPUTED_VALUE"""),7.8606896E7)</f>
        <v>78606896</v>
      </c>
      <c r="P47" s="6" t="str">
        <f>IFERROR(__xludf.DUMMYFUNCTION("""COMPUTED_VALUE"""),"NL87INGB0006744707")</f>
        <v>NL87INGB0006744707</v>
      </c>
      <c r="Q47" s="9">
        <f>IFERROR(__xludf.DUMMYFUNCTION("""COMPUTED_VALUE"""),44029.0)</f>
        <v>44029</v>
      </c>
      <c r="R47" s="6"/>
      <c r="S47" s="6" t="str">
        <f>IFERROR(__xludf.DUMMYFUNCTION("""COMPUTED_VALUE"""),"NL003351589B56")</f>
        <v>NL003351589B56</v>
      </c>
      <c r="T47" s="6">
        <f>IFERROR(__xludf.DUMMYFUNCTION("""COMPUTED_VALUE"""),4.74167756E8)</f>
        <v>474167756</v>
      </c>
      <c r="U47" s="7" t="str">
        <f>IFERROR(__xludf.DUMMYFUNCTION("""COMPUTED_VALUE"""),"Eenmanszaak")</f>
        <v>Eenmanszaak</v>
      </c>
      <c r="V47" s="7" t="str">
        <f>IFERROR(__xludf.DUMMYFUNCTION("""COMPUTED_VALUE"""),"000046220232")</f>
        <v>000046220232</v>
      </c>
      <c r="W47" s="6" t="str">
        <f>IFERROR(__xludf.DUMMYFUNCTION("""COMPUTED_VALUE"""),"ink.asendtv.2288aa@zarabota.nl")</f>
        <v>ink.asendtv.2288aa@zarabota.nl</v>
      </c>
      <c r="X47" s="6" t="str">
        <f>IFERROR(__xludf.DUMMYFUNCTION("""COMPUTED_VALUE"""),"ver.asendtv.2288aa@zarabota.nl")</f>
        <v>ver.asendtv.2288aa@zarabota.nl</v>
      </c>
      <c r="Y47" s="6" t="str">
        <f>IFERROR(__xludf.DUMMYFUNCTION("""COMPUTED_VALUE"""),"Hr.")</f>
        <v>Hr.</v>
      </c>
      <c r="Z47" s="6" t="str">
        <f>IFERROR(__xludf.DUMMYFUNCTION("""COMPUTED_VALUE"""),"Asen Dimitrov")</f>
        <v>Asen Dimitrov</v>
      </c>
      <c r="AA47" s="6" t="str">
        <f>IFERROR(__xludf.DUMMYFUNCTION("""COMPUTED_VALUE"""),"Asenov")</f>
        <v>Asenov</v>
      </c>
      <c r="AB47" s="6" t="str">
        <f>IFERROR(__xludf.DUMMYFUNCTION("""COMPUTED_VALUE"""),"A.D.")</f>
        <v>A.D.</v>
      </c>
      <c r="AC47" s="6">
        <f>IFERROR(__xludf.DUMMYFUNCTION("""COMPUTED_VALUE"""),4.74167756E8)</f>
        <v>474167756</v>
      </c>
      <c r="AD47" s="9">
        <f>IFERROR(__xludf.DUMMYFUNCTION("""COMPUTED_VALUE"""),32485.0)</f>
        <v>32485</v>
      </c>
      <c r="AE47" s="6" t="str">
        <f>IFERROR(__xludf.DUMMYFUNCTION("""COMPUTED_VALUE"""),"bg")</f>
        <v>bg</v>
      </c>
      <c r="AF47" s="6" t="str">
        <f>IFERROR(__xludf.DUMMYFUNCTION("""COMPUTED_VALUE"""),"Haskovo")</f>
        <v>Haskovo</v>
      </c>
      <c r="AG47" s="6" t="str">
        <f>IFERROR(__xludf.DUMMYFUNCTION("""COMPUTED_VALUE"""),"Hr. A.D. Asenov")</f>
        <v>Hr. A.D. Asenov</v>
      </c>
      <c r="AH47" s="6" t="str">
        <f>IFERROR(__xludf.DUMMYFUNCTION("""COMPUTED_VALUE"""),"NL90INGB0798167750")</f>
        <v>NL90INGB0798167750</v>
      </c>
      <c r="AI47" s="6"/>
      <c r="AJ47" s="6" t="str">
        <f>IFERROR(__xludf.DUMMYFUNCTION("""COMPUTED_VALUE"""),"ID Kaart")</f>
        <v>ID Kaart</v>
      </c>
      <c r="AK47" s="6">
        <f>IFERROR(__xludf.DUMMYFUNCTION("""COMPUTED_VALUE"""),6.43263691E8)</f>
        <v>643263691</v>
      </c>
      <c r="AL47" s="9">
        <f>IFERROR(__xludf.DUMMYFUNCTION("""COMPUTED_VALUE"""),44514.0)</f>
        <v>44514</v>
      </c>
      <c r="AM47" s="6" t="str">
        <f>IFERROR(__xludf.DUMMYFUNCTION("""COMPUTED_VALUE"""),"Bulgarije")</f>
        <v>Bulgarije</v>
      </c>
      <c r="AN47" s="6" t="str">
        <f>IFERROR(__xludf.DUMMYFUNCTION("""COMPUTED_VALUE"""),"Asen Dimitrov Asenov")</f>
        <v>Asen Dimitrov Asenov</v>
      </c>
      <c r="AO47" s="6"/>
    </row>
    <row r="48">
      <c r="A48" s="6" t="str">
        <f>IFERROR(__xludf.DUMMYFUNCTION("""COMPUTED_VALUE"""),"Asko 06 &amp; Nili V.O.F.")</f>
        <v>Asko 06 &amp; Nili V.O.F.</v>
      </c>
      <c r="B48" s="6" t="str">
        <f>IFERROR(__xludf.DUMMYFUNCTION("""COMPUTED_VALUE"""),"Asko 06 &amp; Nili V.O.F.")</f>
        <v>Asko 06 &amp; Nili V.O.F.</v>
      </c>
      <c r="C48" s="6">
        <f>IFERROR(__xludf.DUMMYFUNCTION("""COMPUTED_VALUE"""),540.0)</f>
        <v>540</v>
      </c>
      <c r="D48" s="7" t="str">
        <f>IFERROR(__xludf.DUMMYFUNCTION("""COMPUTED_VALUE"""),"Hyusein Hasan Yashar")</f>
        <v>Hyusein Hasan Yashar</v>
      </c>
      <c r="E48" s="7" t="str">
        <f>IFERROR(__xludf.DUMMYFUNCTION("""COMPUTED_VALUE"""),"SBI-code: 4120 - Algemene burgerlijke en utiliteitsbouw")</f>
        <v>SBI-code: 4120 - Algemene burgerlijke en utiliteitsbouw</v>
      </c>
      <c r="F48" s="7" t="str">
        <f>IFERROR(__xludf.DUMMYFUNCTION("""COMPUTED_VALUE"""),"0683278856")</f>
        <v>0683278856</v>
      </c>
      <c r="G48" s="6" t="str">
        <f>IFERROR(__xludf.DUMMYFUNCTION("""COMPUTED_VALUE"""),"asko0605@hotmail.com")</f>
        <v>asko0605@hotmail.com</v>
      </c>
      <c r="H48" s="6" t="str">
        <f>IFERROR(__xludf.DUMMYFUNCTION("""COMPUTED_VALUE"""),"Rodenbachstraat 70")</f>
        <v>Rodenbachstraat 70</v>
      </c>
      <c r="I48" s="6" t="str">
        <f>IFERROR(__xludf.DUMMYFUNCTION("""COMPUTED_VALUE"""),"2523JM")</f>
        <v>2523JM</v>
      </c>
      <c r="J48" s="6" t="str">
        <f>IFERROR(__xludf.DUMMYFUNCTION("""COMPUTED_VALUE"""),"s-Gravenhage")</f>
        <v>s-Gravenhage</v>
      </c>
      <c r="K48" s="6" t="str">
        <f>IFERROR(__xludf.DUMMYFUNCTION("""COMPUTED_VALUE"""),"Nederland")</f>
        <v>Nederland</v>
      </c>
      <c r="L48" s="6" t="str">
        <f>IFERROR(__xludf.DUMMYFUNCTION("""COMPUTED_VALUE"""),"Яшар")</f>
        <v>Яшар</v>
      </c>
      <c r="M48" s="8">
        <f>IFERROR(__xludf.DUMMYFUNCTION("""COMPUTED_VALUE"""),43175.0)</f>
        <v>43175</v>
      </c>
      <c r="N48" s="6" t="str">
        <f>IFERROR(__xludf.DUMMYFUNCTION("""COMPUTED_VALUE"""),"NL858569139B01")</f>
        <v>NL858569139B01</v>
      </c>
      <c r="O48" s="6">
        <f>IFERROR(__xludf.DUMMYFUNCTION("""COMPUTED_VALUE"""),7.1073949E7)</f>
        <v>71073949</v>
      </c>
      <c r="P48" s="6" t="str">
        <f>IFERROR(__xludf.DUMMYFUNCTION("""COMPUTED_VALUE"""),"NL51INGB0004929515")</f>
        <v>NL51INGB0004929515</v>
      </c>
      <c r="Q48" s="9">
        <f>IFERROR(__xludf.DUMMYFUNCTION("""COMPUTED_VALUE"""),43101.0)</f>
        <v>43101</v>
      </c>
      <c r="R48" s="6"/>
      <c r="S48" s="6" t="str">
        <f>IFERROR(__xludf.DUMMYFUNCTION("""COMPUTED_VALUE"""),"NL858569139B01")</f>
        <v>NL858569139B01</v>
      </c>
      <c r="T48" s="6">
        <f>IFERROR(__xludf.DUMMYFUNCTION("""COMPUTED_VALUE"""),8.58569139E8)</f>
        <v>858569139</v>
      </c>
      <c r="U48" s="7" t="str">
        <f>IFERROR(__xludf.DUMMYFUNCTION("""COMPUTED_VALUE"""),"Eenmanszaak")</f>
        <v>Eenmanszaak</v>
      </c>
      <c r="V48" s="7" t="str">
        <f>IFERROR(__xludf.DUMMYFUNCTION("""COMPUTED_VALUE"""),"000024786527")</f>
        <v>000024786527</v>
      </c>
      <c r="W48" s="6" t="str">
        <f>IFERROR(__xludf.DUMMYFUNCTION("""COMPUTED_VALUE"""),"ink.asko06ennilivof.2288aa@zarabota.nl")</f>
        <v>ink.asko06ennilivof.2288aa@zarabota.nl</v>
      </c>
      <c r="X48" s="6" t="str">
        <f>IFERROR(__xludf.DUMMYFUNCTION("""COMPUTED_VALUE"""),"ver.asko06ennilivof.2288aa@zarabota.nl")</f>
        <v>ver.asko06ennilivof.2288aa@zarabota.nl</v>
      </c>
      <c r="Y48" s="6" t="str">
        <f>IFERROR(__xludf.DUMMYFUNCTION("""COMPUTED_VALUE"""),"Hr.")</f>
        <v>Hr.</v>
      </c>
      <c r="Z48" s="6" t="str">
        <f>IFERROR(__xludf.DUMMYFUNCTION("""COMPUTED_VALUE"""),"Hyusein Hasan")</f>
        <v>Hyusein Hasan</v>
      </c>
      <c r="AA48" s="6" t="str">
        <f>IFERROR(__xludf.DUMMYFUNCTION("""COMPUTED_VALUE"""),"Yashar")</f>
        <v>Yashar</v>
      </c>
      <c r="AB48" s="6" t="str">
        <f>IFERROR(__xludf.DUMMYFUNCTION("""COMPUTED_VALUE"""),"H.H.")</f>
        <v>H.H.</v>
      </c>
      <c r="AC48" s="6">
        <f>IFERROR(__xludf.DUMMYFUNCTION("""COMPUTED_VALUE"""),6.29940757E8)</f>
        <v>629940757</v>
      </c>
      <c r="AD48" s="9">
        <f>IFERROR(__xludf.DUMMYFUNCTION("""COMPUTED_VALUE"""),27035.0)</f>
        <v>27035</v>
      </c>
      <c r="AE48" s="6" t="str">
        <f>IFERROR(__xludf.DUMMYFUNCTION("""COMPUTED_VALUE"""),"bg")</f>
        <v>bg</v>
      </c>
      <c r="AF48" s="6" t="str">
        <f>IFERROR(__xludf.DUMMYFUNCTION("""COMPUTED_VALUE"""),"Kubrat")</f>
        <v>Kubrat</v>
      </c>
      <c r="AG48" s="6" t="str">
        <f>IFERROR(__xludf.DUMMYFUNCTION("""COMPUTED_VALUE"""),"Hr. H.H. Yashar")</f>
        <v>Hr. H.H. Yashar</v>
      </c>
      <c r="AH48" s="6"/>
      <c r="AI48" s="6"/>
      <c r="AJ48" s="6"/>
      <c r="AK48" s="6"/>
      <c r="AL48" s="6"/>
      <c r="AM48" s="6"/>
      <c r="AN48" s="6" t="str">
        <f>IFERROR(__xludf.DUMMYFUNCTION("""COMPUTED_VALUE"""),"Hyusein Hasan Yashar")</f>
        <v>Hyusein Hasan Yashar</v>
      </c>
      <c r="AO48" s="6"/>
    </row>
    <row r="49">
      <c r="A49" s="6" t="str">
        <f>IFERROR(__xludf.DUMMYFUNCTION("""COMPUTED_VALUE"""),"Asya Asenova")</f>
        <v>Asya Asenova</v>
      </c>
      <c r="B49" s="6" t="str">
        <f>IFERROR(__xludf.DUMMYFUNCTION("""COMPUTED_VALUE"""),"Asya Asenova")</f>
        <v>Asya Asenova</v>
      </c>
      <c r="C49" s="6">
        <f>IFERROR(__xludf.DUMMYFUNCTION("""COMPUTED_VALUE"""),1573.0)</f>
        <v>1573</v>
      </c>
      <c r="D49" s="7" t="str">
        <f>IFERROR(__xludf.DUMMYFUNCTION("""COMPUTED_VALUE"""),"Asya Hristova Asenova")</f>
        <v>Asya Hristova Asenova</v>
      </c>
      <c r="E49" s="7" t="str">
        <f>IFERROR(__xludf.DUMMYFUNCTION("""COMPUTED_VALUE"""),"SBI-code: 4120 - Algemene burgerlijke en utiliteitsbouw")</f>
        <v>SBI-code: 4120 - Algemene burgerlijke en utiliteitsbouw</v>
      </c>
      <c r="F49" s="7" t="str">
        <f>IFERROR(__xludf.DUMMYFUNCTION("""COMPUTED_VALUE"""),"+359877177810")</f>
        <v>+359877177810</v>
      </c>
      <c r="G49" s="6" t="str">
        <f>IFERROR(__xludf.DUMMYFUNCTION("""COMPUTED_VALUE"""),"asenovaasa566@gmail.com")</f>
        <v>asenovaasa566@gmail.com</v>
      </c>
      <c r="H49" s="6" t="str">
        <f>IFERROR(__xludf.DUMMYFUNCTION("""COMPUTED_VALUE"""),"Beeklaan 215")</f>
        <v>Beeklaan 215</v>
      </c>
      <c r="I49" s="6" t="str">
        <f>IFERROR(__xludf.DUMMYFUNCTION("""COMPUTED_VALUE"""),"2562AE")</f>
        <v>2562AE</v>
      </c>
      <c r="J49" s="6" t="str">
        <f>IFERROR(__xludf.DUMMYFUNCTION("""COMPUTED_VALUE"""),"s-Gravenhage")</f>
        <v>s-Gravenhage</v>
      </c>
      <c r="K49" s="6" t="str">
        <f>IFERROR(__xludf.DUMMYFUNCTION("""COMPUTED_VALUE"""),"Nederland")</f>
        <v>Nederland</v>
      </c>
      <c r="L49" s="6" t="str">
        <f>IFERROR(__xludf.DUMMYFUNCTION("""COMPUTED_VALUE"""),"Асенова")</f>
        <v>Асенова</v>
      </c>
      <c r="M49" s="8">
        <f>IFERROR(__xludf.DUMMYFUNCTION("""COMPUTED_VALUE"""),45299.0)</f>
        <v>45299</v>
      </c>
      <c r="N49" s="6" t="str">
        <f>IFERROR(__xludf.DUMMYFUNCTION("""COMPUTED_VALUE"""),"NL691702512B01")</f>
        <v>NL691702512B01</v>
      </c>
      <c r="O49" s="6">
        <f>IFERROR(__xludf.DUMMYFUNCTION("""COMPUTED_VALUE"""),9.2556957E7)</f>
        <v>92556957</v>
      </c>
      <c r="P49" s="6" t="str">
        <f>IFERROR(__xludf.DUMMYFUNCTION("""COMPUTED_VALUE"""),"NL08INGB0104675098")</f>
        <v>NL08INGB0104675098</v>
      </c>
      <c r="Q49" s="9">
        <f>IFERROR(__xludf.DUMMYFUNCTION("""COMPUTED_VALUE"""),45299.0)</f>
        <v>45299</v>
      </c>
      <c r="R49" s="6"/>
      <c r="S49" s="6" t="str">
        <f>IFERROR(__xludf.DUMMYFUNCTION("""COMPUTED_VALUE"""),"NL004960785B71")</f>
        <v>NL004960785B71</v>
      </c>
      <c r="T49" s="6">
        <f>IFERROR(__xludf.DUMMYFUNCTION("""COMPUTED_VALUE"""),6.91702512E8)</f>
        <v>691702512</v>
      </c>
      <c r="U49" s="7" t="str">
        <f>IFERROR(__xludf.DUMMYFUNCTION("""COMPUTED_VALUE"""),"Eenmanszaak")</f>
        <v>Eenmanszaak</v>
      </c>
      <c r="V49" s="7" t="str">
        <f>IFERROR(__xludf.DUMMYFUNCTION("""COMPUTED_VALUE"""),"000058152946")</f>
        <v>000058152946</v>
      </c>
      <c r="W49" s="6" t="str">
        <f>IFERROR(__xludf.DUMMYFUNCTION("""COMPUTED_VALUE"""),"ink.asyaasenova.2288aa@zarabota.nl")</f>
        <v>ink.asyaasenova.2288aa@zarabota.nl</v>
      </c>
      <c r="X49" s="6" t="str">
        <f>IFERROR(__xludf.DUMMYFUNCTION("""COMPUTED_VALUE"""),"ver.asyaasenova.2288aa@zarabota.nl")</f>
        <v>ver.asyaasenova.2288aa@zarabota.nl</v>
      </c>
      <c r="Y49" s="6" t="str">
        <f>IFERROR(__xludf.DUMMYFUNCTION("""COMPUTED_VALUE"""),"Hr.")</f>
        <v>Hr.</v>
      </c>
      <c r="Z49" s="6" t="str">
        <f>IFERROR(__xludf.DUMMYFUNCTION("""COMPUTED_VALUE"""),"Asya Hristova")</f>
        <v>Asya Hristova</v>
      </c>
      <c r="AA49" s="6" t="str">
        <f>IFERROR(__xludf.DUMMYFUNCTION("""COMPUTED_VALUE"""),"Asenova")</f>
        <v>Asenova</v>
      </c>
      <c r="AB49" s="6" t="str">
        <f>IFERROR(__xludf.DUMMYFUNCTION("""COMPUTED_VALUE"""),"A.H.")</f>
        <v>A.H.</v>
      </c>
      <c r="AC49" s="6">
        <f>IFERROR(__xludf.DUMMYFUNCTION("""COMPUTED_VALUE"""),6.91702512E8)</f>
        <v>691702512</v>
      </c>
      <c r="AD49" s="9">
        <f>IFERROR(__xludf.DUMMYFUNCTION("""COMPUTED_VALUE"""),37263.0)</f>
        <v>37263</v>
      </c>
      <c r="AE49" s="6" t="str">
        <f>IFERROR(__xludf.DUMMYFUNCTION("""COMPUTED_VALUE"""),"bg")</f>
        <v>bg</v>
      </c>
      <c r="AF49" s="6" t="str">
        <f>IFERROR(__xludf.DUMMYFUNCTION("""COMPUTED_VALUE"""),"Dimitrovgrad")</f>
        <v>Dimitrovgrad</v>
      </c>
      <c r="AG49" s="6" t="str">
        <f>IFERROR(__xludf.DUMMYFUNCTION("""COMPUTED_VALUE"""),"Hr. A.H. Asenova")</f>
        <v>Hr. A.H. Asenova</v>
      </c>
      <c r="AH49" s="6" t="str">
        <f>IFERROR(__xludf.DUMMYFUNCTION("""COMPUTED_VALUE"""),"NL64INGB0630963207")</f>
        <v>NL64INGB0630963207</v>
      </c>
      <c r="AI49" s="6"/>
      <c r="AJ49" s="6" t="str">
        <f>IFERROR(__xludf.DUMMYFUNCTION("""COMPUTED_VALUE"""),"ID Kaart")</f>
        <v>ID Kaart</v>
      </c>
      <c r="AK49" s="6">
        <f>IFERROR(__xludf.DUMMYFUNCTION("""COMPUTED_VALUE"""),6.4872278E8)</f>
        <v>648722780</v>
      </c>
      <c r="AL49" s="9">
        <f>IFERROR(__xludf.DUMMYFUNCTION("""COMPUTED_VALUE"""),47505.0)</f>
        <v>47505</v>
      </c>
      <c r="AM49" s="6" t="str">
        <f>IFERROR(__xludf.DUMMYFUNCTION("""COMPUTED_VALUE"""),"Bulgarije")</f>
        <v>Bulgarije</v>
      </c>
      <c r="AN49" s="6" t="str">
        <f>IFERROR(__xludf.DUMMYFUNCTION("""COMPUTED_VALUE"""),"Asya Hristova Asenova")</f>
        <v>Asya Hristova Asenova</v>
      </c>
      <c r="AO49" s="6"/>
    </row>
    <row r="50">
      <c r="A50" s="6" t="str">
        <f>IFERROR(__xludf.DUMMYFUNCTION("""COMPUTED_VALUE"""),"Atka")</f>
        <v>Atka</v>
      </c>
      <c r="B50" s="6" t="str">
        <f>IFERROR(__xludf.DUMMYFUNCTION("""COMPUTED_VALUE"""),"Atka")</f>
        <v>Atka</v>
      </c>
      <c r="C50" s="6">
        <f>IFERROR(__xludf.DUMMYFUNCTION("""COMPUTED_VALUE"""),1001.0)</f>
        <v>1001</v>
      </c>
      <c r="D50" s="7" t="str">
        <f>IFERROR(__xludf.DUMMYFUNCTION("""COMPUTED_VALUE"""),"Adil Ahmed Sadula")</f>
        <v>Adil Ahmed Sadula</v>
      </c>
      <c r="E50" s="7" t="str">
        <f>IFERROR(__xludf.DUMMYFUNCTION("""COMPUTED_VALUE"""),"SBI-code: 4120 - Algemene burgerlijke en utiliteitsbouw")</f>
        <v>SBI-code: 4120 - Algemene burgerlijke en utiliteitsbouw</v>
      </c>
      <c r="F50" s="7" t="str">
        <f>IFERROR(__xludf.DUMMYFUNCTION("""COMPUTED_VALUE"""),"0683871250")</f>
        <v>0683871250</v>
      </c>
      <c r="G50" s="6" t="str">
        <f>IFERROR(__xludf.DUMMYFUNCTION("""COMPUTED_VALUE"""),"atka07@hotmail.com")</f>
        <v>atka07@hotmail.com</v>
      </c>
      <c r="H50" s="6" t="str">
        <f>IFERROR(__xludf.DUMMYFUNCTION("""COMPUTED_VALUE"""),"Paets van Troostwijkstr 53")</f>
        <v>Paets van Troostwijkstr 53</v>
      </c>
      <c r="I50" s="6" t="str">
        <f>IFERROR(__xludf.DUMMYFUNCTION("""COMPUTED_VALUE"""),"2522DL")</f>
        <v>2522DL</v>
      </c>
      <c r="J50" s="6" t="str">
        <f>IFERROR(__xludf.DUMMYFUNCTION("""COMPUTED_VALUE"""),"s-Gravenhage")</f>
        <v>s-Gravenhage</v>
      </c>
      <c r="K50" s="6" t="str">
        <f>IFERROR(__xludf.DUMMYFUNCTION("""COMPUTED_VALUE"""),"Nederland")</f>
        <v>Nederland</v>
      </c>
      <c r="L50" s="6" t="str">
        <f>IFERROR(__xludf.DUMMYFUNCTION("""COMPUTED_VALUE"""),"Садула")</f>
        <v>Садула</v>
      </c>
      <c r="M50" s="8">
        <f>IFERROR(__xludf.DUMMYFUNCTION("""COMPUTED_VALUE"""),43831.0)</f>
        <v>43831</v>
      </c>
      <c r="N50" s="6" t="str">
        <f>IFERROR(__xludf.DUMMYFUNCTION("""COMPUTED_VALUE"""),"NL660264705B01")</f>
        <v>NL660264705B01</v>
      </c>
      <c r="O50" s="6">
        <f>IFERROR(__xludf.DUMMYFUNCTION("""COMPUTED_VALUE"""),5.2955397E7)</f>
        <v>52955397</v>
      </c>
      <c r="P50" s="6" t="str">
        <f>IFERROR(__xludf.DUMMYFUNCTION("""COMPUTED_VALUE"""),"NL50INGB0006064530")</f>
        <v>NL50INGB0006064530</v>
      </c>
      <c r="Q50" s="9">
        <f>IFERROR(__xludf.DUMMYFUNCTION("""COMPUTED_VALUE"""),40711.0)</f>
        <v>40711</v>
      </c>
      <c r="R50" s="6"/>
      <c r="S50" s="6" t="str">
        <f>IFERROR(__xludf.DUMMYFUNCTION("""COMPUTED_VALUE"""),"NL660264705B01")</f>
        <v>NL660264705B01</v>
      </c>
      <c r="T50" s="6">
        <f>IFERROR(__xludf.DUMMYFUNCTION("""COMPUTED_VALUE"""),6.60264705E8)</f>
        <v>660264705</v>
      </c>
      <c r="U50" s="7" t="str">
        <f>IFERROR(__xludf.DUMMYFUNCTION("""COMPUTED_VALUE"""),"Eenmanszaak")</f>
        <v>Eenmanszaak</v>
      </c>
      <c r="V50" s="7" t="str">
        <f>IFERROR(__xludf.DUMMYFUNCTION("""COMPUTED_VALUE"""),"000022847308")</f>
        <v>000022847308</v>
      </c>
      <c r="W50" s="6" t="str">
        <f>IFERROR(__xludf.DUMMYFUNCTION("""COMPUTED_VALUE"""),"ink.atka.2288aa@zarabota.nl")</f>
        <v>ink.atka.2288aa@zarabota.nl</v>
      </c>
      <c r="X50" s="6" t="str">
        <f>IFERROR(__xludf.DUMMYFUNCTION("""COMPUTED_VALUE"""),"ver.atka.2288aa@zarabota.nl")</f>
        <v>ver.atka.2288aa@zarabota.nl</v>
      </c>
      <c r="Y50" s="6" t="str">
        <f>IFERROR(__xludf.DUMMYFUNCTION("""COMPUTED_VALUE"""),"Hr.")</f>
        <v>Hr.</v>
      </c>
      <c r="Z50" s="6" t="str">
        <f>IFERROR(__xludf.DUMMYFUNCTION("""COMPUTED_VALUE"""),"Adil Ahmed")</f>
        <v>Adil Ahmed</v>
      </c>
      <c r="AA50" s="6" t="str">
        <f>IFERROR(__xludf.DUMMYFUNCTION("""COMPUTED_VALUE"""),"Sadula")</f>
        <v>Sadula</v>
      </c>
      <c r="AB50" s="6" t="str">
        <f>IFERROR(__xludf.DUMMYFUNCTION("""COMPUTED_VALUE"""),"A.A.")</f>
        <v>A.A.</v>
      </c>
      <c r="AC50" s="6">
        <f>IFERROR(__xludf.DUMMYFUNCTION("""COMPUTED_VALUE"""),6.60264705E8)</f>
        <v>660264705</v>
      </c>
      <c r="AD50" s="9">
        <f>IFERROR(__xludf.DUMMYFUNCTION("""COMPUTED_VALUE"""),27644.0)</f>
        <v>27644</v>
      </c>
      <c r="AE50" s="6" t="str">
        <f>IFERROR(__xludf.DUMMYFUNCTION("""COMPUTED_VALUE"""),"bg")</f>
        <v>bg</v>
      </c>
      <c r="AF50" s="6" t="str">
        <f>IFERROR(__xludf.DUMMYFUNCTION("""COMPUTED_VALUE"""),"Haskovo")</f>
        <v>Haskovo</v>
      </c>
      <c r="AG50" s="6" t="str">
        <f>IFERROR(__xludf.DUMMYFUNCTION("""COMPUTED_VALUE"""),"Hr. A.A. Sadula")</f>
        <v>Hr. A.A. Sadula</v>
      </c>
      <c r="AH50" s="6"/>
      <c r="AI50" s="6"/>
      <c r="AJ50" s="6" t="str">
        <f>IFERROR(__xludf.DUMMYFUNCTION("""COMPUTED_VALUE"""),"ID Kaart")</f>
        <v>ID Kaart</v>
      </c>
      <c r="AK50" s="6"/>
      <c r="AL50" s="6"/>
      <c r="AM50" s="6" t="str">
        <f>IFERROR(__xludf.DUMMYFUNCTION("""COMPUTED_VALUE"""),"Bulgarije")</f>
        <v>Bulgarije</v>
      </c>
      <c r="AN50" s="6" t="str">
        <f>IFERROR(__xludf.DUMMYFUNCTION("""COMPUTED_VALUE"""),"Adil Ahmed Sadula")</f>
        <v>Adil Ahmed Sadula</v>
      </c>
      <c r="AO50" s="6"/>
    </row>
    <row r="51">
      <c r="A51" s="6" t="str">
        <f>IFERROR(__xludf.DUMMYFUNCTION("""COMPUTED_VALUE"""),"AVRO Consult OOD")</f>
        <v>AVRO Consult OOD</v>
      </c>
      <c r="B51" s="6" t="str">
        <f>IFERROR(__xludf.DUMMYFUNCTION("""COMPUTED_VALUE"""),"АВРО Консулт ООД")</f>
        <v>АВРО Консулт ООД</v>
      </c>
      <c r="C51" s="6">
        <f>IFERROR(__xludf.DUMMYFUNCTION("""COMPUTED_VALUE"""),1608.0)</f>
        <v>1608</v>
      </c>
      <c r="D51" s="7" t="str">
        <f>IFERROR(__xludf.DUMMYFUNCTION("""COMPUTED_VALUE"""),"Христина Атанасова Тянкова")</f>
        <v>Христина Атанасова Тянкова</v>
      </c>
      <c r="E51" s="7" t="str">
        <f>IFERROR(__xludf.DUMMYFUNCTION("""COMPUTED_VALUE"""),"SBI-code: 4120 - Algemene burgerlijke en utiliteitsbouw")</f>
        <v>SBI-code: 4120 - Algemene burgerlijke en utiliteitsbouw</v>
      </c>
      <c r="F51" s="7" t="str">
        <f>IFERROR(__xludf.DUMMYFUNCTION("""COMPUTED_VALUE"""),"+31611584401")</f>
        <v>+31611584401</v>
      </c>
      <c r="G51" s="6" t="str">
        <f>IFERROR(__xludf.DUMMYFUNCTION("""COMPUTED_VALUE"""),"avroconsult69@gmail.com")</f>
        <v>avroconsult69@gmail.com</v>
      </c>
      <c r="H51" s="6" t="str">
        <f>IFERROR(__xludf.DUMMYFUNCTION("""COMPUTED_VALUE"""),"Akademik Nikolay Haytov 3В et. 4 app.1")</f>
        <v>Akademik Nikolay Haytov 3В et. 4 app.1</v>
      </c>
      <c r="I51" s="6">
        <f>IFERROR(__xludf.DUMMYFUNCTION("""COMPUTED_VALUE"""),4230.0)</f>
        <v>4230</v>
      </c>
      <c r="J51" s="6" t="str">
        <f>IFERROR(__xludf.DUMMYFUNCTION("""COMPUTED_VALUE"""),"Asenovgrad")</f>
        <v>Asenovgrad</v>
      </c>
      <c r="K51" s="6" t="str">
        <f>IFERROR(__xludf.DUMMYFUNCTION("""COMPUTED_VALUE"""),"Bulgarije")</f>
        <v>Bulgarije</v>
      </c>
      <c r="L51" s="6" t="str">
        <f>IFERROR(__xludf.DUMMYFUNCTION("""COMPUTED_VALUE"""),"Тянкова")</f>
        <v>Тянкова</v>
      </c>
      <c r="M51" s="8">
        <f>IFERROR(__xludf.DUMMYFUNCTION("""COMPUTED_VALUE"""),45392.0)</f>
        <v>45392</v>
      </c>
      <c r="N51" s="6" t="str">
        <f>IFERROR(__xludf.DUMMYFUNCTION("""COMPUTED_VALUE"""),"BG208463792")</f>
        <v>BG208463792</v>
      </c>
      <c r="O51" s="6">
        <f>IFERROR(__xludf.DUMMYFUNCTION("""COMPUTED_VALUE"""),2.08463792E8)</f>
        <v>208463792</v>
      </c>
      <c r="P51" s="6" t="str">
        <f>IFERROR(__xludf.DUMMYFUNCTION("""COMPUTED_VALUE"""),"BG16FINV91501017886701")</f>
        <v>BG16FINV91501017886701</v>
      </c>
      <c r="Q51" s="6"/>
      <c r="R51" s="6"/>
      <c r="S51" s="6" t="str">
        <f>IFERROR(__xludf.DUMMYFUNCTION("""COMPUTED_VALUE"""),"BG208463792")</f>
        <v>BG208463792</v>
      </c>
      <c r="T51" s="6"/>
      <c r="U51" s="7" t="str">
        <f>IFERROR(__xludf.DUMMYFUNCTION("""COMPUTED_VALUE"""),"Eenmanszaak")</f>
        <v>Eenmanszaak</v>
      </c>
      <c r="V51" s="6"/>
      <c r="W51" s="6" t="str">
        <f>IFERROR(__xludf.DUMMYFUNCTION("""COMPUTED_VALUE"""),"ink.avroconsult.2288aa@zarabota.nl")</f>
        <v>ink.avroconsult.2288aa@zarabota.nl</v>
      </c>
      <c r="X51" s="6" t="str">
        <f>IFERROR(__xludf.DUMMYFUNCTION("""COMPUTED_VALUE"""),"ver.avroconsult.2288aa@zarabota.nl")</f>
        <v>ver.avroconsult.2288aa@zarabota.nl</v>
      </c>
      <c r="Y51" s="6" t="str">
        <f>IFERROR(__xludf.DUMMYFUNCTION("""COMPUTED_VALUE"""),"Mw.")</f>
        <v>Mw.</v>
      </c>
      <c r="Z51" s="6" t="str">
        <f>IFERROR(__xludf.DUMMYFUNCTION("""COMPUTED_VALUE"""),"Hristina Atanasova")</f>
        <v>Hristina Atanasova</v>
      </c>
      <c r="AA51" s="6" t="str">
        <f>IFERROR(__xludf.DUMMYFUNCTION("""COMPUTED_VALUE"""),"Tyankova")</f>
        <v>Tyankova</v>
      </c>
      <c r="AB51" s="6" t="str">
        <f>IFERROR(__xludf.DUMMYFUNCTION("""COMPUTED_VALUE"""),"H.A.")</f>
        <v>H.A.</v>
      </c>
      <c r="AC51" s="6">
        <f>IFERROR(__xludf.DUMMYFUNCTION("""COMPUTED_VALUE"""),2.55501377E8)</f>
        <v>255501377</v>
      </c>
      <c r="AD51" s="9">
        <f>IFERROR(__xludf.DUMMYFUNCTION("""COMPUTED_VALUE"""),25518.0)</f>
        <v>25518</v>
      </c>
      <c r="AE51" s="6" t="str">
        <f>IFERROR(__xludf.DUMMYFUNCTION("""COMPUTED_VALUE"""),"bg")</f>
        <v>bg</v>
      </c>
      <c r="AF51" s="6" t="str">
        <f>IFERROR(__xludf.DUMMYFUNCTION("""COMPUTED_VALUE"""),"Asenovgrad")</f>
        <v>Asenovgrad</v>
      </c>
      <c r="AG51" s="6" t="str">
        <f>IFERROR(__xludf.DUMMYFUNCTION("""COMPUTED_VALUE"""),"Mw. H.A. Tyankova")</f>
        <v>Mw. H.A. Tyankova</v>
      </c>
      <c r="AH51" s="6"/>
      <c r="AI51" s="6"/>
      <c r="AJ51" s="6"/>
      <c r="AK51" s="6"/>
      <c r="AL51" s="6"/>
      <c r="AM51" s="6" t="str">
        <f>IFERROR(__xludf.DUMMYFUNCTION("""COMPUTED_VALUE"""),"Bulgarije")</f>
        <v>Bulgarije</v>
      </c>
      <c r="AN51" s="6" t="str">
        <f>IFERROR(__xludf.DUMMYFUNCTION("""COMPUTED_VALUE"""),"Hristina Atanasova Tyankova")</f>
        <v>Hristina Atanasova Tyankova</v>
      </c>
      <c r="AO51" s="6">
        <f>IFERROR(__xludf.DUMMYFUNCTION("""COMPUTED_VALUE"""),1608.0)</f>
        <v>1608</v>
      </c>
    </row>
    <row r="52">
      <c r="A52" s="6" t="str">
        <f>IFERROR(__xludf.DUMMYFUNCTION("""COMPUTED_VALUE"""),"AVV Hoofd B.V.")</f>
        <v>AVV Hoofd B.V.</v>
      </c>
      <c r="B52" s="6" t="str">
        <f>IFERROR(__xludf.DUMMYFUNCTION("""COMPUTED_VALUE"""),"AVV Hoofd B.V.")</f>
        <v>AVV Hoofd B.V.</v>
      </c>
      <c r="C52" s="6">
        <f>IFERROR(__xludf.DUMMYFUNCTION("""COMPUTED_VALUE"""),1749.0)</f>
        <v>1749</v>
      </c>
      <c r="D52" s="7" t="str">
        <f>IFERROR(__xludf.DUMMYFUNCTION("""COMPUTED_VALUE"""),"Anatoliy Viktorovich Volyanyuk")</f>
        <v>Anatoliy Viktorovich Volyanyuk</v>
      </c>
      <c r="E52" s="7" t="str">
        <f>IFERROR(__xludf.DUMMYFUNCTION("""COMPUTED_VALUE"""),"SBI-code: 4120 - Algemene burgerlijke en utiliteitsbouw")</f>
        <v>SBI-code: 4120 - Algemene burgerlijke en utiliteitsbouw</v>
      </c>
      <c r="F52" s="7" t="str">
        <f>IFERROR(__xludf.DUMMYFUNCTION("""COMPUTED_VALUE"""),"+31612374803")</f>
        <v>+31612374803</v>
      </c>
      <c r="G52" s="6"/>
      <c r="H52" s="6" t="str">
        <f>IFERROR(__xludf.DUMMYFUNCTION("""COMPUTED_VALUE"""),"B. Thoenplantsoen 26")</f>
        <v>B. Thoenplantsoen 26</v>
      </c>
      <c r="I52" s="6" t="str">
        <f>IFERROR(__xludf.DUMMYFUNCTION("""COMPUTED_VALUE"""),"2552JK")</f>
        <v>2552JK</v>
      </c>
      <c r="J52" s="6" t="str">
        <f>IFERROR(__xludf.DUMMYFUNCTION("""COMPUTED_VALUE"""),"s-Gravenhage")</f>
        <v>s-Gravenhage</v>
      </c>
      <c r="K52" s="6" t="str">
        <f>IFERROR(__xludf.DUMMYFUNCTION("""COMPUTED_VALUE"""),"Nederland")</f>
        <v>Nederland</v>
      </c>
      <c r="L52" s="6" t="str">
        <f>IFERROR(__xludf.DUMMYFUNCTION("""COMPUTED_VALUE"""),"Волянук")</f>
        <v>Волянук</v>
      </c>
      <c r="M52" s="8">
        <f>IFERROR(__xludf.DUMMYFUNCTION("""COMPUTED_VALUE"""),45966.0)</f>
        <v>45966</v>
      </c>
      <c r="N52" s="6" t="str">
        <f>IFERROR(__xludf.DUMMYFUNCTION("""COMPUTED_VALUE"""),"NL868637208B01")</f>
        <v>NL868637208B01</v>
      </c>
      <c r="O52" s="6">
        <f>IFERROR(__xludf.DUMMYFUNCTION("""COMPUTED_VALUE"""),9.8773739E7)</f>
        <v>98773739</v>
      </c>
      <c r="P52" s="6" t="str">
        <f>IFERROR(__xludf.DUMMYFUNCTION("""COMPUTED_VALUE"""),"NL22INGB0117492620")</f>
        <v>NL22INGB0117492620</v>
      </c>
      <c r="Q52" s="9">
        <f>IFERROR(__xludf.DUMMYFUNCTION("""COMPUTED_VALUE"""),45966.0)</f>
        <v>45966</v>
      </c>
      <c r="R52" s="6"/>
      <c r="S52" s="6" t="str">
        <f>IFERROR(__xludf.DUMMYFUNCTION("""COMPUTED_VALUE"""),"NL868637208B01")</f>
        <v>NL868637208B01</v>
      </c>
      <c r="T52" s="6">
        <f>IFERROR(__xludf.DUMMYFUNCTION("""COMPUTED_VALUE"""),8.68637208E8)</f>
        <v>868637208</v>
      </c>
      <c r="U52" s="7" t="str">
        <f>IFERROR(__xludf.DUMMYFUNCTION("""COMPUTED_VALUE"""),"Besloten Vennootschap")</f>
        <v>Besloten Vennootschap</v>
      </c>
      <c r="V52" s="6"/>
      <c r="W52" s="6" t="str">
        <f>IFERROR(__xludf.DUMMYFUNCTION("""COMPUTED_VALUE"""),"ink.avvhoofd.2288aa@zarabota.nl")</f>
        <v>ink.avvhoofd.2288aa@zarabota.nl</v>
      </c>
      <c r="X52" s="6" t="str">
        <f>IFERROR(__xludf.DUMMYFUNCTION("""COMPUTED_VALUE"""),"ver.avvhoofd.2288aa@zarabota.nl")</f>
        <v>ver.avvhoofd.2288aa@zarabota.nl</v>
      </c>
      <c r="Y52" s="6" t="str">
        <f>IFERROR(__xludf.DUMMYFUNCTION("""COMPUTED_VALUE"""),"Hr.")</f>
        <v>Hr.</v>
      </c>
      <c r="Z52" s="6" t="str">
        <f>IFERROR(__xludf.DUMMYFUNCTION("""COMPUTED_VALUE"""),"Anatoliy Viktorovich")</f>
        <v>Anatoliy Viktorovich</v>
      </c>
      <c r="AA52" s="6" t="str">
        <f>IFERROR(__xludf.DUMMYFUNCTION("""COMPUTED_VALUE"""),"Volyanyuk")</f>
        <v>Volyanyuk</v>
      </c>
      <c r="AB52" s="6" t="str">
        <f>IFERROR(__xludf.DUMMYFUNCTION("""COMPUTED_VALUE"""),"A.V.")</f>
        <v>A.V.</v>
      </c>
      <c r="AC52" s="6">
        <f>IFERROR(__xludf.DUMMYFUNCTION("""COMPUTED_VALUE"""),5.65284769E8)</f>
        <v>565284769</v>
      </c>
      <c r="AD52" s="9">
        <f>IFERROR(__xludf.DUMMYFUNCTION("""COMPUTED_VALUE"""),29473.0)</f>
        <v>29473</v>
      </c>
      <c r="AE52" s="6" t="str">
        <f>IFERROR(__xludf.DUMMYFUNCTION("""COMPUTED_VALUE"""),"bg")</f>
        <v>bg</v>
      </c>
      <c r="AF52" s="6" t="str">
        <f>IFERROR(__xludf.DUMMYFUNCTION("""COMPUTED_VALUE"""),"Zalozhtsi")</f>
        <v>Zalozhtsi</v>
      </c>
      <c r="AG52" s="6" t="str">
        <f>IFERROR(__xludf.DUMMYFUNCTION("""COMPUTED_VALUE"""),"Hr. A.V. Volyanyuk")</f>
        <v>Hr. A.V. Volyanyuk</v>
      </c>
      <c r="AH52" s="6"/>
      <c r="AI52" s="6"/>
      <c r="AJ52" s="6"/>
      <c r="AK52" s="6"/>
      <c r="AL52" s="6"/>
      <c r="AM52" s="6"/>
      <c r="AN52" s="6" t="str">
        <f>IFERROR(__xludf.DUMMYFUNCTION("""COMPUTED_VALUE"""),"Anatoliy Viktorovich Volyanyuk")</f>
        <v>Anatoliy Viktorovich Volyanyuk</v>
      </c>
      <c r="AO52" s="6">
        <f>IFERROR(__xludf.DUMMYFUNCTION("""COMPUTED_VALUE"""),1749.0)</f>
        <v>1749</v>
      </c>
    </row>
    <row r="53">
      <c r="A53" s="6" t="str">
        <f>IFERROR(__xludf.DUMMYFUNCTION("""COMPUTED_VALUE"""),"Axentis")</f>
        <v>Axentis</v>
      </c>
      <c r="B53" s="6" t="str">
        <f>IFERROR(__xludf.DUMMYFUNCTION("""COMPUTED_VALUE"""),"Axentis")</f>
        <v>Axentis</v>
      </c>
      <c r="C53" s="6">
        <f>IFERROR(__xludf.DUMMYFUNCTION("""COMPUTED_VALUE"""),901.0)</f>
        <v>901</v>
      </c>
      <c r="D53" s="7" t="str">
        <f>IFERROR(__xludf.DUMMYFUNCTION("""COMPUTED_VALUE"""),"Evgeny Rangelov-Eigen")</f>
        <v>Evgeny Rangelov-Eigen</v>
      </c>
      <c r="E53" s="7" t="str">
        <f>IFERROR(__xludf.DUMMYFUNCTION("""COMPUTED_VALUE"""),"SBI-code: 4120 - Algemene burgerlijke en utiliteitsbouw")</f>
        <v>SBI-code: 4120 - Algemene burgerlijke en utiliteitsbouw</v>
      </c>
      <c r="F53" s="7" t="str">
        <f>IFERROR(__xludf.DUMMYFUNCTION("""COMPUTED_VALUE"""),"0707505651")</f>
        <v>0707505651</v>
      </c>
      <c r="G53" s="6" t="str">
        <f>IFERROR(__xludf.DUMMYFUNCTION("""COMPUTED_VALUE"""),"rangelov.e@gmail.com")</f>
        <v>rangelov.e@gmail.com</v>
      </c>
      <c r="H53" s="6" t="str">
        <f>IFERROR(__xludf.DUMMYFUNCTION("""COMPUTED_VALUE"""),"Steenplaetsstraat 6")</f>
        <v>Steenplaetsstraat 6</v>
      </c>
      <c r="I53" s="6" t="str">
        <f>IFERROR(__xludf.DUMMYFUNCTION("""COMPUTED_VALUE"""),"2288AA")</f>
        <v>2288AA</v>
      </c>
      <c r="J53" s="6" t="str">
        <f>IFERROR(__xludf.DUMMYFUNCTION("""COMPUTED_VALUE"""),"s-Gravenhage")</f>
        <v>s-Gravenhage</v>
      </c>
      <c r="K53" s="6" t="str">
        <f>IFERROR(__xludf.DUMMYFUNCTION("""COMPUTED_VALUE"""),"Nederland")</f>
        <v>Nederland</v>
      </c>
      <c r="L53" s="6" t="str">
        <f>IFERROR(__xludf.DUMMYFUNCTION("""COMPUTED_VALUE"""),"Рангелов")</f>
        <v>Рангелов</v>
      </c>
      <c r="M53" s="8">
        <f>IFERROR(__xludf.DUMMYFUNCTION("""COMPUTED_VALUE"""),42613.0)</f>
        <v>42613</v>
      </c>
      <c r="N53" s="6" t="str">
        <f>IFERROR(__xludf.DUMMYFUNCTION("""COMPUTED_VALUE"""),"NL126248175B01")</f>
        <v>NL126248175B01</v>
      </c>
      <c r="O53" s="6">
        <f>IFERROR(__xludf.DUMMYFUNCTION("""COMPUTED_VALUE"""),5.5962734E7)</f>
        <v>55962734</v>
      </c>
      <c r="P53" s="6" t="str">
        <f>IFERROR(__xludf.DUMMYFUNCTION("""COMPUTED_VALUE"""),"NL98INGB0007299155")</f>
        <v>NL98INGB0007299155</v>
      </c>
      <c r="Q53" s="9">
        <f>IFERROR(__xludf.DUMMYFUNCTION("""COMPUTED_VALUE"""),40977.0)</f>
        <v>40977</v>
      </c>
      <c r="R53" s="9">
        <f>IFERROR(__xludf.DUMMYFUNCTION("""COMPUTED_VALUE"""),43830.0)</f>
        <v>43830</v>
      </c>
      <c r="S53" s="6" t="str">
        <f>IFERROR(__xludf.DUMMYFUNCTION("""COMPUTED_VALUE"""),"NL001565172B59")</f>
        <v>NL001565172B59</v>
      </c>
      <c r="T53" s="6">
        <f>IFERROR(__xludf.DUMMYFUNCTION("""COMPUTED_VALUE"""),1.26248175E8)</f>
        <v>126248175</v>
      </c>
      <c r="U53" s="7" t="str">
        <f>IFERROR(__xludf.DUMMYFUNCTION("""COMPUTED_VALUE"""),"Eenmanszaak")</f>
        <v>Eenmanszaak</v>
      </c>
      <c r="V53" s="7" t="str">
        <f>IFERROR(__xludf.DUMMYFUNCTION("""COMPUTED_VALUE"""),"000025564684")</f>
        <v>000025564684</v>
      </c>
      <c r="W53" s="6" t="str">
        <f>IFERROR(__xludf.DUMMYFUNCTION("""COMPUTED_VALUE"""),"ink.axentisadministraties.2288aa@zarabota.nl")</f>
        <v>ink.axentisadministraties.2288aa@zarabota.nl</v>
      </c>
      <c r="X53" s="6" t="str">
        <f>IFERROR(__xludf.DUMMYFUNCTION("""COMPUTED_VALUE"""),"ver.axentisadministraties.2288aa@zarabota.nl")</f>
        <v>ver.axentisadministraties.2288aa@zarabota.nl</v>
      </c>
      <c r="Y53" s="6" t="str">
        <f>IFERROR(__xludf.DUMMYFUNCTION("""COMPUTED_VALUE"""),"Hr.")</f>
        <v>Hr.</v>
      </c>
      <c r="Z53" s="6" t="str">
        <f>IFERROR(__xludf.DUMMYFUNCTION("""COMPUTED_VALUE"""),"Evgeny Jivkov")</f>
        <v>Evgeny Jivkov</v>
      </c>
      <c r="AA53" s="6" t="str">
        <f>IFERROR(__xludf.DUMMYFUNCTION("""COMPUTED_VALUE"""),"Rangelov")</f>
        <v>Rangelov</v>
      </c>
      <c r="AB53" s="6" t="str">
        <f>IFERROR(__xludf.DUMMYFUNCTION("""COMPUTED_VALUE"""),"E.J.")</f>
        <v>E.J.</v>
      </c>
      <c r="AC53" s="6">
        <f>IFERROR(__xludf.DUMMYFUNCTION("""COMPUTED_VALUE"""),1.26248175E8)</f>
        <v>126248175</v>
      </c>
      <c r="AD53" s="9">
        <f>IFERROR(__xludf.DUMMYFUNCTION("""COMPUTED_VALUE"""),22107.0)</f>
        <v>22107</v>
      </c>
      <c r="AE53" s="6" t="str">
        <f>IFERROR(__xludf.DUMMYFUNCTION("""COMPUTED_VALUE"""),"bg")</f>
        <v>bg</v>
      </c>
      <c r="AF53" s="6" t="str">
        <f>IFERROR(__xludf.DUMMYFUNCTION("""COMPUTED_VALUE"""),"Varna")</f>
        <v>Varna</v>
      </c>
      <c r="AG53" s="6" t="str">
        <f>IFERROR(__xludf.DUMMYFUNCTION("""COMPUTED_VALUE"""),"Hr. E.J. Rangelov")</f>
        <v>Hr. E.J. Rangelov</v>
      </c>
      <c r="AH53" s="6" t="str">
        <f>IFERROR(__xludf.DUMMYFUNCTION("""COMPUTED_VALUE"""),"NL35ABNA0561170053")</f>
        <v>NL35ABNA0561170053</v>
      </c>
      <c r="AI53" s="6"/>
      <c r="AJ53" s="6"/>
      <c r="AK53" s="6"/>
      <c r="AL53" s="6"/>
      <c r="AM53" s="6" t="str">
        <f>IFERROR(__xludf.DUMMYFUNCTION("""COMPUTED_VALUE"""),"Bulgarije")</f>
        <v>Bulgarije</v>
      </c>
      <c r="AN53" s="6" t="str">
        <f>IFERROR(__xludf.DUMMYFUNCTION("""COMPUTED_VALUE"""),"Evgeny Jivkov Rangelov")</f>
        <v>Evgeny Jivkov Rangelov</v>
      </c>
      <c r="AO53" s="6"/>
    </row>
    <row r="54">
      <c r="A54" s="6" t="str">
        <f>IFERROR(__xludf.DUMMYFUNCTION("""COMPUTED_VALUE"""),"AYERKAN supermarkt")</f>
        <v>AYERKAN supermarkt</v>
      </c>
      <c r="B54" s="6" t="str">
        <f>IFERROR(__xludf.DUMMYFUNCTION("""COMPUTED_VALUE"""),"AYERKAN supermarkt")</f>
        <v>AYERKAN supermarkt</v>
      </c>
      <c r="C54" s="6">
        <f>IFERROR(__xludf.DUMMYFUNCTION("""COMPUTED_VALUE"""),1765.0)</f>
        <v>1765</v>
      </c>
      <c r="D54" s="7" t="str">
        <f>IFERROR(__xludf.DUMMYFUNCTION("""COMPUTED_VALUE"""),"Silvia Emilova Hyusein")</f>
        <v>Silvia Emilova Hyusein</v>
      </c>
      <c r="E54" s="7" t="str">
        <f>IFERROR(__xludf.DUMMYFUNCTION("""COMPUTED_VALUE"""),"SBI-code: 4120 - Algemene burgerlijke en utiliteitsbouw")</f>
        <v>SBI-code: 4120 - Algemene burgerlijke en utiliteitsbouw</v>
      </c>
      <c r="F54" s="7" t="str">
        <f>IFERROR(__xludf.DUMMYFUNCTION("""COMPUTED_VALUE"""),"0611432524")</f>
        <v>0611432524</v>
      </c>
      <c r="G54" s="6" t="str">
        <f>IFERROR(__xludf.DUMMYFUNCTION("""COMPUTED_VALUE"""),"silvia2324silvia@icloud.com")</f>
        <v>silvia2324silvia@icloud.com</v>
      </c>
      <c r="H54" s="6" t="str">
        <f>IFERROR(__xludf.DUMMYFUNCTION("""COMPUTED_VALUE"""),"Schalkburgerplein 11")</f>
        <v>Schalkburgerplein 11</v>
      </c>
      <c r="I54" s="6" t="str">
        <f>IFERROR(__xludf.DUMMYFUNCTION("""COMPUTED_VALUE"""),"2572TM")</f>
        <v>2572TM</v>
      </c>
      <c r="J54" s="6" t="str">
        <f>IFERROR(__xludf.DUMMYFUNCTION("""COMPUTED_VALUE"""),"s-Gravenhage")</f>
        <v>s-Gravenhage</v>
      </c>
      <c r="K54" s="6" t="str">
        <f>IFERROR(__xludf.DUMMYFUNCTION("""COMPUTED_VALUE"""),"Nederland")</f>
        <v>Nederland</v>
      </c>
      <c r="L54" s="6" t="str">
        <f>IFERROR(__xludf.DUMMYFUNCTION("""COMPUTED_VALUE"""),"Хюсеин")</f>
        <v>Хюсеин</v>
      </c>
      <c r="M54" s="8">
        <f>IFERROR(__xludf.DUMMYFUNCTION("""COMPUTED_VALUE"""),46023.0)</f>
        <v>46023</v>
      </c>
      <c r="N54" s="6" t="str">
        <f>IFERROR(__xludf.DUMMYFUNCTION("""COMPUTED_VALUE"""),"NL697669191B01")</f>
        <v>NL697669191B01</v>
      </c>
      <c r="O54" s="6">
        <f>IFERROR(__xludf.DUMMYFUNCTION("""COMPUTED_VALUE"""),9.9375281E7)</f>
        <v>99375281</v>
      </c>
      <c r="P54" s="6" t="str">
        <f>IFERROR(__xludf.DUMMYFUNCTION("""COMPUTED_VALUE"""),"NL")</f>
        <v>NL</v>
      </c>
      <c r="Q54" s="9">
        <f>IFERROR(__xludf.DUMMYFUNCTION("""COMPUTED_VALUE"""),46023.0)</f>
        <v>46023</v>
      </c>
      <c r="R54" s="6"/>
      <c r="S54" s="6"/>
      <c r="T54" s="6">
        <f>IFERROR(__xludf.DUMMYFUNCTION("""COMPUTED_VALUE"""),6.97669191E8)</f>
        <v>697669191</v>
      </c>
      <c r="U54" s="7" t="str">
        <f>IFERROR(__xludf.DUMMYFUNCTION("""COMPUTED_VALUE"""),"Eenmanszaak")</f>
        <v>Eenmanszaak</v>
      </c>
      <c r="V54" s="7" t="str">
        <f>IFERROR(__xludf.DUMMYFUNCTION("""COMPUTED_VALUE"""),"000064455971")</f>
        <v>000064455971</v>
      </c>
      <c r="W54" s="6" t="str">
        <f>IFERROR(__xludf.DUMMYFUNCTION("""COMPUTED_VALUE"""),"ink.ayerkan.2288aa@zarabota.nl")</f>
        <v>ink.ayerkan.2288aa@zarabota.nl</v>
      </c>
      <c r="X54" s="6" t="str">
        <f>IFERROR(__xludf.DUMMYFUNCTION("""COMPUTED_VALUE"""),"ver.ayerkan.2288aa@zarabota.nl")</f>
        <v>ver.ayerkan.2288aa@zarabota.nl</v>
      </c>
      <c r="Y54" s="6" t="str">
        <f>IFERROR(__xludf.DUMMYFUNCTION("""COMPUTED_VALUE"""),"Mw.")</f>
        <v>Mw.</v>
      </c>
      <c r="Z54" s="6" t="str">
        <f>IFERROR(__xludf.DUMMYFUNCTION("""COMPUTED_VALUE"""),"Silvia Emilova")</f>
        <v>Silvia Emilova</v>
      </c>
      <c r="AA54" s="6" t="str">
        <f>IFERROR(__xludf.DUMMYFUNCTION("""COMPUTED_VALUE"""),"Hyusein")</f>
        <v>Hyusein</v>
      </c>
      <c r="AB54" s="6" t="str">
        <f>IFERROR(__xludf.DUMMYFUNCTION("""COMPUTED_VALUE"""),"S.E.")</f>
        <v>S.E.</v>
      </c>
      <c r="AC54" s="6">
        <f>IFERROR(__xludf.DUMMYFUNCTION("""COMPUTED_VALUE"""),6.97669191E8)</f>
        <v>697669191</v>
      </c>
      <c r="AD54" s="9">
        <f>IFERROR(__xludf.DUMMYFUNCTION("""COMPUTED_VALUE"""),35103.0)</f>
        <v>35103</v>
      </c>
      <c r="AE54" s="6" t="str">
        <f>IFERROR(__xludf.DUMMYFUNCTION("""COMPUTED_VALUE"""),"bg")</f>
        <v>bg</v>
      </c>
      <c r="AF54" s="6" t="str">
        <f>IFERROR(__xludf.DUMMYFUNCTION("""COMPUTED_VALUE"""),"Targovishte")</f>
        <v>Targovishte</v>
      </c>
      <c r="AG54" s="6" t="str">
        <f>IFERROR(__xludf.DUMMYFUNCTION("""COMPUTED_VALUE"""),"Mw. S.E. Hyusein")</f>
        <v>Mw. S.E. Hyusein</v>
      </c>
      <c r="AH54" s="6"/>
      <c r="AI54" s="6"/>
      <c r="AJ54" s="6" t="str">
        <f>IFERROR(__xludf.DUMMYFUNCTION("""COMPUTED_VALUE"""),"Rijbewijs")</f>
        <v>Rijbewijs</v>
      </c>
      <c r="AK54" s="6">
        <f>IFERROR(__xludf.DUMMYFUNCTION("""COMPUTED_VALUE"""),5.596034837E9)</f>
        <v>5596034837</v>
      </c>
      <c r="AL54" s="9">
        <f>IFERROR(__xludf.DUMMYFUNCTION("""COMPUTED_VALUE"""),49224.0)</f>
        <v>49224</v>
      </c>
      <c r="AM54" s="6" t="str">
        <f>IFERROR(__xludf.DUMMYFUNCTION("""COMPUTED_VALUE"""),"Bulgarije")</f>
        <v>Bulgarije</v>
      </c>
      <c r="AN54" s="6" t="str">
        <f>IFERROR(__xludf.DUMMYFUNCTION("""COMPUTED_VALUE"""),"Silvia Emilova Hyusein")</f>
        <v>Silvia Emilova Hyusein</v>
      </c>
      <c r="AO54" s="6">
        <f>IFERROR(__xludf.DUMMYFUNCTION("""COMPUTED_VALUE"""),1765.0)</f>
        <v>1765</v>
      </c>
    </row>
    <row r="55">
      <c r="A55" s="6" t="str">
        <f>IFERROR(__xludf.DUMMYFUNCTION("""COMPUTED_VALUE"""),"Ayvaz Ijzervlechter")</f>
        <v>Ayvaz Ijzervlechter</v>
      </c>
      <c r="B55" s="6" t="str">
        <f>IFERROR(__xludf.DUMMYFUNCTION("""COMPUTED_VALUE"""),"Ayvaz IJzervlechter")</f>
        <v>Ayvaz IJzervlechter</v>
      </c>
      <c r="C55" s="6">
        <f>IFERROR(__xludf.DUMMYFUNCTION("""COMPUTED_VALUE"""),534.0)</f>
        <v>534</v>
      </c>
      <c r="D55" s="7" t="str">
        <f>IFERROR(__xludf.DUMMYFUNCTION("""COMPUTED_VALUE"""),"Atanas Biserov Hristev")</f>
        <v>Atanas Biserov Hristev</v>
      </c>
      <c r="E55" s="7" t="str">
        <f>IFERROR(__xludf.DUMMYFUNCTION("""COMPUTED_VALUE"""),"SBI-code: 4120 - Algemene burgerlijke en utiliteitsbouw")</f>
        <v>SBI-code: 4120 - Algemene burgerlijke en utiliteitsbouw</v>
      </c>
      <c r="F55" s="7" t="str">
        <f>IFERROR(__xludf.DUMMYFUNCTION("""COMPUTED_VALUE"""),"0685350756")</f>
        <v>0685350756</v>
      </c>
      <c r="G55" s="6" t="str">
        <f>IFERROR(__xludf.DUMMYFUNCTION("""COMPUTED_VALUE"""),"nasko_xristev99@icloud.com")</f>
        <v>nasko_xristev99@icloud.com</v>
      </c>
      <c r="H55" s="6" t="str">
        <f>IFERROR(__xludf.DUMMYFUNCTION("""COMPUTED_VALUE"""),"Burgersdijkstraat 4")</f>
        <v>Burgersdijkstraat 4</v>
      </c>
      <c r="I55" s="6" t="str">
        <f>IFERROR(__xludf.DUMMYFUNCTION("""COMPUTED_VALUE"""),"2522 WE")</f>
        <v>2522 WE</v>
      </c>
      <c r="J55" s="6" t="str">
        <f>IFERROR(__xludf.DUMMYFUNCTION("""COMPUTED_VALUE"""),"s-Gravenhage")</f>
        <v>s-Gravenhage</v>
      </c>
      <c r="K55" s="6" t="str">
        <f>IFERROR(__xludf.DUMMYFUNCTION("""COMPUTED_VALUE"""),"Nederland")</f>
        <v>Nederland</v>
      </c>
      <c r="L55" s="6" t="str">
        <f>IFERROR(__xludf.DUMMYFUNCTION("""COMPUTED_VALUE"""),"Христев")</f>
        <v>Христев</v>
      </c>
      <c r="M55" s="8">
        <f>IFERROR(__xludf.DUMMYFUNCTION("""COMPUTED_VALUE"""),43175.0)</f>
        <v>43175</v>
      </c>
      <c r="N55" s="6" t="str">
        <f>IFERROR(__xludf.DUMMYFUNCTION("""COMPUTED_VALUE"""),"NL479421663B01")</f>
        <v>NL479421663B01</v>
      </c>
      <c r="O55" s="6">
        <f>IFERROR(__xludf.DUMMYFUNCTION("""COMPUTED_VALUE"""),7.0060991E7)</f>
        <v>70060991</v>
      </c>
      <c r="P55" s="6" t="str">
        <f>IFERROR(__xludf.DUMMYFUNCTION("""COMPUTED_VALUE"""),"NL05INGB0008086529")</f>
        <v>NL05INGB0008086529</v>
      </c>
      <c r="Q55" s="9">
        <f>IFERROR(__xludf.DUMMYFUNCTION("""COMPUTED_VALUE"""),43053.0)</f>
        <v>43053</v>
      </c>
      <c r="R55" s="6"/>
      <c r="S55" s="6" t="str">
        <f>IFERROR(__xludf.DUMMYFUNCTION("""COMPUTED_VALUE"""),"NL002489543B22")</f>
        <v>NL002489543B22</v>
      </c>
      <c r="T55" s="6">
        <f>IFERROR(__xludf.DUMMYFUNCTION("""COMPUTED_VALUE"""),4.79421663E8)</f>
        <v>479421663</v>
      </c>
      <c r="U55" s="7" t="str">
        <f>IFERROR(__xludf.DUMMYFUNCTION("""COMPUTED_VALUE"""),"Eenmanszaak")</f>
        <v>Eenmanszaak</v>
      </c>
      <c r="V55" s="7" t="str">
        <f>IFERROR(__xludf.DUMMYFUNCTION("""COMPUTED_VALUE"""),"000038365596")</f>
        <v>000038365596</v>
      </c>
      <c r="W55" s="6" t="str">
        <f>IFERROR(__xludf.DUMMYFUNCTION("""COMPUTED_VALUE"""),"ink.ayvazijzervlechter.2288aa@zarabota.nl")</f>
        <v>ink.ayvazijzervlechter.2288aa@zarabota.nl</v>
      </c>
      <c r="X55" s="6" t="str">
        <f>IFERROR(__xludf.DUMMYFUNCTION("""COMPUTED_VALUE"""),"ver.ayvazijzervlechter.2288aa@zarabota.nl")</f>
        <v>ver.ayvazijzervlechter.2288aa@zarabota.nl</v>
      </c>
      <c r="Y55" s="6" t="str">
        <f>IFERROR(__xludf.DUMMYFUNCTION("""COMPUTED_VALUE"""),"Hr.")</f>
        <v>Hr.</v>
      </c>
      <c r="Z55" s="6" t="str">
        <f>IFERROR(__xludf.DUMMYFUNCTION("""COMPUTED_VALUE"""),"Atanas Biserov")</f>
        <v>Atanas Biserov</v>
      </c>
      <c r="AA55" s="6" t="str">
        <f>IFERROR(__xludf.DUMMYFUNCTION("""COMPUTED_VALUE"""),"Hristev")</f>
        <v>Hristev</v>
      </c>
      <c r="AB55" s="6" t="str">
        <f>IFERROR(__xludf.DUMMYFUNCTION("""COMPUTED_VALUE"""),"A.B.")</f>
        <v>A.B.</v>
      </c>
      <c r="AC55" s="6">
        <f>IFERROR(__xludf.DUMMYFUNCTION("""COMPUTED_VALUE"""),4.79421663E8)</f>
        <v>479421663</v>
      </c>
      <c r="AD55" s="9">
        <f>IFERROR(__xludf.DUMMYFUNCTION("""COMPUTED_VALUE"""),34268.0)</f>
        <v>34268</v>
      </c>
      <c r="AE55" s="6" t="str">
        <f>IFERROR(__xludf.DUMMYFUNCTION("""COMPUTED_VALUE"""),"bg")</f>
        <v>bg</v>
      </c>
      <c r="AF55" s="6" t="str">
        <f>IFERROR(__xludf.DUMMYFUNCTION("""COMPUTED_VALUE"""),"Parvomay")</f>
        <v>Parvomay</v>
      </c>
      <c r="AG55" s="6" t="str">
        <f>IFERROR(__xludf.DUMMYFUNCTION("""COMPUTED_VALUE"""),"Hr. A.B. Hristev")</f>
        <v>Hr. A.B. Hristev</v>
      </c>
      <c r="AH55" s="6" t="str">
        <f>IFERROR(__xludf.DUMMYFUNCTION("""COMPUTED_VALUE"""),"NL53INGB0651367840")</f>
        <v>NL53INGB0651367840</v>
      </c>
      <c r="AI55" s="6"/>
      <c r="AJ55" s="6" t="str">
        <f>IFERROR(__xludf.DUMMYFUNCTION("""COMPUTED_VALUE"""),"ID Kaart")</f>
        <v>ID Kaart</v>
      </c>
      <c r="AK55" s="6">
        <f>IFERROR(__xludf.DUMMYFUNCTION("""COMPUTED_VALUE"""),6.44599936E8)</f>
        <v>644599936</v>
      </c>
      <c r="AL55" s="9">
        <f>IFERROR(__xludf.DUMMYFUNCTION("""COMPUTED_VALUE"""),45034.0)</f>
        <v>45034</v>
      </c>
      <c r="AM55" s="6"/>
      <c r="AN55" s="6" t="str">
        <f>IFERROR(__xludf.DUMMYFUNCTION("""COMPUTED_VALUE"""),"Atanas Biserov Hristev")</f>
        <v>Atanas Biserov Hristev</v>
      </c>
      <c r="AO55" s="6"/>
    </row>
    <row r="56">
      <c r="A56" s="6" t="str">
        <f>IFERROR(__xludf.DUMMYFUNCTION("""COMPUTED_VALUE"""),"Azaria")</f>
        <v>Azaria</v>
      </c>
      <c r="B56" s="6" t="str">
        <f>IFERROR(__xludf.DUMMYFUNCTION("""COMPUTED_VALUE"""),"Azaria")</f>
        <v>Azaria</v>
      </c>
      <c r="C56" s="6">
        <f>IFERROR(__xludf.DUMMYFUNCTION("""COMPUTED_VALUE"""),225.0)</f>
        <v>225</v>
      </c>
      <c r="D56" s="7" t="str">
        <f>IFERROR(__xludf.DUMMYFUNCTION("""COMPUTED_VALUE"""),"Valeri Markova Georgieva")</f>
        <v>Valeri Markova Georgieva</v>
      </c>
      <c r="E56" s="7" t="str">
        <f>IFERROR(__xludf.DUMMYFUNCTION("""COMPUTED_VALUE"""),"SBI-code: 4120 - Algemene burgerlijke en utiliteitsbouw")</f>
        <v>SBI-code: 4120 - Algemene burgerlijke en utiliteitsbouw</v>
      </c>
      <c r="F56" s="7" t="str">
        <f>IFERROR(__xludf.DUMMYFUNCTION("""COMPUTED_VALUE"""),"0628436661")</f>
        <v>0628436661</v>
      </c>
      <c r="G56" s="6" t="str">
        <f>IFERROR(__xludf.DUMMYFUNCTION("""COMPUTED_VALUE"""),"valarina11@hotmail.com")</f>
        <v>valarina11@hotmail.com</v>
      </c>
      <c r="H56" s="6" t="str">
        <f>IFERROR(__xludf.DUMMYFUNCTION("""COMPUTED_VALUE"""),"Jan Wapstraat 47")</f>
        <v>Jan Wapstraat 47</v>
      </c>
      <c r="I56" s="6" t="str">
        <f>IFERROR(__xludf.DUMMYFUNCTION("""COMPUTED_VALUE"""),"2523GB")</f>
        <v>2523GB</v>
      </c>
      <c r="J56" s="6" t="str">
        <f>IFERROR(__xludf.DUMMYFUNCTION("""COMPUTED_VALUE"""),"s-Gravenhage")</f>
        <v>s-Gravenhage</v>
      </c>
      <c r="K56" s="6" t="str">
        <f>IFERROR(__xludf.DUMMYFUNCTION("""COMPUTED_VALUE"""),"Nederland")</f>
        <v>Nederland</v>
      </c>
      <c r="L56" s="6" t="str">
        <f>IFERROR(__xludf.DUMMYFUNCTION("""COMPUTED_VALUE"""),"Георгиева")</f>
        <v>Георгиева</v>
      </c>
      <c r="M56" s="8">
        <f>IFERROR(__xludf.DUMMYFUNCTION("""COMPUTED_VALUE"""),43175.0)</f>
        <v>43175</v>
      </c>
      <c r="N56" s="6" t="str">
        <f>IFERROR(__xludf.DUMMYFUNCTION("""COMPUTED_VALUE"""),"NL264558704B01")</f>
        <v>NL264558704B01</v>
      </c>
      <c r="O56" s="6">
        <f>IFERROR(__xludf.DUMMYFUNCTION("""COMPUTED_VALUE"""),5.6324634E7)</f>
        <v>56324634</v>
      </c>
      <c r="P56" s="6" t="str">
        <f>IFERROR(__xludf.DUMMYFUNCTION("""COMPUTED_VALUE"""),"NL90INGB0007496888")</f>
        <v>NL90INGB0007496888</v>
      </c>
      <c r="Q56" s="9">
        <f>IFERROR(__xludf.DUMMYFUNCTION("""COMPUTED_VALUE"""),41214.0)</f>
        <v>41214</v>
      </c>
      <c r="R56" s="6"/>
      <c r="S56" s="6" t="str">
        <f>IFERROR(__xludf.DUMMYFUNCTION("""COMPUTED_VALUE"""),"NL002456577B90")</f>
        <v>NL002456577B90</v>
      </c>
      <c r="T56" s="6">
        <f>IFERROR(__xludf.DUMMYFUNCTION("""COMPUTED_VALUE"""),2.64558704E8)</f>
        <v>264558704</v>
      </c>
      <c r="U56" s="7" t="str">
        <f>IFERROR(__xludf.DUMMYFUNCTION("""COMPUTED_VALUE"""),"Eenmanszaak")</f>
        <v>Eenmanszaak</v>
      </c>
      <c r="V56" s="7" t="str">
        <f>IFERROR(__xludf.DUMMYFUNCTION("""COMPUTED_VALUE"""),"000025888390")</f>
        <v>000025888390</v>
      </c>
      <c r="W56" s="6" t="str">
        <f>IFERROR(__xludf.DUMMYFUNCTION("""COMPUTED_VALUE"""),"ink.azaria.2288aa@zarabota.nl")</f>
        <v>ink.azaria.2288aa@zarabota.nl</v>
      </c>
      <c r="X56" s="6" t="str">
        <f>IFERROR(__xludf.DUMMYFUNCTION("""COMPUTED_VALUE"""),"ver.azaria.2288aa@zarabota.nl")</f>
        <v>ver.azaria.2288aa@zarabota.nl</v>
      </c>
      <c r="Y56" s="6" t="str">
        <f>IFERROR(__xludf.DUMMYFUNCTION("""COMPUTED_VALUE"""),"Mw.")</f>
        <v>Mw.</v>
      </c>
      <c r="Z56" s="6" t="str">
        <f>IFERROR(__xludf.DUMMYFUNCTION("""COMPUTED_VALUE"""),"Valeri Markova")</f>
        <v>Valeri Markova</v>
      </c>
      <c r="AA56" s="6" t="str">
        <f>IFERROR(__xludf.DUMMYFUNCTION("""COMPUTED_VALUE"""),"Georgieva")</f>
        <v>Georgieva</v>
      </c>
      <c r="AB56" s="6" t="str">
        <f>IFERROR(__xludf.DUMMYFUNCTION("""COMPUTED_VALUE"""),"V.M.")</f>
        <v>V.M.</v>
      </c>
      <c r="AC56" s="6">
        <f>IFERROR(__xludf.DUMMYFUNCTION("""COMPUTED_VALUE"""),2.64558704E8)</f>
        <v>264558704</v>
      </c>
      <c r="AD56" s="9">
        <f>IFERROR(__xludf.DUMMYFUNCTION("""COMPUTED_VALUE"""),29109.0)</f>
        <v>29109</v>
      </c>
      <c r="AE56" s="6" t="str">
        <f>IFERROR(__xludf.DUMMYFUNCTION("""COMPUTED_VALUE"""),"bg")</f>
        <v>bg</v>
      </c>
      <c r="AF56" s="6" t="str">
        <f>IFERROR(__xludf.DUMMYFUNCTION("""COMPUTED_VALUE"""),"Sliven")</f>
        <v>Sliven</v>
      </c>
      <c r="AG56" s="6" t="str">
        <f>IFERROR(__xludf.DUMMYFUNCTION("""COMPUTED_VALUE"""),"Mw. V.M. Georgieva")</f>
        <v>Mw. V.M. Georgieva</v>
      </c>
      <c r="AH56" s="6" t="str">
        <f>IFERROR(__xludf.DUMMYFUNCTION("""COMPUTED_VALUE"""),"NL65INGB0003241657")</f>
        <v>NL65INGB0003241657</v>
      </c>
      <c r="AI56" s="6"/>
      <c r="AJ56" s="6"/>
      <c r="AK56" s="6"/>
      <c r="AL56" s="6"/>
      <c r="AM56" s="6"/>
      <c r="AN56" s="6" t="str">
        <f>IFERROR(__xludf.DUMMYFUNCTION("""COMPUTED_VALUE"""),"Valeri Markova Georgieva")</f>
        <v>Valeri Markova Georgieva</v>
      </c>
      <c r="AO56" s="6"/>
    </row>
    <row r="57">
      <c r="A57" s="6" t="str">
        <f>IFERROR(__xludf.DUMMYFUNCTION("""COMPUTED_VALUE"""),"B.A. Nikolov")</f>
        <v>B.A. Nikolov</v>
      </c>
      <c r="B57" s="6" t="str">
        <f>IFERROR(__xludf.DUMMYFUNCTION("""COMPUTED_VALUE"""),"B.A. Nikolov")</f>
        <v>B.A. Nikolov</v>
      </c>
      <c r="C57" s="6">
        <f>IFERROR(__xludf.DUMMYFUNCTION("""COMPUTED_VALUE"""),1712.0)</f>
        <v>1712</v>
      </c>
      <c r="D57" s="7" t="str">
        <f>IFERROR(__xludf.DUMMYFUNCTION("""COMPUTED_VALUE"""),"Boyan Anatoliev Nikolov")</f>
        <v>Boyan Anatoliev Nikolov</v>
      </c>
      <c r="E57" s="7" t="str">
        <f>IFERROR(__xludf.DUMMYFUNCTION("""COMPUTED_VALUE"""),"SBI-code: 4120 - Algemene burgerlijke en utiliteitsbouw")</f>
        <v>SBI-code: 4120 - Algemene burgerlijke en utiliteitsbouw</v>
      </c>
      <c r="F57" s="7" t="str">
        <f>IFERROR(__xludf.DUMMYFUNCTION("""COMPUTED_VALUE"""),"+359885717475")</f>
        <v>+359885717475</v>
      </c>
      <c r="G57" s="6" t="str">
        <f>IFERROR(__xludf.DUMMYFUNCTION("""COMPUTED_VALUE"""),"boyanikolov@abv.bg")</f>
        <v>boyanikolov@abv.bg</v>
      </c>
      <c r="H57" s="6" t="str">
        <f>IFERROR(__xludf.DUMMYFUNCTION("""COMPUTED_VALUE"""),"Hendrik de Keijserstraat 35")</f>
        <v>Hendrik de Keijserstraat 35</v>
      </c>
      <c r="I57" s="6" t="str">
        <f>IFERROR(__xludf.DUMMYFUNCTION("""COMPUTED_VALUE"""),"5041JA")</f>
        <v>5041JA</v>
      </c>
      <c r="J57" s="6" t="str">
        <f>IFERROR(__xludf.DUMMYFUNCTION("""COMPUTED_VALUE"""),"Tilburg")</f>
        <v>Tilburg</v>
      </c>
      <c r="K57" s="6" t="str">
        <f>IFERROR(__xludf.DUMMYFUNCTION("""COMPUTED_VALUE"""),"Nederland")</f>
        <v>Nederland</v>
      </c>
      <c r="L57" s="6" t="str">
        <f>IFERROR(__xludf.DUMMYFUNCTION("""COMPUTED_VALUE"""),"Николов")</f>
        <v>Николов</v>
      </c>
      <c r="M57" s="8">
        <f>IFERROR(__xludf.DUMMYFUNCTION("""COMPUTED_VALUE"""),45777.0)</f>
        <v>45777</v>
      </c>
      <c r="N57" s="6" t="str">
        <f>IFERROR(__xludf.DUMMYFUNCTION("""COMPUTED_VALUE"""),"NL346700450B01")</f>
        <v>NL346700450B01</v>
      </c>
      <c r="O57" s="6">
        <f>IFERROR(__xludf.DUMMYFUNCTION("""COMPUTED_VALUE"""),9.7217174E7)</f>
        <v>97217174</v>
      </c>
      <c r="P57" s="6" t="str">
        <f>IFERROR(__xludf.DUMMYFUNCTION("""COMPUTED_VALUE"""),"NL93INGB0114802211")</f>
        <v>NL93INGB0114802211</v>
      </c>
      <c r="Q57" s="9">
        <f>IFERROR(__xludf.DUMMYFUNCTION("""COMPUTED_VALUE"""),45777.0)</f>
        <v>45777</v>
      </c>
      <c r="R57" s="6"/>
      <c r="S57" s="6" t="str">
        <f>IFERROR(__xludf.DUMMYFUNCTION("""COMPUTED_VALUE"""),"NL005256357B51")</f>
        <v>NL005256357B51</v>
      </c>
      <c r="T57" s="6">
        <f>IFERROR(__xludf.DUMMYFUNCTION("""COMPUTED_VALUE"""),3.4670045E8)</f>
        <v>346700450</v>
      </c>
      <c r="U57" s="7" t="str">
        <f>IFERROR(__xludf.DUMMYFUNCTION("""COMPUTED_VALUE"""),"Eenmanszaak")</f>
        <v>Eenmanszaak</v>
      </c>
      <c r="V57" s="7" t="str">
        <f>IFERROR(__xludf.DUMMYFUNCTION("""COMPUTED_VALUE"""),"000062474944")</f>
        <v>000062474944</v>
      </c>
      <c r="W57" s="6" t="str">
        <f>IFERROR(__xludf.DUMMYFUNCTION("""COMPUTED_VALUE"""),"ink.banikolov.2288aa@zarabota.nl")</f>
        <v>ink.banikolov.2288aa@zarabota.nl</v>
      </c>
      <c r="X57" s="6" t="str">
        <f>IFERROR(__xludf.DUMMYFUNCTION("""COMPUTED_VALUE"""),"ver.banikolov.2288aa@zarabota.nl")</f>
        <v>ver.banikolov.2288aa@zarabota.nl</v>
      </c>
      <c r="Y57" s="6" t="str">
        <f>IFERROR(__xludf.DUMMYFUNCTION("""COMPUTED_VALUE"""),"Hr.")</f>
        <v>Hr.</v>
      </c>
      <c r="Z57" s="6" t="str">
        <f>IFERROR(__xludf.DUMMYFUNCTION("""COMPUTED_VALUE"""),"Boyan Anatoliev")</f>
        <v>Boyan Anatoliev</v>
      </c>
      <c r="AA57" s="6" t="str">
        <f>IFERROR(__xludf.DUMMYFUNCTION("""COMPUTED_VALUE"""),"Nikolov")</f>
        <v>Nikolov</v>
      </c>
      <c r="AB57" s="6" t="str">
        <f>IFERROR(__xludf.DUMMYFUNCTION("""COMPUTED_VALUE"""),"B.A.")</f>
        <v>B.A.</v>
      </c>
      <c r="AC57" s="6">
        <f>IFERROR(__xludf.DUMMYFUNCTION("""COMPUTED_VALUE"""),3.4670045E8)</f>
        <v>346700450</v>
      </c>
      <c r="AD57" s="9">
        <f>IFERROR(__xludf.DUMMYFUNCTION("""COMPUTED_VALUE"""),34298.0)</f>
        <v>34298</v>
      </c>
      <c r="AE57" s="6" t="str">
        <f>IFERROR(__xludf.DUMMYFUNCTION("""COMPUTED_VALUE"""),"bg")</f>
        <v>bg</v>
      </c>
      <c r="AF57" s="6" t="str">
        <f>IFERROR(__xludf.DUMMYFUNCTION("""COMPUTED_VALUE"""),"Ruse")</f>
        <v>Ruse</v>
      </c>
      <c r="AG57" s="6" t="str">
        <f>IFERROR(__xludf.DUMMYFUNCTION("""COMPUTED_VALUE"""),"Hr. B.A. Nikolov")</f>
        <v>Hr. B.A. Nikolov</v>
      </c>
      <c r="AH57" s="6"/>
      <c r="AI57" s="6"/>
      <c r="AJ57" s="6" t="str">
        <f>IFERROR(__xludf.DUMMYFUNCTION("""COMPUTED_VALUE"""),"ID Kaart")</f>
        <v>ID Kaart</v>
      </c>
      <c r="AK57" s="6">
        <f>IFERROR(__xludf.DUMMYFUNCTION("""COMPUTED_VALUE"""),6.52166016E8)</f>
        <v>652166016</v>
      </c>
      <c r="AL57" s="9">
        <f>IFERROR(__xludf.DUMMYFUNCTION("""COMPUTED_VALUE"""),48595.0)</f>
        <v>48595</v>
      </c>
      <c r="AM57" s="6" t="str">
        <f>IFERROR(__xludf.DUMMYFUNCTION("""COMPUTED_VALUE"""),"Bulgarije")</f>
        <v>Bulgarije</v>
      </c>
      <c r="AN57" s="6" t="str">
        <f>IFERROR(__xludf.DUMMYFUNCTION("""COMPUTED_VALUE"""),"Boyan Anatoliev Nikolov")</f>
        <v>Boyan Anatoliev Nikolov</v>
      </c>
      <c r="AO57" s="6">
        <f>IFERROR(__xludf.DUMMYFUNCTION("""COMPUTED_VALUE"""),1712.0)</f>
        <v>1712</v>
      </c>
    </row>
    <row r="58">
      <c r="A58" s="6" t="str">
        <f>IFERROR(__xludf.DUMMYFUNCTION("""COMPUTED_VALUE"""),"Babadzhanov SL")</f>
        <v>Babadzhanov SL</v>
      </c>
      <c r="B58" s="6" t="str">
        <f>IFERROR(__xludf.DUMMYFUNCTION("""COMPUTED_VALUE"""),"Babadzhanov SL")</f>
        <v>Babadzhanov SL</v>
      </c>
      <c r="C58" s="6">
        <f>IFERROR(__xludf.DUMMYFUNCTION("""COMPUTED_VALUE"""),1026.0)</f>
        <v>1026</v>
      </c>
      <c r="D58" s="7" t="str">
        <f>IFERROR(__xludf.DUMMYFUNCTION("""COMPUTED_VALUE"""),"Mehdi Hamdiev Babadzhanov")</f>
        <v>Mehdi Hamdiev Babadzhanov</v>
      </c>
      <c r="E58" s="7" t="str">
        <f>IFERROR(__xludf.DUMMYFUNCTION("""COMPUTED_VALUE"""),"SBI-code: 4120 - Algemene burgerlijke en utiliteitsbouw")</f>
        <v>SBI-code: 4120 - Algemene burgerlijke en utiliteitsbouw</v>
      </c>
      <c r="F58" s="7" t="str">
        <f>IFERROR(__xludf.DUMMYFUNCTION("""COMPUTED_VALUE"""),"0621345253")</f>
        <v>0621345253</v>
      </c>
      <c r="G58" s="6" t="str">
        <f>IFERROR(__xludf.DUMMYFUNCTION("""COMPUTED_VALUE"""),"mehdi.babadjanov@abv.bg")</f>
        <v>mehdi.babadjanov@abv.bg</v>
      </c>
      <c r="H58" s="6" t="str">
        <f>IFERROR(__xludf.DUMMYFUNCTION("""COMPUTED_VALUE"""),"Linnaeusstraat 149")</f>
        <v>Linnaeusstraat 149</v>
      </c>
      <c r="I58" s="6" t="str">
        <f>IFERROR(__xludf.DUMMYFUNCTION("""COMPUTED_VALUE"""),"2522GJ")</f>
        <v>2522GJ</v>
      </c>
      <c r="J58" s="6" t="str">
        <f>IFERROR(__xludf.DUMMYFUNCTION("""COMPUTED_VALUE"""),"s-Gravenhage")</f>
        <v>s-Gravenhage</v>
      </c>
      <c r="K58" s="6" t="str">
        <f>IFERROR(__xludf.DUMMYFUNCTION("""COMPUTED_VALUE"""),"Nederland")</f>
        <v>Nederland</v>
      </c>
      <c r="L58" s="6" t="str">
        <f>IFERROR(__xludf.DUMMYFUNCTION("""COMPUTED_VALUE"""),"Бабаджанов")</f>
        <v>Бабаджанов</v>
      </c>
      <c r="M58" s="8">
        <f>IFERROR(__xludf.DUMMYFUNCTION("""COMPUTED_VALUE"""),44060.0)</f>
        <v>44060</v>
      </c>
      <c r="N58" s="6" t="str">
        <f>IFERROR(__xludf.DUMMYFUNCTION("""COMPUTED_VALUE"""),"NL508637922B01")</f>
        <v>NL508637922B01</v>
      </c>
      <c r="O58" s="6">
        <f>IFERROR(__xludf.DUMMYFUNCTION("""COMPUTED_VALUE"""),8.0224636E7)</f>
        <v>80224636</v>
      </c>
      <c r="P58" s="6" t="str">
        <f>IFERROR(__xludf.DUMMYFUNCTION("""COMPUTED_VALUE"""),"NL62SNSB0339633581")</f>
        <v>NL62SNSB0339633581</v>
      </c>
      <c r="Q58" s="9">
        <f>IFERROR(__xludf.DUMMYFUNCTION("""COMPUTED_VALUE"""),44060.0)</f>
        <v>44060</v>
      </c>
      <c r="R58" s="6"/>
      <c r="S58" s="6" t="str">
        <f>IFERROR(__xludf.DUMMYFUNCTION("""COMPUTED_VALUE"""),"NL003409266B10")</f>
        <v>NL003409266B10</v>
      </c>
      <c r="T58" s="6">
        <f>IFERROR(__xludf.DUMMYFUNCTION("""COMPUTED_VALUE"""),5.08637922E8)</f>
        <v>508637922</v>
      </c>
      <c r="U58" s="7" t="str">
        <f>IFERROR(__xludf.DUMMYFUNCTION("""COMPUTED_VALUE"""),"Eenmanszaak")</f>
        <v>Eenmanszaak</v>
      </c>
      <c r="V58" s="7" t="str">
        <f>IFERROR(__xludf.DUMMYFUNCTION("""COMPUTED_VALUE"""),"000046591370")</f>
        <v>000046591370</v>
      </c>
      <c r="W58" s="6" t="str">
        <f>IFERROR(__xludf.DUMMYFUNCTION("""COMPUTED_VALUE"""),"ink.babadzhanov.2288aa@zarabota.nl")</f>
        <v>ink.babadzhanov.2288aa@zarabota.nl</v>
      </c>
      <c r="X58" s="6" t="str">
        <f>IFERROR(__xludf.DUMMYFUNCTION("""COMPUTED_VALUE"""),"ver.babadzhanov.2288aa@zarabota.nl")</f>
        <v>ver.babadzhanov.2288aa@zarabota.nl</v>
      </c>
      <c r="Y58" s="6" t="str">
        <f>IFERROR(__xludf.DUMMYFUNCTION("""COMPUTED_VALUE"""),"Hr.")</f>
        <v>Hr.</v>
      </c>
      <c r="Z58" s="6" t="str">
        <f>IFERROR(__xludf.DUMMYFUNCTION("""COMPUTED_VALUE"""),"Mehdi Hamdiev")</f>
        <v>Mehdi Hamdiev</v>
      </c>
      <c r="AA58" s="6" t="str">
        <f>IFERROR(__xludf.DUMMYFUNCTION("""COMPUTED_VALUE"""),"Babadzhanov")</f>
        <v>Babadzhanov</v>
      </c>
      <c r="AB58" s="6" t="str">
        <f>IFERROR(__xludf.DUMMYFUNCTION("""COMPUTED_VALUE"""),"M.H.")</f>
        <v>M.H.</v>
      </c>
      <c r="AC58" s="6">
        <f>IFERROR(__xludf.DUMMYFUNCTION("""COMPUTED_VALUE"""),5.08637922E8)</f>
        <v>508637922</v>
      </c>
      <c r="AD58" s="9">
        <f>IFERROR(__xludf.DUMMYFUNCTION("""COMPUTED_VALUE"""),36389.0)</f>
        <v>36389</v>
      </c>
      <c r="AE58" s="6" t="str">
        <f>IFERROR(__xludf.DUMMYFUNCTION("""COMPUTED_VALUE"""),"bg")</f>
        <v>bg</v>
      </c>
      <c r="AF58" s="6" t="str">
        <f>IFERROR(__xludf.DUMMYFUNCTION("""COMPUTED_VALUE"""),"Smolyan")</f>
        <v>Smolyan</v>
      </c>
      <c r="AG58" s="6" t="str">
        <f>IFERROR(__xludf.DUMMYFUNCTION("""COMPUTED_VALUE"""),"Hr. M.H. Babadzhanov")</f>
        <v>Hr. M.H. Babadzhanov</v>
      </c>
      <c r="AH58" s="6" t="str">
        <f>IFERROR(__xludf.DUMMYFUNCTION("""COMPUTED_VALUE"""),"NL69SNSB03394178242")</f>
        <v>NL69SNSB03394178242</v>
      </c>
      <c r="AI58" s="6"/>
      <c r="AJ58" s="6"/>
      <c r="AK58" s="6">
        <f>IFERROR(__xludf.DUMMYFUNCTION("""COMPUTED_VALUE"""),6.47528708E8)</f>
        <v>647528708</v>
      </c>
      <c r="AL58" s="9">
        <f>IFERROR(__xludf.DUMMYFUNCTION("""COMPUTED_VALUE"""),46838.0)</f>
        <v>46838</v>
      </c>
      <c r="AM58" s="6" t="str">
        <f>IFERROR(__xludf.DUMMYFUNCTION("""COMPUTED_VALUE"""),"Bulgarije")</f>
        <v>Bulgarije</v>
      </c>
      <c r="AN58" s="6" t="str">
        <f>IFERROR(__xludf.DUMMYFUNCTION("""COMPUTED_VALUE"""),"Mehdi Hamdiev Babadzhanov")</f>
        <v>Mehdi Hamdiev Babadzhanov</v>
      </c>
      <c r="AO58" s="6"/>
    </row>
    <row r="59">
      <c r="A59" s="6" t="str">
        <f>IFERROR(__xludf.DUMMYFUNCTION("""COMPUTED_VALUE"""),"Beauty Secret by Tatiana")</f>
        <v>Beauty Secret by Tatiana</v>
      </c>
      <c r="B59" s="6" t="str">
        <f>IFERROR(__xludf.DUMMYFUNCTION("""COMPUTED_VALUE"""),"Beauty Secret by Tatiana")</f>
        <v>Beauty Secret by Tatiana</v>
      </c>
      <c r="C59" s="6">
        <f>IFERROR(__xludf.DUMMYFUNCTION("""COMPUTED_VALUE"""),1686.0)</f>
        <v>1686</v>
      </c>
      <c r="D59" s="7" t="str">
        <f>IFERROR(__xludf.DUMMYFUNCTION("""COMPUTED_VALUE"""),"Tetiana Adamovych")</f>
        <v>Tetiana Adamovych</v>
      </c>
      <c r="E59" s="7" t="str">
        <f>IFERROR(__xludf.DUMMYFUNCTION("""COMPUTED_VALUE"""),"SBI-code: 4120 - Algemene burgerlijke en utiliteitsbouw")</f>
        <v>SBI-code: 4120 - Algemene burgerlijke en utiliteitsbouw</v>
      </c>
      <c r="F59" s="7" t="str">
        <f>IFERROR(__xludf.DUMMYFUNCTION("""COMPUTED_VALUE"""),"0628706549")</f>
        <v>0628706549</v>
      </c>
      <c r="G59" s="6" t="str">
        <f>IFERROR(__xludf.DUMMYFUNCTION("""COMPUTED_VALUE"""),"beautysecretbytatiana@gmail.com")</f>
        <v>beautysecretbytatiana@gmail.com</v>
      </c>
      <c r="H59" s="6" t="str">
        <f>IFERROR(__xludf.DUMMYFUNCTION("""COMPUTED_VALUE"""),"Spuiweg 8")</f>
        <v>Spuiweg 8</v>
      </c>
      <c r="I59" s="6" t="str">
        <f>IFERROR(__xludf.DUMMYFUNCTION("""COMPUTED_VALUE"""),"3311GV")</f>
        <v>3311GV</v>
      </c>
      <c r="J59" s="6" t="str">
        <f>IFERROR(__xludf.DUMMYFUNCTION("""COMPUTED_VALUE"""),"Dordrecht")</f>
        <v>Dordrecht</v>
      </c>
      <c r="K59" s="6" t="str">
        <f>IFERROR(__xludf.DUMMYFUNCTION("""COMPUTED_VALUE"""),"Nederland")</f>
        <v>Nederland</v>
      </c>
      <c r="L59" s="6" t="str">
        <f>IFERROR(__xludf.DUMMYFUNCTION("""COMPUTED_VALUE"""),"Адамович")</f>
        <v>Адамович</v>
      </c>
      <c r="M59" s="8">
        <f>IFERROR(__xludf.DUMMYFUNCTION("""COMPUTED_VALUE"""),45658.0)</f>
        <v>45658</v>
      </c>
      <c r="N59" s="6" t="str">
        <f>IFERROR(__xludf.DUMMYFUNCTION("""COMPUTED_VALUE"""),"NL646641402B01")</f>
        <v>NL646641402B01</v>
      </c>
      <c r="O59" s="6">
        <f>IFERROR(__xludf.DUMMYFUNCTION("""COMPUTED_VALUE"""),8.8056333E7)</f>
        <v>88056333</v>
      </c>
      <c r="P59" s="6" t="str">
        <f>IFERROR(__xludf.DUMMYFUNCTION("""COMPUTED_VALUE"""),"NL18INGB0398333882")</f>
        <v>NL18INGB0398333882</v>
      </c>
      <c r="Q59" s="9">
        <f>IFERROR(__xludf.DUMMYFUNCTION("""COMPUTED_VALUE"""),44866.0)</f>
        <v>44866</v>
      </c>
      <c r="R59" s="6"/>
      <c r="S59" s="6" t="str">
        <f>IFERROR(__xludf.DUMMYFUNCTION("""COMPUTED_VALUE"""),"NL004531088B51")</f>
        <v>NL004531088B51</v>
      </c>
      <c r="T59" s="6">
        <f>IFERROR(__xludf.DUMMYFUNCTION("""COMPUTED_VALUE"""),6.46641402E8)</f>
        <v>646641402</v>
      </c>
      <c r="U59" s="7" t="str">
        <f>IFERROR(__xludf.DUMMYFUNCTION("""COMPUTED_VALUE"""),"Eenmanszaak")</f>
        <v>Eenmanszaak</v>
      </c>
      <c r="V59" s="7" t="str">
        <f>IFERROR(__xludf.DUMMYFUNCTION("""COMPUTED_VALUE"""),"000053941381")</f>
        <v>000053941381</v>
      </c>
      <c r="W59" s="6" t="str">
        <f>IFERROR(__xludf.DUMMYFUNCTION("""COMPUTED_VALUE"""),"ink.beautysecret.2288aa@zarabota.nl")</f>
        <v>ink.beautysecret.2288aa@zarabota.nl</v>
      </c>
      <c r="X59" s="6" t="str">
        <f>IFERROR(__xludf.DUMMYFUNCTION("""COMPUTED_VALUE"""),"ver.beautysecret.2288aa@zarabota.nl")</f>
        <v>ver.beautysecret.2288aa@zarabota.nl</v>
      </c>
      <c r="Y59" s="6" t="str">
        <f>IFERROR(__xludf.DUMMYFUNCTION("""COMPUTED_VALUE"""),"Mw.")</f>
        <v>Mw.</v>
      </c>
      <c r="Z59" s="6" t="str">
        <f>IFERROR(__xludf.DUMMYFUNCTION("""COMPUTED_VALUE"""),"Tetiana")</f>
        <v>Tetiana</v>
      </c>
      <c r="AA59" s="6" t="str">
        <f>IFERROR(__xludf.DUMMYFUNCTION("""COMPUTED_VALUE"""),"Adamovych")</f>
        <v>Adamovych</v>
      </c>
      <c r="AB59" s="6" t="str">
        <f>IFERROR(__xludf.DUMMYFUNCTION("""COMPUTED_VALUE"""),"T.")</f>
        <v>T.</v>
      </c>
      <c r="AC59" s="6">
        <f>IFERROR(__xludf.DUMMYFUNCTION("""COMPUTED_VALUE"""),6.46641402E8)</f>
        <v>646641402</v>
      </c>
      <c r="AD59" s="9">
        <f>IFERROR(__xludf.DUMMYFUNCTION("""COMPUTED_VALUE"""),32332.0)</f>
        <v>32332</v>
      </c>
      <c r="AE59" s="6" t="str">
        <f>IFERROR(__xludf.DUMMYFUNCTION("""COMPUTED_VALUE"""),"bg")</f>
        <v>bg</v>
      </c>
      <c r="AF59" s="6" t="str">
        <f>IFERROR(__xludf.DUMMYFUNCTION("""COMPUTED_VALUE"""),"Киев")</f>
        <v>Киев</v>
      </c>
      <c r="AG59" s="6" t="str">
        <f>IFERROR(__xludf.DUMMYFUNCTION("""COMPUTED_VALUE"""),"Mw. T. Adamovych")</f>
        <v>Mw. T. Adamovych</v>
      </c>
      <c r="AH59" s="6"/>
      <c r="AI59" s="9">
        <f>IFERROR(__xludf.DUMMYFUNCTION("""COMPUTED_VALUE"""),44657.0)</f>
        <v>44657</v>
      </c>
      <c r="AJ59" s="6" t="str">
        <f>IFERROR(__xludf.DUMMYFUNCTION("""COMPUTED_VALUE"""),"Paspoort")</f>
        <v>Paspoort</v>
      </c>
      <c r="AK59" s="6" t="str">
        <f>IFERROR(__xludf.DUMMYFUNCTION("""COMPUTED_VALUE"""),"FP107671")</f>
        <v>FP107671</v>
      </c>
      <c r="AL59" s="9">
        <f>IFERROR(__xludf.DUMMYFUNCTION("""COMPUTED_VALUE"""),46911.0)</f>
        <v>46911</v>
      </c>
      <c r="AM59" s="6" t="str">
        <f>IFERROR(__xludf.DUMMYFUNCTION("""COMPUTED_VALUE"""),"Oekraïne")</f>
        <v>Oekraïne</v>
      </c>
      <c r="AN59" s="6" t="str">
        <f>IFERROR(__xludf.DUMMYFUNCTION("""COMPUTED_VALUE"""),"Tetiana Adamovych")</f>
        <v>Tetiana Adamovych</v>
      </c>
      <c r="AO59" s="6">
        <f>IFERROR(__xludf.DUMMYFUNCTION("""COMPUTED_VALUE"""),1686.0)</f>
        <v>1686</v>
      </c>
    </row>
    <row r="60">
      <c r="A60" s="6" t="str">
        <f>IFERROR(__xludf.DUMMYFUNCTION("""COMPUTED_VALUE"""),"Beko Market")</f>
        <v>Beko Market</v>
      </c>
      <c r="B60" s="6" t="str">
        <f>IFERROR(__xludf.DUMMYFUNCTION("""COMPUTED_VALUE"""),"Beko Market")</f>
        <v>Beko Market</v>
      </c>
      <c r="C60" s="6">
        <f>IFERROR(__xludf.DUMMYFUNCTION("""COMPUTED_VALUE"""),431.0)</f>
        <v>431</v>
      </c>
      <c r="D60" s="7" t="str">
        <f>IFERROR(__xludf.DUMMYFUNCTION("""COMPUTED_VALUE"""),"Beyhan Hasan Hyusein")</f>
        <v>Beyhan Hasan Hyusein</v>
      </c>
      <c r="E60" s="7" t="str">
        <f>IFERROR(__xludf.DUMMYFUNCTION("""COMPUTED_VALUE"""),"SBI-code: 4120 - Algemene burgerlijke en utiliteitsbouw")</f>
        <v>SBI-code: 4120 - Algemene burgerlijke en utiliteitsbouw</v>
      </c>
      <c r="F60" s="7" t="str">
        <f>IFERROR(__xludf.DUMMYFUNCTION("""COMPUTED_VALUE"""),"0611148764")</f>
        <v>0611148764</v>
      </c>
      <c r="G60" s="6" t="str">
        <f>IFERROR(__xludf.DUMMYFUNCTION("""COMPUTED_VALUE"""),"beihan_12@abv.bg")</f>
        <v>beihan_12@abv.bg</v>
      </c>
      <c r="H60" s="6" t="str">
        <f>IFERROR(__xludf.DUMMYFUNCTION("""COMPUTED_VALUE"""),"Delftselaan 95")</f>
        <v>Delftselaan 95</v>
      </c>
      <c r="I60" s="6" t="str">
        <f>IFERROR(__xludf.DUMMYFUNCTION("""COMPUTED_VALUE"""),"2512RC")</f>
        <v>2512RC</v>
      </c>
      <c r="J60" s="6" t="str">
        <f>IFERROR(__xludf.DUMMYFUNCTION("""COMPUTED_VALUE"""),"s-Gravenhage")</f>
        <v>s-Gravenhage</v>
      </c>
      <c r="K60" s="6" t="str">
        <f>IFERROR(__xludf.DUMMYFUNCTION("""COMPUTED_VALUE"""),"Nederland")</f>
        <v>Nederland</v>
      </c>
      <c r="L60" s="6" t="str">
        <f>IFERROR(__xludf.DUMMYFUNCTION("""COMPUTED_VALUE"""),"Хюсеин")</f>
        <v>Хюсеин</v>
      </c>
      <c r="M60" s="8">
        <f>IFERROR(__xludf.DUMMYFUNCTION("""COMPUTED_VALUE"""),42949.0)</f>
        <v>42949</v>
      </c>
      <c r="N60" s="6" t="str">
        <f>IFERROR(__xludf.DUMMYFUNCTION("""COMPUTED_VALUE"""),"NL397816194B01")</f>
        <v>NL397816194B01</v>
      </c>
      <c r="O60" s="6">
        <f>IFERROR(__xludf.DUMMYFUNCTION("""COMPUTED_VALUE"""),6.9357854E7)</f>
        <v>69357854</v>
      </c>
      <c r="P60" s="6" t="str">
        <f>IFERROR(__xludf.DUMMYFUNCTION("""COMPUTED_VALUE"""),"NL12INGB0007945947")</f>
        <v>NL12INGB0007945947</v>
      </c>
      <c r="Q60" s="9">
        <f>IFERROR(__xludf.DUMMYFUNCTION("""COMPUTED_VALUE"""),42949.0)</f>
        <v>42949</v>
      </c>
      <c r="R60" s="6"/>
      <c r="S60" s="6" t="str">
        <f>IFERROR(__xludf.DUMMYFUNCTION("""COMPUTED_VALUE"""),"NL002477801B67")</f>
        <v>NL002477801B67</v>
      </c>
      <c r="T60" s="6">
        <f>IFERROR(__xludf.DUMMYFUNCTION("""COMPUTED_VALUE"""),3.97816194E8)</f>
        <v>397816194</v>
      </c>
      <c r="U60" s="7" t="str">
        <f>IFERROR(__xludf.DUMMYFUNCTION("""COMPUTED_VALUE"""),"Eenmanszaak")</f>
        <v>Eenmanszaak</v>
      </c>
      <c r="V60" s="7" t="str">
        <f>IFERROR(__xludf.DUMMYFUNCTION("""COMPUTED_VALUE"""),"000037714341")</f>
        <v>000037714341</v>
      </c>
      <c r="W60" s="6" t="str">
        <f>IFERROR(__xludf.DUMMYFUNCTION("""COMPUTED_VALUE"""),"ink.bekomarket.2288aa@zarabota.nl")</f>
        <v>ink.bekomarket.2288aa@zarabota.nl</v>
      </c>
      <c r="X60" s="6" t="str">
        <f>IFERROR(__xludf.DUMMYFUNCTION("""COMPUTED_VALUE"""),"ver.bekomarket.2288aa@zarabota.nl")</f>
        <v>ver.bekomarket.2288aa@zarabota.nl</v>
      </c>
      <c r="Y60" s="6" t="str">
        <f>IFERROR(__xludf.DUMMYFUNCTION("""COMPUTED_VALUE"""),"Hr.")</f>
        <v>Hr.</v>
      </c>
      <c r="Z60" s="6" t="str">
        <f>IFERROR(__xludf.DUMMYFUNCTION("""COMPUTED_VALUE"""),"Beyhan Hasan")</f>
        <v>Beyhan Hasan</v>
      </c>
      <c r="AA60" s="6" t="str">
        <f>IFERROR(__xludf.DUMMYFUNCTION("""COMPUTED_VALUE"""),"Hyusein")</f>
        <v>Hyusein</v>
      </c>
      <c r="AB60" s="6" t="str">
        <f>IFERROR(__xludf.DUMMYFUNCTION("""COMPUTED_VALUE"""),"B.H.")</f>
        <v>B.H.</v>
      </c>
      <c r="AC60" s="6">
        <f>IFERROR(__xludf.DUMMYFUNCTION("""COMPUTED_VALUE"""),3.97816194E8)</f>
        <v>397816194</v>
      </c>
      <c r="AD60" s="9">
        <f>IFERROR(__xludf.DUMMYFUNCTION("""COMPUTED_VALUE"""),33525.0)</f>
        <v>33525</v>
      </c>
      <c r="AE60" s="6" t="str">
        <f>IFERROR(__xludf.DUMMYFUNCTION("""COMPUTED_VALUE"""),"bg")</f>
        <v>bg</v>
      </c>
      <c r="AF60" s="6" t="str">
        <f>IFERROR(__xludf.DUMMYFUNCTION("""COMPUTED_VALUE"""),"Omurtag")</f>
        <v>Omurtag</v>
      </c>
      <c r="AG60" s="6" t="str">
        <f>IFERROR(__xludf.DUMMYFUNCTION("""COMPUTED_VALUE"""),"Hr. B.H. Hyusein")</f>
        <v>Hr. B.H. Hyusein</v>
      </c>
      <c r="AH60" s="6"/>
      <c r="AI60" s="6"/>
      <c r="AJ60" s="6"/>
      <c r="AK60" s="6"/>
      <c r="AL60" s="6"/>
      <c r="AM60" s="6"/>
      <c r="AN60" s="6" t="str">
        <f>IFERROR(__xludf.DUMMYFUNCTION("""COMPUTED_VALUE"""),"Beyhan Hasan Hyusein")</f>
        <v>Beyhan Hasan Hyusein</v>
      </c>
      <c r="AO60" s="6"/>
    </row>
    <row r="61">
      <c r="A61" s="6" t="str">
        <f>IFERROR(__xludf.DUMMYFUNCTION("""COMPUTED_VALUE"""),"Belkis Schoonmaak")</f>
        <v>Belkis Schoonmaak</v>
      </c>
      <c r="B61" s="6" t="str">
        <f>IFERROR(__xludf.DUMMYFUNCTION("""COMPUTED_VALUE"""),"Belkis Schoonmaak - KOR")</f>
        <v>Belkis Schoonmaak - KOR</v>
      </c>
      <c r="C61" s="6">
        <f>IFERROR(__xludf.DUMMYFUNCTION("""COMPUTED_VALUE"""),37.0)</f>
        <v>37</v>
      </c>
      <c r="D61" s="7" t="str">
        <f>IFERROR(__xludf.DUMMYFUNCTION("""COMPUTED_VALUE"""),"Zvezdalina Georgieva Filipova")</f>
        <v>Zvezdalina Georgieva Filipova</v>
      </c>
      <c r="E61" s="7" t="str">
        <f>IFERROR(__xludf.DUMMYFUNCTION("""COMPUTED_VALUE"""),"SBI-code: 4120 - Algemene burgerlijke en utiliteitsbouw")</f>
        <v>SBI-code: 4120 - Algemene burgerlijke en utiliteitsbouw</v>
      </c>
      <c r="F61" s="7" t="str">
        <f>IFERROR(__xludf.DUMMYFUNCTION("""COMPUTED_VALUE"""),"0644042494")</f>
        <v>0644042494</v>
      </c>
      <c r="G61" s="6" t="str">
        <f>IFERROR(__xludf.DUMMYFUNCTION("""COMPUTED_VALUE"""),"belkisschoonmaak@gmail.com")</f>
        <v>belkisschoonmaak@gmail.com</v>
      </c>
      <c r="H61" s="6" t="str">
        <f>IFERROR(__xludf.DUMMYFUNCTION("""COMPUTED_VALUE"""),"Maasstraat 131")</f>
        <v>Maasstraat 131</v>
      </c>
      <c r="I61" s="6" t="str">
        <f>IFERROR(__xludf.DUMMYFUNCTION("""COMPUTED_VALUE"""),"2515 DC")</f>
        <v>2515 DC</v>
      </c>
      <c r="J61" s="6" t="str">
        <f>IFERROR(__xludf.DUMMYFUNCTION("""COMPUTED_VALUE"""),"s-Gravenhage")</f>
        <v>s-Gravenhage</v>
      </c>
      <c r="K61" s="6" t="str">
        <f>IFERROR(__xludf.DUMMYFUNCTION("""COMPUTED_VALUE"""),"Nederland")</f>
        <v>Nederland</v>
      </c>
      <c r="L61" s="6" t="str">
        <f>IFERROR(__xludf.DUMMYFUNCTION("""COMPUTED_VALUE"""),"Филипова")</f>
        <v>Филипова</v>
      </c>
      <c r="M61" s="8">
        <f>IFERROR(__xludf.DUMMYFUNCTION("""COMPUTED_VALUE"""),43175.0)</f>
        <v>43175</v>
      </c>
      <c r="N61" s="6" t="str">
        <f>IFERROR(__xludf.DUMMYFUNCTION("""COMPUTED_VALUE"""),"NL548653719B01")</f>
        <v>NL548653719B01</v>
      </c>
      <c r="O61" s="6">
        <f>IFERROR(__xludf.DUMMYFUNCTION("""COMPUTED_VALUE"""),5.7678839E7)</f>
        <v>57678839</v>
      </c>
      <c r="P61" s="6" t="str">
        <f>IFERROR(__xludf.DUMMYFUNCTION("""COMPUTED_VALUE"""),"NL62INGB0007875692")</f>
        <v>NL62INGB0007875692</v>
      </c>
      <c r="Q61" s="9">
        <f>IFERROR(__xludf.DUMMYFUNCTION("""COMPUTED_VALUE"""),41373.0)</f>
        <v>41373</v>
      </c>
      <c r="R61" s="6"/>
      <c r="S61" s="6" t="str">
        <f>IFERROR(__xludf.DUMMYFUNCTION("""COMPUTED_VALUE"""),"NL002498851B58")</f>
        <v>NL002498851B58</v>
      </c>
      <c r="T61" s="6">
        <f>IFERROR(__xludf.DUMMYFUNCTION("""COMPUTED_VALUE"""),5.48653719E8)</f>
        <v>548653719</v>
      </c>
      <c r="U61" s="7" t="str">
        <f>IFERROR(__xludf.DUMMYFUNCTION("""COMPUTED_VALUE"""),"Eenmanszaak")</f>
        <v>Eenmanszaak</v>
      </c>
      <c r="V61" s="7" t="str">
        <f>IFERROR(__xludf.DUMMYFUNCTION("""COMPUTED_VALUE"""),"000027096416")</f>
        <v>000027096416</v>
      </c>
      <c r="W61" s="6" t="str">
        <f>IFERROR(__xludf.DUMMYFUNCTION("""COMPUTED_VALUE"""),"ink.belkisschoonmaak.2288aa@zarabota.nl")</f>
        <v>ink.belkisschoonmaak.2288aa@zarabota.nl</v>
      </c>
      <c r="X61" s="6" t="str">
        <f>IFERROR(__xludf.DUMMYFUNCTION("""COMPUTED_VALUE"""),"ver.belkisschoonmaak.2288aa@zarabota.nl")</f>
        <v>ver.belkisschoonmaak.2288aa@zarabota.nl</v>
      </c>
      <c r="Y61" s="6" t="str">
        <f>IFERROR(__xludf.DUMMYFUNCTION("""COMPUTED_VALUE"""),"Mw.")</f>
        <v>Mw.</v>
      </c>
      <c r="Z61" s="6" t="str">
        <f>IFERROR(__xludf.DUMMYFUNCTION("""COMPUTED_VALUE"""),"Zvezdalina Georgieva")</f>
        <v>Zvezdalina Georgieva</v>
      </c>
      <c r="AA61" s="6" t="str">
        <f>IFERROR(__xludf.DUMMYFUNCTION("""COMPUTED_VALUE"""),"Filipova")</f>
        <v>Filipova</v>
      </c>
      <c r="AB61" s="6" t="str">
        <f>IFERROR(__xludf.DUMMYFUNCTION("""COMPUTED_VALUE"""),"Z.G.")</f>
        <v>Z.G.</v>
      </c>
      <c r="AC61" s="6">
        <f>IFERROR(__xludf.DUMMYFUNCTION("""COMPUTED_VALUE"""),5.48653719E8)</f>
        <v>548653719</v>
      </c>
      <c r="AD61" s="9">
        <f>IFERROR(__xludf.DUMMYFUNCTION("""COMPUTED_VALUE"""),23337.0)</f>
        <v>23337</v>
      </c>
      <c r="AE61" s="6" t="str">
        <f>IFERROR(__xludf.DUMMYFUNCTION("""COMPUTED_VALUE"""),"bg")</f>
        <v>bg</v>
      </c>
      <c r="AF61" s="6" t="str">
        <f>IFERROR(__xludf.DUMMYFUNCTION("""COMPUTED_VALUE"""),"Kubrat")</f>
        <v>Kubrat</v>
      </c>
      <c r="AG61" s="6" t="str">
        <f>IFERROR(__xludf.DUMMYFUNCTION("""COMPUTED_VALUE"""),"Mw. Z.G. Filipova")</f>
        <v>Mw. Z.G. Filipova</v>
      </c>
      <c r="AH61" s="6" t="str">
        <f>IFERROR(__xludf.DUMMYFUNCTION("""COMPUTED_VALUE"""),"NL46INGB0005629654")</f>
        <v>NL46INGB0005629654</v>
      </c>
      <c r="AI61" s="6"/>
      <c r="AJ61" s="6"/>
      <c r="AK61" s="6"/>
      <c r="AL61" s="6"/>
      <c r="AM61" s="6"/>
      <c r="AN61" s="6" t="str">
        <f>IFERROR(__xludf.DUMMYFUNCTION("""COMPUTED_VALUE"""),"Zvezdalina Georgieva Filipova")</f>
        <v>Zvezdalina Georgieva Filipova</v>
      </c>
      <c r="AO61" s="6"/>
    </row>
    <row r="62">
      <c r="A62" s="6" t="str">
        <f>IFERROR(__xludf.DUMMYFUNCTION("""COMPUTED_VALUE"""),"BENEDUKT REPARATIE")</f>
        <v>BENEDUKT REPARATIE</v>
      </c>
      <c r="B62" s="6" t="str">
        <f>IFERROR(__xludf.DUMMYFUNCTION("""COMPUTED_VALUE"""),"BENEDUKT REPARATIE")</f>
        <v>BENEDUKT REPARATIE</v>
      </c>
      <c r="C62" s="6">
        <f>IFERROR(__xludf.DUMMYFUNCTION("""COMPUTED_VALUE"""),1695.0)</f>
        <v>1695</v>
      </c>
      <c r="D62" s="7" t="str">
        <f>IFERROR(__xludf.DUMMYFUNCTION("""COMPUTED_VALUE"""),"Yulian Yaroshuk")</f>
        <v>Yulian Yaroshuk</v>
      </c>
      <c r="E62" s="7" t="str">
        <f>IFERROR(__xludf.DUMMYFUNCTION("""COMPUTED_VALUE"""),"SBI-code: 4120 - Algemene burgerlijke en utiliteitsbouw")</f>
        <v>SBI-code: 4120 - Algemene burgerlijke en utiliteitsbouw</v>
      </c>
      <c r="F62" s="7" t="str">
        <f>IFERROR(__xludf.DUMMYFUNCTION("""COMPUTED_VALUE"""),"0614229188")</f>
        <v>0614229188</v>
      </c>
      <c r="G62" s="6" t="str">
        <f>IFERROR(__xludf.DUMMYFUNCTION("""COMPUTED_VALUE"""),"benedukt93@gmail.com")</f>
        <v>benedukt93@gmail.com</v>
      </c>
      <c r="H62" s="6" t="str">
        <f>IFERROR(__xludf.DUMMYFUNCTION("""COMPUTED_VALUE"""),"Ds van den Boschlaan 55")</f>
        <v>Ds van den Boschlaan 55</v>
      </c>
      <c r="I62" s="6" t="str">
        <f>IFERROR(__xludf.DUMMYFUNCTION("""COMPUTED_VALUE"""),"2286PB")</f>
        <v>2286PB</v>
      </c>
      <c r="J62" s="6" t="str">
        <f>IFERROR(__xludf.DUMMYFUNCTION("""COMPUTED_VALUE"""),"Rijswijk")</f>
        <v>Rijswijk</v>
      </c>
      <c r="K62" s="6" t="str">
        <f>IFERROR(__xludf.DUMMYFUNCTION("""COMPUTED_VALUE"""),"Nederland")</f>
        <v>Nederland</v>
      </c>
      <c r="L62" s="6" t="str">
        <f>IFERROR(__xludf.DUMMYFUNCTION("""COMPUTED_VALUE"""),"Ярошук")</f>
        <v>Ярошук</v>
      </c>
      <c r="M62" s="8">
        <f>IFERROR(__xludf.DUMMYFUNCTION("""COMPUTED_VALUE"""),45766.0)</f>
        <v>45766</v>
      </c>
      <c r="N62" s="6" t="str">
        <f>IFERROR(__xludf.DUMMYFUNCTION("""COMPUTED_VALUE"""),"NL384009207B02")</f>
        <v>NL384009207B02</v>
      </c>
      <c r="O62" s="6">
        <f>IFERROR(__xludf.DUMMYFUNCTION("""COMPUTED_VALUE"""),8.9972287E7)</f>
        <v>89972287</v>
      </c>
      <c r="P62" s="6" t="str">
        <f>IFERROR(__xludf.DUMMYFUNCTION("""COMPUTED_VALUE"""),"NL76INGB0100633145")</f>
        <v>NL76INGB0100633145</v>
      </c>
      <c r="Q62" s="9">
        <f>IFERROR(__xludf.DUMMYFUNCTION("""COMPUTED_VALUE"""),45035.0)</f>
        <v>45035</v>
      </c>
      <c r="R62" s="6"/>
      <c r="S62" s="6" t="str">
        <f>IFERROR(__xludf.DUMMYFUNCTION("""COMPUTED_VALUE"""),"NL004777600B27")</f>
        <v>NL004777600B27</v>
      </c>
      <c r="T62" s="6">
        <f>IFERROR(__xludf.DUMMYFUNCTION("""COMPUTED_VALUE"""),3.84009207E8)</f>
        <v>384009207</v>
      </c>
      <c r="U62" s="7" t="str">
        <f>IFERROR(__xludf.DUMMYFUNCTION("""COMPUTED_VALUE"""),"Eenmanszaak")</f>
        <v>Eenmanszaak</v>
      </c>
      <c r="V62" s="7" t="str">
        <f>IFERROR(__xludf.DUMMYFUNCTION("""COMPUTED_VALUE"""),"000055727026")</f>
        <v>000055727026</v>
      </c>
      <c r="W62" s="6" t="str">
        <f>IFERROR(__xludf.DUMMYFUNCTION("""COMPUTED_VALUE"""),"ink.benedukt.2288aa@zarabota.nl")</f>
        <v>ink.benedukt.2288aa@zarabota.nl</v>
      </c>
      <c r="X62" s="6" t="str">
        <f>IFERROR(__xludf.DUMMYFUNCTION("""COMPUTED_VALUE"""),"ver.benedukt.2288aa@zarabota.nl")</f>
        <v>ver.benedukt.2288aa@zarabota.nl</v>
      </c>
      <c r="Y62" s="6" t="str">
        <f>IFERROR(__xludf.DUMMYFUNCTION("""COMPUTED_VALUE"""),"Hr.")</f>
        <v>Hr.</v>
      </c>
      <c r="Z62" s="6" t="str">
        <f>IFERROR(__xludf.DUMMYFUNCTION("""COMPUTED_VALUE"""),"Yulian")</f>
        <v>Yulian</v>
      </c>
      <c r="AA62" s="6" t="str">
        <f>IFERROR(__xludf.DUMMYFUNCTION("""COMPUTED_VALUE"""),"Yaroshuk")</f>
        <v>Yaroshuk</v>
      </c>
      <c r="AB62" s="6" t="str">
        <f>IFERROR(__xludf.DUMMYFUNCTION("""COMPUTED_VALUE"""),"Y.")</f>
        <v>Y.</v>
      </c>
      <c r="AC62" s="6">
        <f>IFERROR(__xludf.DUMMYFUNCTION("""COMPUTED_VALUE"""),3.84009207E8)</f>
        <v>384009207</v>
      </c>
      <c r="AD62" s="9">
        <f>IFERROR(__xludf.DUMMYFUNCTION("""COMPUTED_VALUE"""),34216.0)</f>
        <v>34216</v>
      </c>
      <c r="AE62" s="6" t="str">
        <f>IFERROR(__xludf.DUMMYFUNCTION("""COMPUTED_VALUE"""),"bg")</f>
        <v>bg</v>
      </c>
      <c r="AF62" s="6" t="str">
        <f>IFERROR(__xludf.DUMMYFUNCTION("""COMPUTED_VALUE"""),"Volinska Oblast")</f>
        <v>Volinska Oblast</v>
      </c>
      <c r="AG62" s="6" t="str">
        <f>IFERROR(__xludf.DUMMYFUNCTION("""COMPUTED_VALUE"""),"Hr. Y. Yaroshuk")</f>
        <v>Hr. Y. Yaroshuk</v>
      </c>
      <c r="AH62" s="6"/>
      <c r="AI62" s="6"/>
      <c r="AJ62" s="6" t="str">
        <f>IFERROR(__xludf.DUMMYFUNCTION("""COMPUTED_VALUE"""),"Paspoort")</f>
        <v>Paspoort</v>
      </c>
      <c r="AK62" s="6" t="str">
        <f>IFERROR(__xludf.DUMMYFUNCTION("""COMPUTED_VALUE"""),"FF643965")</f>
        <v>FF643965</v>
      </c>
      <c r="AL62" s="9">
        <f>IFERROR(__xludf.DUMMYFUNCTION("""COMPUTED_VALUE"""),46427.0)</f>
        <v>46427</v>
      </c>
      <c r="AM62" s="6" t="str">
        <f>IFERROR(__xludf.DUMMYFUNCTION("""COMPUTED_VALUE"""),"Oekraïne")</f>
        <v>Oekraïne</v>
      </c>
      <c r="AN62" s="6" t="str">
        <f>IFERROR(__xludf.DUMMYFUNCTION("""COMPUTED_VALUE"""),"Yulian Yaroshuk")</f>
        <v>Yulian Yaroshuk</v>
      </c>
      <c r="AO62" s="6">
        <f>IFERROR(__xludf.DUMMYFUNCTION("""COMPUTED_VALUE"""),1695.0)</f>
        <v>1695</v>
      </c>
    </row>
    <row r="63">
      <c r="A63" s="6" t="str">
        <f>IFERROR(__xludf.DUMMYFUNCTION("""COMPUTED_VALUE"""),"Beno 80")</f>
        <v>Beno 80</v>
      </c>
      <c r="B63" s="6" t="str">
        <f>IFERROR(__xludf.DUMMYFUNCTION("""COMPUTED_VALUE"""),"Beno 80")</f>
        <v>Beno 80</v>
      </c>
      <c r="C63" s="6">
        <f>IFERROR(__xludf.DUMMYFUNCTION("""COMPUTED_VALUE"""),725.0)</f>
        <v>725</v>
      </c>
      <c r="D63" s="7" t="str">
        <f>IFERROR(__xludf.DUMMYFUNCTION("""COMPUTED_VALUE"""),"Tihomir Benov Todorov")</f>
        <v>Tihomir Benov Todorov</v>
      </c>
      <c r="E63" s="7" t="str">
        <f>IFERROR(__xludf.DUMMYFUNCTION("""COMPUTED_VALUE"""),"SBI-code: 4120 - Algemene burgerlijke en utiliteitsbouw")</f>
        <v>SBI-code: 4120 - Algemene burgerlijke en utiliteitsbouw</v>
      </c>
      <c r="F63" s="7" t="str">
        <f>IFERROR(__xludf.DUMMYFUNCTION("""COMPUTED_VALUE"""),"0618345090")</f>
        <v>0618345090</v>
      </c>
      <c r="G63" s="6" t="str">
        <f>IFERROR(__xludf.DUMMYFUNCTION("""COMPUTED_VALUE"""),"vesanke76@gmail.com")</f>
        <v>vesanke76@gmail.com</v>
      </c>
      <c r="H63" s="6" t="str">
        <f>IFERROR(__xludf.DUMMYFUNCTION("""COMPUTED_VALUE"""),"Lyonnetstraat 49")</f>
        <v>Lyonnetstraat 49</v>
      </c>
      <c r="I63" s="6" t="str">
        <f>IFERROR(__xludf.DUMMYFUNCTION("""COMPUTED_VALUE"""),"2522NB")</f>
        <v>2522NB</v>
      </c>
      <c r="J63" s="6" t="str">
        <f>IFERROR(__xludf.DUMMYFUNCTION("""COMPUTED_VALUE"""),"s-Gravenhage")</f>
        <v>s-Gravenhage</v>
      </c>
      <c r="K63" s="6" t="str">
        <f>IFERROR(__xludf.DUMMYFUNCTION("""COMPUTED_VALUE"""),"Nederland")</f>
        <v>Nederland</v>
      </c>
      <c r="L63" s="6" t="str">
        <f>IFERROR(__xludf.DUMMYFUNCTION("""COMPUTED_VALUE"""),"Тодоров")</f>
        <v>Тодоров</v>
      </c>
      <c r="M63" s="8">
        <f>IFERROR(__xludf.DUMMYFUNCTION("""COMPUTED_VALUE"""),43466.0)</f>
        <v>43466</v>
      </c>
      <c r="N63" s="6" t="str">
        <f>IFERROR(__xludf.DUMMYFUNCTION("""COMPUTED_VALUE"""),"NL264235162B01")</f>
        <v>NL264235162B01</v>
      </c>
      <c r="O63" s="6">
        <f>IFERROR(__xludf.DUMMYFUNCTION("""COMPUTED_VALUE"""),7.3948608E7)</f>
        <v>73948608</v>
      </c>
      <c r="P63" s="6" t="str">
        <f>IFERROR(__xludf.DUMMYFUNCTION("""COMPUTED_VALUE"""),"NL72INGB0008976559")</f>
        <v>NL72INGB0008976559</v>
      </c>
      <c r="Q63" s="9">
        <f>IFERROR(__xludf.DUMMYFUNCTION("""COMPUTED_VALUE"""),43466.0)</f>
        <v>43466</v>
      </c>
      <c r="R63" s="6"/>
      <c r="S63" s="6" t="str">
        <f>IFERROR(__xludf.DUMMYFUNCTION("""COMPUTED_VALUE"""),"NL002455318B72")</f>
        <v>NL002455318B72</v>
      </c>
      <c r="T63" s="6">
        <f>IFERROR(__xludf.DUMMYFUNCTION("""COMPUTED_VALUE"""),2.64235162E8)</f>
        <v>264235162</v>
      </c>
      <c r="U63" s="7" t="str">
        <f>IFERROR(__xludf.DUMMYFUNCTION("""COMPUTED_VALUE"""),"Eenmanszaak")</f>
        <v>Eenmanszaak</v>
      </c>
      <c r="V63" s="7" t="str">
        <f>IFERROR(__xludf.DUMMYFUNCTION("""COMPUTED_VALUE"""),"000041942914")</f>
        <v>000041942914</v>
      </c>
      <c r="W63" s="6" t="str">
        <f>IFERROR(__xludf.DUMMYFUNCTION("""COMPUTED_VALUE"""),"ink.beno80.2288aa@zarabota.nl")</f>
        <v>ink.beno80.2288aa@zarabota.nl</v>
      </c>
      <c r="X63" s="6" t="str">
        <f>IFERROR(__xludf.DUMMYFUNCTION("""COMPUTED_VALUE"""),"ver.beno80.2288aa@zarabota.nl")</f>
        <v>ver.beno80.2288aa@zarabota.nl</v>
      </c>
      <c r="Y63" s="6" t="str">
        <f>IFERROR(__xludf.DUMMYFUNCTION("""COMPUTED_VALUE"""),"Hr.")</f>
        <v>Hr.</v>
      </c>
      <c r="Z63" s="6" t="str">
        <f>IFERROR(__xludf.DUMMYFUNCTION("""COMPUTED_VALUE"""),"Tihomir Benov")</f>
        <v>Tihomir Benov</v>
      </c>
      <c r="AA63" s="6" t="str">
        <f>IFERROR(__xludf.DUMMYFUNCTION("""COMPUTED_VALUE"""),"Todorov")</f>
        <v>Todorov</v>
      </c>
      <c r="AB63" s="6" t="str">
        <f>IFERROR(__xludf.DUMMYFUNCTION("""COMPUTED_VALUE"""),"T.B.")</f>
        <v>T.B.</v>
      </c>
      <c r="AC63" s="6">
        <f>IFERROR(__xludf.DUMMYFUNCTION("""COMPUTED_VALUE"""),2.64235162E8)</f>
        <v>264235162</v>
      </c>
      <c r="AD63" s="9">
        <f>IFERROR(__xludf.DUMMYFUNCTION("""COMPUTED_VALUE"""),29386.0)</f>
        <v>29386</v>
      </c>
      <c r="AE63" s="6" t="str">
        <f>IFERROR(__xludf.DUMMYFUNCTION("""COMPUTED_VALUE"""),"bg")</f>
        <v>bg</v>
      </c>
      <c r="AF63" s="6" t="str">
        <f>IFERROR(__xludf.DUMMYFUNCTION("""COMPUTED_VALUE"""),"Cherven Bryag")</f>
        <v>Cherven Bryag</v>
      </c>
      <c r="AG63" s="6" t="str">
        <f>IFERROR(__xludf.DUMMYFUNCTION("""COMPUTED_VALUE"""),"Hr. T.B. Todorov")</f>
        <v>Hr. T.B. Todorov</v>
      </c>
      <c r="AH63" s="6"/>
      <c r="AI63" s="6"/>
      <c r="AJ63" s="6"/>
      <c r="AK63" s="6"/>
      <c r="AL63" s="6"/>
      <c r="AM63" s="6"/>
      <c r="AN63" s="6" t="str">
        <f>IFERROR(__xludf.DUMMYFUNCTION("""COMPUTED_VALUE"""),"Tihomir Benov Todorov")</f>
        <v>Tihomir Benov Todorov</v>
      </c>
      <c r="AO63" s="6"/>
    </row>
    <row r="64">
      <c r="A64" s="6" t="str">
        <f>IFERROR(__xludf.DUMMYFUNCTION("""COMPUTED_VALUE"""),"Betpac")</f>
        <v>Betpac</v>
      </c>
      <c r="B64" s="6" t="str">
        <f>IFERROR(__xludf.DUMMYFUNCTION("""COMPUTED_VALUE"""),"Betpac")</f>
        <v>Betpac</v>
      </c>
      <c r="C64" s="6">
        <f>IFERROR(__xludf.DUMMYFUNCTION("""COMPUTED_VALUE"""),82.0)</f>
        <v>82</v>
      </c>
      <c r="D64" s="7" t="str">
        <f>IFERROR(__xludf.DUMMYFUNCTION("""COMPUTED_VALUE"""),"Shenko Buranov Shenkov")</f>
        <v>Shenko Buranov Shenkov</v>
      </c>
      <c r="E64" s="7" t="str">
        <f>IFERROR(__xludf.DUMMYFUNCTION("""COMPUTED_VALUE"""),"SBI-code: 4120 - Algemene burgerlijke en utiliteitsbouw")</f>
        <v>SBI-code: 4120 - Algemene burgerlijke en utiliteitsbouw</v>
      </c>
      <c r="F64" s="7" t="str">
        <f>IFERROR(__xludf.DUMMYFUNCTION("""COMPUTED_VALUE"""),"0684077754")</f>
        <v>0684077754</v>
      </c>
      <c r="G64" s="6" t="str">
        <f>IFERROR(__xludf.DUMMYFUNCTION("""COMPUTED_VALUE"""),"shenkoreal@yahoo.com")</f>
        <v>shenkoreal@yahoo.com</v>
      </c>
      <c r="H64" s="6" t="str">
        <f>IFERROR(__xludf.DUMMYFUNCTION("""COMPUTED_VALUE"""),"Dedemsvaartweg 1138")</f>
        <v>Dedemsvaartweg 1138</v>
      </c>
      <c r="I64" s="6" t="str">
        <f>IFERROR(__xludf.DUMMYFUNCTION("""COMPUTED_VALUE"""),"2545BH")</f>
        <v>2545BH</v>
      </c>
      <c r="J64" s="6" t="str">
        <f>IFERROR(__xludf.DUMMYFUNCTION("""COMPUTED_VALUE"""),"s-Gravenhage")</f>
        <v>s-Gravenhage</v>
      </c>
      <c r="K64" s="6" t="str">
        <f>IFERROR(__xludf.DUMMYFUNCTION("""COMPUTED_VALUE"""),"Nederland")</f>
        <v>Nederland</v>
      </c>
      <c r="L64" s="6" t="str">
        <f>IFERROR(__xludf.DUMMYFUNCTION("""COMPUTED_VALUE"""),"Шенков")</f>
        <v>Шенков</v>
      </c>
      <c r="M64" s="8">
        <f>IFERROR(__xludf.DUMMYFUNCTION("""COMPUTED_VALUE"""),43175.0)</f>
        <v>43175</v>
      </c>
      <c r="N64" s="6" t="str">
        <f>IFERROR(__xludf.DUMMYFUNCTION("""COMPUTED_VALUE"""),"NL494291849B01")</f>
        <v>NL494291849B01</v>
      </c>
      <c r="O64" s="6">
        <f>IFERROR(__xludf.DUMMYFUNCTION("""COMPUTED_VALUE"""),2.4468706E7)</f>
        <v>24468706</v>
      </c>
      <c r="P64" s="6" t="str">
        <f>IFERROR(__xludf.DUMMYFUNCTION("""COMPUTED_VALUE"""),"NL53INGB0007108099")</f>
        <v>NL53INGB0007108099</v>
      </c>
      <c r="Q64" s="9">
        <f>IFERROR(__xludf.DUMMYFUNCTION("""COMPUTED_VALUE"""),40037.0)</f>
        <v>40037</v>
      </c>
      <c r="R64" s="6"/>
      <c r="S64" s="6" t="str">
        <f>IFERROR(__xludf.DUMMYFUNCTION("""COMPUTED_VALUE"""),"NL002491573B85")</f>
        <v>NL002491573B85</v>
      </c>
      <c r="T64" s="6">
        <f>IFERROR(__xludf.DUMMYFUNCTION("""COMPUTED_VALUE"""),4.94291849E8)</f>
        <v>494291849</v>
      </c>
      <c r="U64" s="7" t="str">
        <f>IFERROR(__xludf.DUMMYFUNCTION("""COMPUTED_VALUE"""),"Eenmanszaak")</f>
        <v>Eenmanszaak</v>
      </c>
      <c r="V64" s="7" t="str">
        <f>IFERROR(__xludf.DUMMYFUNCTION("""COMPUTED_VALUE"""),"000002030470")</f>
        <v>000002030470</v>
      </c>
      <c r="W64" s="6" t="str">
        <f>IFERROR(__xludf.DUMMYFUNCTION("""COMPUTED_VALUE"""),"ink.betpac.2288aa@zarabota.nl")</f>
        <v>ink.betpac.2288aa@zarabota.nl</v>
      </c>
      <c r="X64" s="6" t="str">
        <f>IFERROR(__xludf.DUMMYFUNCTION("""COMPUTED_VALUE"""),"ver.betpac.2288aa@zarabota.nl")</f>
        <v>ver.betpac.2288aa@zarabota.nl</v>
      </c>
      <c r="Y64" s="6" t="str">
        <f>IFERROR(__xludf.DUMMYFUNCTION("""COMPUTED_VALUE"""),"Hr.")</f>
        <v>Hr.</v>
      </c>
      <c r="Z64" s="6" t="str">
        <f>IFERROR(__xludf.DUMMYFUNCTION("""COMPUTED_VALUE"""),"Shenko Buranov")</f>
        <v>Shenko Buranov</v>
      </c>
      <c r="AA64" s="6" t="str">
        <f>IFERROR(__xludf.DUMMYFUNCTION("""COMPUTED_VALUE"""),"Shenkov")</f>
        <v>Shenkov</v>
      </c>
      <c r="AB64" s="6" t="str">
        <f>IFERROR(__xludf.DUMMYFUNCTION("""COMPUTED_VALUE"""),"S.B.")</f>
        <v>S.B.</v>
      </c>
      <c r="AC64" s="6">
        <f>IFERROR(__xludf.DUMMYFUNCTION("""COMPUTED_VALUE"""),4.94291849E8)</f>
        <v>494291849</v>
      </c>
      <c r="AD64" s="9">
        <f>IFERROR(__xludf.DUMMYFUNCTION("""COMPUTED_VALUE"""),25796.0)</f>
        <v>25796</v>
      </c>
      <c r="AE64" s="6" t="str">
        <f>IFERROR(__xludf.DUMMYFUNCTION("""COMPUTED_VALUE"""),"bg")</f>
        <v>bg</v>
      </c>
      <c r="AF64" s="6" t="str">
        <f>IFERROR(__xludf.DUMMYFUNCTION("""COMPUTED_VALUE"""),"Kardzhali")</f>
        <v>Kardzhali</v>
      </c>
      <c r="AG64" s="6" t="str">
        <f>IFERROR(__xludf.DUMMYFUNCTION("""COMPUTED_VALUE"""),"Hr. S.B. Shenkov")</f>
        <v>Hr. S.B. Shenkov</v>
      </c>
      <c r="AH64" s="6" t="str">
        <f>IFERROR(__xludf.DUMMYFUNCTION("""COMPUTED_VALUE"""),"NL10INGB0005631563")</f>
        <v>NL10INGB0005631563</v>
      </c>
      <c r="AI64" s="6"/>
      <c r="AJ64" s="6"/>
      <c r="AK64" s="6"/>
      <c r="AL64" s="6"/>
      <c r="AM64" s="6"/>
      <c r="AN64" s="6" t="str">
        <f>IFERROR(__xludf.DUMMYFUNCTION("""COMPUTED_VALUE"""),"Shenko Buranov Shenkov")</f>
        <v>Shenko Buranov Shenkov</v>
      </c>
      <c r="AO64" s="6"/>
    </row>
    <row r="65">
      <c r="A65" s="6" t="str">
        <f>IFERROR(__xludf.DUMMYFUNCTION("""COMPUTED_VALUE"""),"BG Familia Bakkerij Market")</f>
        <v>BG Familia Bakkerij Market</v>
      </c>
      <c r="B65" s="6" t="str">
        <f>IFERROR(__xludf.DUMMYFUNCTION("""COMPUTED_VALUE"""),"BG Familia Bakkerij Market")</f>
        <v>BG Familia Bakkerij Market</v>
      </c>
      <c r="C65" s="6">
        <f>IFERROR(__xludf.DUMMYFUNCTION("""COMPUTED_VALUE"""),1671.0)</f>
        <v>1671</v>
      </c>
      <c r="D65" s="7" t="str">
        <f>IFERROR(__xludf.DUMMYFUNCTION("""COMPUTED_VALUE"""),"Georgi Mihaylov Angelov")</f>
        <v>Georgi Mihaylov Angelov</v>
      </c>
      <c r="E65" s="7" t="str">
        <f>IFERROR(__xludf.DUMMYFUNCTION("""COMPUTED_VALUE"""),"SBI-code: 4120 - Algemene burgerlijke en utiliteitsbouw")</f>
        <v>SBI-code: 4120 - Algemene burgerlijke en utiliteitsbouw</v>
      </c>
      <c r="F65" s="7" t="str">
        <f>IFERROR(__xludf.DUMMYFUNCTION("""COMPUTED_VALUE"""),"0686101008")</f>
        <v>0686101008</v>
      </c>
      <c r="G65" s="6" t="str">
        <f>IFERROR(__xludf.DUMMYFUNCTION("""COMPUTED_VALUE"""),"familiamarket05@gmail.com")</f>
        <v>familiamarket05@gmail.com</v>
      </c>
      <c r="H65" s="6" t="str">
        <f>IFERROR(__xludf.DUMMYFUNCTION("""COMPUTED_VALUE"""),"Augustusbloemweg 41")</f>
        <v>Augustusbloemweg 41</v>
      </c>
      <c r="I65" s="6" t="str">
        <f>IFERROR(__xludf.DUMMYFUNCTION("""COMPUTED_VALUE"""),"1508BB")</f>
        <v>1508BB</v>
      </c>
      <c r="J65" s="6" t="str">
        <f>IFERROR(__xludf.DUMMYFUNCTION("""COMPUTED_VALUE"""),"s-Gravenhage")</f>
        <v>s-Gravenhage</v>
      </c>
      <c r="K65" s="6" t="str">
        <f>IFERROR(__xludf.DUMMYFUNCTION("""COMPUTED_VALUE"""),"Nederland")</f>
        <v>Nederland</v>
      </c>
      <c r="L65" s="6" t="str">
        <f>IFERROR(__xludf.DUMMYFUNCTION("""COMPUTED_VALUE"""),"Ангелов")</f>
        <v>Ангелов</v>
      </c>
      <c r="M65" s="8">
        <f>IFERROR(__xludf.DUMMYFUNCTION("""COMPUTED_VALUE"""),45593.0)</f>
        <v>45593</v>
      </c>
      <c r="N65" s="6" t="str">
        <f>IFERROR(__xludf.DUMMYFUNCTION("""COMPUTED_VALUE"""),"NL867114447B01")</f>
        <v>NL867114447B01</v>
      </c>
      <c r="O65" s="6">
        <f>IFERROR(__xludf.DUMMYFUNCTION("""COMPUTED_VALUE"""),9.5396977E7)</f>
        <v>95396977</v>
      </c>
      <c r="P65" s="6" t="str">
        <f>IFERROR(__xludf.DUMMYFUNCTION("""COMPUTED_VALUE"""),"NL39INGB0110208196")</f>
        <v>NL39INGB0110208196</v>
      </c>
      <c r="Q65" s="9">
        <f>IFERROR(__xludf.DUMMYFUNCTION("""COMPUTED_VALUE"""),45593.0)</f>
        <v>45593</v>
      </c>
      <c r="R65" s="6"/>
      <c r="S65" s="6" t="str">
        <f>IFERROR(__xludf.DUMMYFUNCTION("""COMPUTED_VALUE"""),"NL867114447B01")</f>
        <v>NL867114447B01</v>
      </c>
      <c r="T65" s="6">
        <f>IFERROR(__xludf.DUMMYFUNCTION("""COMPUTED_VALUE"""),8.67114447E8)</f>
        <v>867114447</v>
      </c>
      <c r="U65" s="7" t="str">
        <f>IFERROR(__xludf.DUMMYFUNCTION("""COMPUTED_VALUE"""),"Eenmanszaak")</f>
        <v>Eenmanszaak</v>
      </c>
      <c r="V65" s="7" t="str">
        <f>IFERROR(__xludf.DUMMYFUNCTION("""COMPUTED_VALUE"""),"000060810793")</f>
        <v>000060810793</v>
      </c>
      <c r="W65" s="6" t="str">
        <f>IFERROR(__xludf.DUMMYFUNCTION("""COMPUTED_VALUE"""),"ink.bgfamilia.2288aa@zarabota.nl")</f>
        <v>ink.bgfamilia.2288aa@zarabota.nl</v>
      </c>
      <c r="X65" s="6" t="str">
        <f>IFERROR(__xludf.DUMMYFUNCTION("""COMPUTED_VALUE"""),"ver.bgfamilia.2288aa@zarabota.nl")</f>
        <v>ver.bgfamilia.2288aa@zarabota.nl</v>
      </c>
      <c r="Y65" s="6" t="str">
        <f>IFERROR(__xludf.DUMMYFUNCTION("""COMPUTED_VALUE"""),"Hr.")</f>
        <v>Hr.</v>
      </c>
      <c r="Z65" s="6" t="str">
        <f>IFERROR(__xludf.DUMMYFUNCTION("""COMPUTED_VALUE"""),"Georgi Mihaylov")</f>
        <v>Georgi Mihaylov</v>
      </c>
      <c r="AA65" s="6" t="str">
        <f>IFERROR(__xludf.DUMMYFUNCTION("""COMPUTED_VALUE"""),"Angelov")</f>
        <v>Angelov</v>
      </c>
      <c r="AB65" s="6" t="str">
        <f>IFERROR(__xludf.DUMMYFUNCTION("""COMPUTED_VALUE"""),"G.M.")</f>
        <v>G.M.</v>
      </c>
      <c r="AC65" s="6">
        <f>IFERROR(__xludf.DUMMYFUNCTION("""COMPUTED_VALUE"""),6.99541992E8)</f>
        <v>699541992</v>
      </c>
      <c r="AD65" s="9">
        <f>IFERROR(__xludf.DUMMYFUNCTION("""COMPUTED_VALUE"""),34723.0)</f>
        <v>34723</v>
      </c>
      <c r="AE65" s="6" t="str">
        <f>IFERROR(__xludf.DUMMYFUNCTION("""COMPUTED_VALUE"""),"bg")</f>
        <v>bg</v>
      </c>
      <c r="AF65" s="6" t="str">
        <f>IFERROR(__xludf.DUMMYFUNCTION("""COMPUTED_VALUE"""),"Elena")</f>
        <v>Elena</v>
      </c>
      <c r="AG65" s="6" t="str">
        <f>IFERROR(__xludf.DUMMYFUNCTION("""COMPUTED_VALUE"""),"Hr. G.M. Angelov")</f>
        <v>Hr. G.M. Angelov</v>
      </c>
      <c r="AH65" s="6"/>
      <c r="AI65" s="6"/>
      <c r="AJ65" s="6" t="str">
        <f>IFERROR(__xludf.DUMMYFUNCTION("""COMPUTED_VALUE"""),"ID Kaart")</f>
        <v>ID Kaart</v>
      </c>
      <c r="AK65" s="6">
        <f>IFERROR(__xludf.DUMMYFUNCTION("""COMPUTED_VALUE"""),6.52577278E8)</f>
        <v>652577278</v>
      </c>
      <c r="AL65" s="9">
        <f>IFERROR(__xludf.DUMMYFUNCTION("""COMPUTED_VALUE"""),48644.0)</f>
        <v>48644</v>
      </c>
      <c r="AM65" s="6" t="str">
        <f>IFERROR(__xludf.DUMMYFUNCTION("""COMPUTED_VALUE"""),"Bulgarije")</f>
        <v>Bulgarije</v>
      </c>
      <c r="AN65" s="6" t="str">
        <f>IFERROR(__xludf.DUMMYFUNCTION("""COMPUTED_VALUE"""),"Georgi Mihaylov Angelov")</f>
        <v>Georgi Mihaylov Angelov</v>
      </c>
      <c r="AO65" s="6">
        <f>IFERROR(__xludf.DUMMYFUNCTION("""COMPUTED_VALUE"""),1671.0)</f>
        <v>1671</v>
      </c>
    </row>
    <row r="66">
      <c r="A66" s="6" t="str">
        <f>IFERROR(__xludf.DUMMYFUNCTION("""COMPUTED_VALUE"""),"BGB logistic")</f>
        <v>BGB logistic</v>
      </c>
      <c r="B66" s="6" t="str">
        <f>IFERROR(__xludf.DUMMYFUNCTION("""COMPUTED_VALUE"""),"BGB logistic")</f>
        <v>BGB logistic</v>
      </c>
      <c r="C66" s="6">
        <f>IFERROR(__xludf.DUMMYFUNCTION("""COMPUTED_VALUE"""),1556.0)</f>
        <v>1556</v>
      </c>
      <c r="D66" s="7" t="str">
        <f>IFERROR(__xludf.DUMMYFUNCTION("""COMPUTED_VALUE"""),"Enver Alish Dvuyak")</f>
        <v>Enver Alish Dvuyak</v>
      </c>
      <c r="E66" s="7" t="str">
        <f>IFERROR(__xludf.DUMMYFUNCTION("""COMPUTED_VALUE"""),"SBI-code: 4120 - Algemene burgerlijke en utiliteitsbouw")</f>
        <v>SBI-code: 4120 - Algemene burgerlijke en utiliteitsbouw</v>
      </c>
      <c r="F66" s="7" t="str">
        <f>IFERROR(__xludf.DUMMYFUNCTION("""COMPUTED_VALUE"""),"0685281455")</f>
        <v>0685281455</v>
      </c>
      <c r="G66" s="6" t="str">
        <f>IFERROR(__xludf.DUMMYFUNCTION("""COMPUTED_VALUE"""),"gazaree@gmail.com")</f>
        <v>gazaree@gmail.com</v>
      </c>
      <c r="H66" s="6" t="str">
        <f>IFERROR(__xludf.DUMMYFUNCTION("""COMPUTED_VALUE"""),"Bragastraat 124")</f>
        <v>Bragastraat 124</v>
      </c>
      <c r="I66" s="6" t="str">
        <f>IFERROR(__xludf.DUMMYFUNCTION("""COMPUTED_VALUE"""),"2523HK")</f>
        <v>2523HK</v>
      </c>
      <c r="J66" s="6" t="str">
        <f>IFERROR(__xludf.DUMMYFUNCTION("""COMPUTED_VALUE"""),"s-Gravenhage")</f>
        <v>s-Gravenhage</v>
      </c>
      <c r="K66" s="6" t="str">
        <f>IFERROR(__xludf.DUMMYFUNCTION("""COMPUTED_VALUE"""),"Nederland")</f>
        <v>Nederland</v>
      </c>
      <c r="L66" s="6" t="str">
        <f>IFERROR(__xludf.DUMMYFUNCTION("""COMPUTED_VALUE"""),"Двуяк")</f>
        <v>Двуяк</v>
      </c>
      <c r="M66" s="8">
        <f>IFERROR(__xludf.DUMMYFUNCTION("""COMPUTED_VALUE"""),44927.0)</f>
        <v>44927</v>
      </c>
      <c r="N66" s="6" t="str">
        <f>IFERROR(__xludf.DUMMYFUNCTION("""COMPUTED_VALUE"""),"NL468424106B01")</f>
        <v>NL468424106B01</v>
      </c>
      <c r="O66" s="6">
        <f>IFERROR(__xludf.DUMMYFUNCTION("""COMPUTED_VALUE"""),8.8610209E7)</f>
        <v>88610209</v>
      </c>
      <c r="P66" s="6" t="str">
        <f>IFERROR(__xludf.DUMMYFUNCTION("""COMPUTED_VALUE"""),"NL54INGB0103833765")</f>
        <v>NL54INGB0103833765</v>
      </c>
      <c r="Q66" s="9">
        <f>IFERROR(__xludf.DUMMYFUNCTION("""COMPUTED_VALUE"""),44927.0)</f>
        <v>44927</v>
      </c>
      <c r="R66" s="6"/>
      <c r="S66" s="6" t="str">
        <f>IFERROR(__xludf.DUMMYFUNCTION("""COMPUTED_VALUE"""),"NL004636340B85")</f>
        <v>NL004636340B85</v>
      </c>
      <c r="T66" s="6">
        <f>IFERROR(__xludf.DUMMYFUNCTION("""COMPUTED_VALUE"""),4.68424106E8)</f>
        <v>468424106</v>
      </c>
      <c r="U66" s="7" t="str">
        <f>IFERROR(__xludf.DUMMYFUNCTION("""COMPUTED_VALUE"""),"Eenmanszaak")</f>
        <v>Eenmanszaak</v>
      </c>
      <c r="V66" s="7" t="str">
        <f>IFERROR(__xludf.DUMMYFUNCTION("""COMPUTED_VALUE"""),"000054459710")</f>
        <v>000054459710</v>
      </c>
      <c r="W66" s="6" t="str">
        <f>IFERROR(__xludf.DUMMYFUNCTION("""COMPUTED_VALUE"""),"ink.bgblogistic.2288aa@zarabota.nl")</f>
        <v>ink.bgblogistic.2288aa@zarabota.nl</v>
      </c>
      <c r="X66" s="6" t="str">
        <f>IFERROR(__xludf.DUMMYFUNCTION("""COMPUTED_VALUE"""),"ver.bgblogistic.2288aa@zarabota.nl")</f>
        <v>ver.bgblogistic.2288aa@zarabota.nl</v>
      </c>
      <c r="Y66" s="6" t="str">
        <f>IFERROR(__xludf.DUMMYFUNCTION("""COMPUTED_VALUE"""),"Hr.")</f>
        <v>Hr.</v>
      </c>
      <c r="Z66" s="6" t="str">
        <f>IFERROR(__xludf.DUMMYFUNCTION("""COMPUTED_VALUE"""),"Enver Alish")</f>
        <v>Enver Alish</v>
      </c>
      <c r="AA66" s="6" t="str">
        <f>IFERROR(__xludf.DUMMYFUNCTION("""COMPUTED_VALUE"""),"Dvuyak")</f>
        <v>Dvuyak</v>
      </c>
      <c r="AB66" s="6" t="str">
        <f>IFERROR(__xludf.DUMMYFUNCTION("""COMPUTED_VALUE"""),"E.A.")</f>
        <v>E.A.</v>
      </c>
      <c r="AC66" s="6">
        <f>IFERROR(__xludf.DUMMYFUNCTION("""COMPUTED_VALUE"""),4.68424106E8)</f>
        <v>468424106</v>
      </c>
      <c r="AD66" s="9">
        <f>IFERROR(__xludf.DUMMYFUNCTION("""COMPUTED_VALUE"""),35891.0)</f>
        <v>35891</v>
      </c>
      <c r="AE66" s="6" t="str">
        <f>IFERROR(__xludf.DUMMYFUNCTION("""COMPUTED_VALUE"""),"bg")</f>
        <v>bg</v>
      </c>
      <c r="AF66" s="6" t="str">
        <f>IFERROR(__xludf.DUMMYFUNCTION("""COMPUTED_VALUE"""),"Razlog")</f>
        <v>Razlog</v>
      </c>
      <c r="AG66" s="6" t="str">
        <f>IFERROR(__xludf.DUMMYFUNCTION("""COMPUTED_VALUE"""),"Hr. E.A. Dvuyak")</f>
        <v>Hr. E.A. Dvuyak</v>
      </c>
      <c r="AH66" s="6"/>
      <c r="AI66" s="6"/>
      <c r="AJ66" s="6" t="str">
        <f>IFERROR(__xludf.DUMMYFUNCTION("""COMPUTED_VALUE"""),"ID Kaart")</f>
        <v>ID Kaart</v>
      </c>
      <c r="AK66" s="6">
        <f>IFERROR(__xludf.DUMMYFUNCTION("""COMPUTED_VALUE"""),6.46795584E8)</f>
        <v>646795584</v>
      </c>
      <c r="AL66" s="9">
        <f>IFERROR(__xludf.DUMMYFUNCTION("""COMPUTED_VALUE"""),46407.0)</f>
        <v>46407</v>
      </c>
      <c r="AM66" s="6" t="str">
        <f>IFERROR(__xludf.DUMMYFUNCTION("""COMPUTED_VALUE"""),"Bulgarije")</f>
        <v>Bulgarije</v>
      </c>
      <c r="AN66" s="6" t="str">
        <f>IFERROR(__xludf.DUMMYFUNCTION("""COMPUTED_VALUE"""),"Enver Alish Dvuyak")</f>
        <v>Enver Alish Dvuyak</v>
      </c>
      <c r="AO66" s="6"/>
    </row>
    <row r="67">
      <c r="A67" s="6" t="str">
        <f>IFERROR(__xludf.DUMMYFUNCTION("""COMPUTED_VALUE"""),"Bingo BG")</f>
        <v>Bingo BG</v>
      </c>
      <c r="B67" s="6" t="str">
        <f>IFERROR(__xludf.DUMMYFUNCTION("""COMPUTED_VALUE"""),"Bingo BG")</f>
        <v>Bingo BG</v>
      </c>
      <c r="C67" s="6">
        <f>IFERROR(__xludf.DUMMYFUNCTION("""COMPUTED_VALUE"""),1586.0)</f>
        <v>1586</v>
      </c>
      <c r="D67" s="7" t="str">
        <f>IFERROR(__xludf.DUMMYFUNCTION("""COMPUTED_VALUE"""),"Nikolay Sergeev Nikolov")</f>
        <v>Nikolay Sergeev Nikolov</v>
      </c>
      <c r="E67" s="7" t="str">
        <f>IFERROR(__xludf.DUMMYFUNCTION("""COMPUTED_VALUE"""),"SBI-code: 4120 - Algemene burgerlijke en utiliteitsbouw")</f>
        <v>SBI-code: 4120 - Algemene burgerlijke en utiliteitsbouw</v>
      </c>
      <c r="F67" s="7" t="str">
        <f>IFERROR(__xludf.DUMMYFUNCTION("""COMPUTED_VALUE"""),"0687240489")</f>
        <v>0687240489</v>
      </c>
      <c r="G67" s="6" t="str">
        <f>IFERROR(__xludf.DUMMYFUNCTION("""COMPUTED_VALUE"""),"nikolov042328@gmail.com")</f>
        <v>nikolov042328@gmail.com</v>
      </c>
      <c r="H67" s="6" t="str">
        <f>IFERROR(__xludf.DUMMYFUNCTION("""COMPUTED_VALUE"""),"Mesdaglaan 1-a")</f>
        <v>Mesdaglaan 1-a</v>
      </c>
      <c r="I67" s="6" t="str">
        <f>IFERROR(__xludf.DUMMYFUNCTION("""COMPUTED_VALUE"""),"3117TG")</f>
        <v>3117TG</v>
      </c>
      <c r="J67" s="6" t="str">
        <f>IFERROR(__xludf.DUMMYFUNCTION("""COMPUTED_VALUE"""),"Schiedam")</f>
        <v>Schiedam</v>
      </c>
      <c r="K67" s="6" t="str">
        <f>IFERROR(__xludf.DUMMYFUNCTION("""COMPUTED_VALUE"""),"Nederland")</f>
        <v>Nederland</v>
      </c>
      <c r="L67" s="6" t="str">
        <f>IFERROR(__xludf.DUMMYFUNCTION("""COMPUTED_VALUE"""),"Николов")</f>
        <v>Николов</v>
      </c>
      <c r="M67" s="8">
        <f>IFERROR(__xludf.DUMMYFUNCTION("""COMPUTED_VALUE"""),45292.0)</f>
        <v>45292</v>
      </c>
      <c r="N67" s="6" t="str">
        <f>IFERROR(__xludf.DUMMYFUNCTION("""COMPUTED_VALUE"""),"NL525494832B01")</f>
        <v>NL525494832B01</v>
      </c>
      <c r="O67" s="6">
        <f>IFERROR(__xludf.DUMMYFUNCTION("""COMPUTED_VALUE"""),8.9550242E7)</f>
        <v>89550242</v>
      </c>
      <c r="P67" s="6" t="str">
        <f>IFERROR(__xludf.DUMMYFUNCTION("""COMPUTED_VALUE"""),"NL39INGB0105861626")</f>
        <v>NL39INGB0105861626</v>
      </c>
      <c r="Q67" s="9">
        <f>IFERROR(__xludf.DUMMYFUNCTION("""COMPUTED_VALUE"""),44998.0)</f>
        <v>44998</v>
      </c>
      <c r="R67" s="6"/>
      <c r="S67" s="6" t="str">
        <f>IFERROR(__xludf.DUMMYFUNCTION("""COMPUTED_VALUE"""),"NL004975333B89")</f>
        <v>NL004975333B89</v>
      </c>
      <c r="T67" s="6">
        <f>IFERROR(__xludf.DUMMYFUNCTION("""COMPUTED_VALUE"""),5.25494832E8)</f>
        <v>525494832</v>
      </c>
      <c r="U67" s="7" t="str">
        <f>IFERROR(__xludf.DUMMYFUNCTION("""COMPUTED_VALUE"""),"Eenmanszaak")</f>
        <v>Eenmanszaak</v>
      </c>
      <c r="V67" s="7" t="str">
        <f>IFERROR(__xludf.DUMMYFUNCTION("""COMPUTED_VALUE"""),"000055338275")</f>
        <v>000055338275</v>
      </c>
      <c r="W67" s="6" t="str">
        <f>IFERROR(__xludf.DUMMYFUNCTION("""COMPUTED_VALUE"""),"ink.bingobg.2288aa@zarabota.nl")</f>
        <v>ink.bingobg.2288aa@zarabota.nl</v>
      </c>
      <c r="X67" s="6" t="str">
        <f>IFERROR(__xludf.DUMMYFUNCTION("""COMPUTED_VALUE"""),"ver.bingobg.2288aa@zarabota.nl")</f>
        <v>ver.bingobg.2288aa@zarabota.nl</v>
      </c>
      <c r="Y67" s="6" t="str">
        <f>IFERROR(__xludf.DUMMYFUNCTION("""COMPUTED_VALUE"""),"Hr.")</f>
        <v>Hr.</v>
      </c>
      <c r="Z67" s="6" t="str">
        <f>IFERROR(__xludf.DUMMYFUNCTION("""COMPUTED_VALUE"""),"Nikolay Sergeev")</f>
        <v>Nikolay Sergeev</v>
      </c>
      <c r="AA67" s="6" t="str">
        <f>IFERROR(__xludf.DUMMYFUNCTION("""COMPUTED_VALUE"""),"Nikolov")</f>
        <v>Nikolov</v>
      </c>
      <c r="AB67" s="6" t="str">
        <f>IFERROR(__xludf.DUMMYFUNCTION("""COMPUTED_VALUE"""),"N.S.")</f>
        <v>N.S.</v>
      </c>
      <c r="AC67" s="6">
        <f>IFERROR(__xludf.DUMMYFUNCTION("""COMPUTED_VALUE"""),5.25494832E8)</f>
        <v>525494832</v>
      </c>
      <c r="AD67" s="9">
        <f>IFERROR(__xludf.DUMMYFUNCTION("""COMPUTED_VALUE"""),33759.0)</f>
        <v>33759</v>
      </c>
      <c r="AE67" s="6" t="str">
        <f>IFERROR(__xludf.DUMMYFUNCTION("""COMPUTED_VALUE"""),"bg")</f>
        <v>bg</v>
      </c>
      <c r="AF67" s="6" t="str">
        <f>IFERROR(__xludf.DUMMYFUNCTION("""COMPUTED_VALUE"""),"Targovishte")</f>
        <v>Targovishte</v>
      </c>
      <c r="AG67" s="6" t="str">
        <f>IFERROR(__xludf.DUMMYFUNCTION("""COMPUTED_VALUE"""),"Hr. N.S. Nikolov")</f>
        <v>Hr. N.S. Nikolov</v>
      </c>
      <c r="AH67" s="6" t="str">
        <f>IFERROR(__xludf.DUMMYFUNCTION("""COMPUTED_VALUE"""),"NL94RABO0339702354")</f>
        <v>NL94RABO0339702354</v>
      </c>
      <c r="AI67" s="9">
        <f>IFERROR(__xludf.DUMMYFUNCTION("""COMPUTED_VALUE"""),44980.0)</f>
        <v>44980</v>
      </c>
      <c r="AJ67" s="6" t="str">
        <f>IFERROR(__xludf.DUMMYFUNCTION("""COMPUTED_VALUE"""),"ID Kaart")</f>
        <v>ID Kaart</v>
      </c>
      <c r="AK67" s="6">
        <f>IFERROR(__xludf.DUMMYFUNCTION("""COMPUTED_VALUE"""),6.50648087E8)</f>
        <v>650648087</v>
      </c>
      <c r="AL67" s="9">
        <f>IFERROR(__xludf.DUMMYFUNCTION("""COMPUTED_VALUE"""),48094.0)</f>
        <v>48094</v>
      </c>
      <c r="AM67" s="6" t="str">
        <f>IFERROR(__xludf.DUMMYFUNCTION("""COMPUTED_VALUE"""),"Bulgarije")</f>
        <v>Bulgarije</v>
      </c>
      <c r="AN67" s="6" t="str">
        <f>IFERROR(__xludf.DUMMYFUNCTION("""COMPUTED_VALUE"""),"Nikolay Sergeev Nikolov")</f>
        <v>Nikolay Sergeev Nikolov</v>
      </c>
      <c r="AO67" s="6">
        <f>IFERROR(__xludf.DUMMYFUNCTION("""COMPUTED_VALUE"""),1586.0)</f>
        <v>1586</v>
      </c>
    </row>
    <row r="68">
      <c r="A68" s="6" t="str">
        <f>IFERROR(__xludf.DUMMYFUNCTION("""COMPUTED_VALUE"""),"BirMaks")</f>
        <v>BirMaks</v>
      </c>
      <c r="B68" s="6" t="str">
        <f>IFERROR(__xludf.DUMMYFUNCTION("""COMPUTED_VALUE"""),"BirMaks")</f>
        <v>BirMaks</v>
      </c>
      <c r="C68" s="6">
        <f>IFERROR(__xludf.DUMMYFUNCTION("""COMPUTED_VALUE"""),873.0)</f>
        <v>873</v>
      </c>
      <c r="D68" s="7" t="str">
        <f>IFERROR(__xludf.DUMMYFUNCTION("""COMPUTED_VALUE"""),"Birhan Ismailov Maksudov")</f>
        <v>Birhan Ismailov Maksudov</v>
      </c>
      <c r="E68" s="7" t="str">
        <f>IFERROR(__xludf.DUMMYFUNCTION("""COMPUTED_VALUE"""),"SBI-code: 4120 - Algemene burgerlijke en utiliteitsbouw")</f>
        <v>SBI-code: 4120 - Algemene burgerlijke en utiliteitsbouw</v>
      </c>
      <c r="F68" s="7" t="str">
        <f>IFERROR(__xludf.DUMMYFUNCTION("""COMPUTED_VALUE"""),"0628859199")</f>
        <v>0628859199</v>
      </c>
      <c r="G68" s="6" t="str">
        <f>IFERROR(__xludf.DUMMYFUNCTION("""COMPUTED_VALUE"""),"birhanmaksudov@gmail.com")</f>
        <v>birhanmaksudov@gmail.com</v>
      </c>
      <c r="H68" s="6" t="str">
        <f>IFERROR(__xludf.DUMMYFUNCTION("""COMPUTED_VALUE"""),"Kervelhof 16")</f>
        <v>Kervelhof 16</v>
      </c>
      <c r="I68" s="6" t="str">
        <f>IFERROR(__xludf.DUMMYFUNCTION("""COMPUTED_VALUE"""),"3193JH")</f>
        <v>3193JH</v>
      </c>
      <c r="J68" s="6" t="str">
        <f>IFERROR(__xludf.DUMMYFUNCTION("""COMPUTED_VALUE"""),"Hoogvliet  Rotterdam")</f>
        <v>Hoogvliet  Rotterdam</v>
      </c>
      <c r="K68" s="6" t="str">
        <f>IFERROR(__xludf.DUMMYFUNCTION("""COMPUTED_VALUE"""),"Nederland")</f>
        <v>Nederland</v>
      </c>
      <c r="L68" s="6" t="str">
        <f>IFERROR(__xludf.DUMMYFUNCTION("""COMPUTED_VALUE"""),"Максудов")</f>
        <v>Максудов</v>
      </c>
      <c r="M68" s="8">
        <f>IFERROR(__xludf.DUMMYFUNCTION("""COMPUTED_VALUE"""),43760.0)</f>
        <v>43760</v>
      </c>
      <c r="N68" s="6" t="str">
        <f>IFERROR(__xludf.DUMMYFUNCTION("""COMPUTED_VALUE"""),"NL530638733B03")</f>
        <v>NL530638733B03</v>
      </c>
      <c r="O68" s="6">
        <f>IFERROR(__xludf.DUMMYFUNCTION("""COMPUTED_VALUE"""),7.6225194E7)</f>
        <v>76225194</v>
      </c>
      <c r="P68" s="6" t="str">
        <f>IFERROR(__xludf.DUMMYFUNCTION("""COMPUTED_VALUE"""),"NL24INGB0009002061")</f>
        <v>NL24INGB0009002061</v>
      </c>
      <c r="Q68" s="9">
        <f>IFERROR(__xludf.DUMMYFUNCTION("""COMPUTED_VALUE"""),43760.0)</f>
        <v>43760</v>
      </c>
      <c r="R68" s="6"/>
      <c r="S68" s="6" t="str">
        <f>IFERROR(__xludf.DUMMYFUNCTION("""COMPUTED_VALUE"""),"NL003058927B76")</f>
        <v>NL003058927B76</v>
      </c>
      <c r="T68" s="6">
        <f>IFERROR(__xludf.DUMMYFUNCTION("""COMPUTED_VALUE"""),5.30638733E8)</f>
        <v>530638733</v>
      </c>
      <c r="U68" s="7" t="str">
        <f>IFERROR(__xludf.DUMMYFUNCTION("""COMPUTED_VALUE"""),"Eenmanszaak")</f>
        <v>Eenmanszaak</v>
      </c>
      <c r="V68" s="7" t="str">
        <f>IFERROR(__xludf.DUMMYFUNCTION("""COMPUTED_VALUE"""),"000044047703")</f>
        <v>000044047703</v>
      </c>
      <c r="W68" s="6" t="str">
        <f>IFERROR(__xludf.DUMMYFUNCTION("""COMPUTED_VALUE"""),"ink.birmaks.2288aa@zarabota.nl")</f>
        <v>ink.birmaks.2288aa@zarabota.nl</v>
      </c>
      <c r="X68" s="6" t="str">
        <f>IFERROR(__xludf.DUMMYFUNCTION("""COMPUTED_VALUE"""),"ver.birmaks.2288aa@zarabota.nl")</f>
        <v>ver.birmaks.2288aa@zarabota.nl</v>
      </c>
      <c r="Y68" s="6" t="str">
        <f>IFERROR(__xludf.DUMMYFUNCTION("""COMPUTED_VALUE"""),"Hr.")</f>
        <v>Hr.</v>
      </c>
      <c r="Z68" s="6" t="str">
        <f>IFERROR(__xludf.DUMMYFUNCTION("""COMPUTED_VALUE"""),"Birhan Ismailov")</f>
        <v>Birhan Ismailov</v>
      </c>
      <c r="AA68" s="6" t="str">
        <f>IFERROR(__xludf.DUMMYFUNCTION("""COMPUTED_VALUE"""),"Maksudov")</f>
        <v>Maksudov</v>
      </c>
      <c r="AB68" s="6" t="str">
        <f>IFERROR(__xludf.DUMMYFUNCTION("""COMPUTED_VALUE"""),"B.I.")</f>
        <v>B.I.</v>
      </c>
      <c r="AC68" s="6">
        <f>IFERROR(__xludf.DUMMYFUNCTION("""COMPUTED_VALUE"""),5.30638733E8)</f>
        <v>530638733</v>
      </c>
      <c r="AD68" s="9">
        <f>IFERROR(__xludf.DUMMYFUNCTION("""COMPUTED_VALUE"""),32766.0)</f>
        <v>32766</v>
      </c>
      <c r="AE68" s="6" t="str">
        <f>IFERROR(__xludf.DUMMYFUNCTION("""COMPUTED_VALUE"""),"bg")</f>
        <v>bg</v>
      </c>
      <c r="AF68" s="6" t="str">
        <f>IFERROR(__xludf.DUMMYFUNCTION("""COMPUTED_VALUE"""),"Tutrakan")</f>
        <v>Tutrakan</v>
      </c>
      <c r="AG68" s="6" t="str">
        <f>IFERROR(__xludf.DUMMYFUNCTION("""COMPUTED_VALUE"""),"Hr. B.I. Maksudov")</f>
        <v>Hr. B.I. Maksudov</v>
      </c>
      <c r="AH68" s="6" t="str">
        <f>IFERROR(__xludf.DUMMYFUNCTION("""COMPUTED_VALUE"""),"Nl10INGB0676092071")</f>
        <v>Nl10INGB0676092071</v>
      </c>
      <c r="AI68" s="6"/>
      <c r="AJ68" s="6" t="str">
        <f>IFERROR(__xludf.DUMMYFUNCTION("""COMPUTED_VALUE"""),"ID Kaart")</f>
        <v>ID Kaart</v>
      </c>
      <c r="AK68" s="6">
        <f>IFERROR(__xludf.DUMMYFUNCTION("""COMPUTED_VALUE"""),6.44849423E8)</f>
        <v>644849423</v>
      </c>
      <c r="AL68" s="9">
        <f>IFERROR(__xludf.DUMMYFUNCTION("""COMPUTED_VALUE"""),45174.0)</f>
        <v>45174</v>
      </c>
      <c r="AM68" s="6"/>
      <c r="AN68" s="6" t="str">
        <f>IFERROR(__xludf.DUMMYFUNCTION("""COMPUTED_VALUE"""),"Birhan Ismailov Maksudov")</f>
        <v>Birhan Ismailov Maksudov</v>
      </c>
      <c r="AO68" s="6"/>
    </row>
    <row r="69">
      <c r="A69" s="6" t="str">
        <f>IFERROR(__xludf.DUMMYFUNCTION("""COMPUTED_VALUE"""),"Birufoli")</f>
        <v>Birufoli</v>
      </c>
      <c r="B69" s="6" t="str">
        <f>IFERROR(__xludf.DUMMYFUNCTION("""COMPUTED_VALUE"""),"Birufoli")</f>
        <v>Birufoli</v>
      </c>
      <c r="C69" s="6">
        <f>IFERROR(__xludf.DUMMYFUNCTION("""COMPUTED_VALUE"""),1482.0)</f>
        <v>1482</v>
      </c>
      <c r="D69" s="7" t="str">
        <f>IFERROR(__xludf.DUMMYFUNCTION("""COMPUTED_VALUE"""),"Rufat Birolov Mustafov")</f>
        <v>Rufat Birolov Mustafov</v>
      </c>
      <c r="E69" s="7" t="str">
        <f>IFERROR(__xludf.DUMMYFUNCTION("""COMPUTED_VALUE"""),"SBI-code: 4120 - Algemene burgerlijke en utiliteitsbouw")</f>
        <v>SBI-code: 4120 - Algemene burgerlijke en utiliteitsbouw</v>
      </c>
      <c r="F69" s="7" t="str">
        <f>IFERROR(__xludf.DUMMYFUNCTION("""COMPUTED_VALUE"""),"0657626237")</f>
        <v>0657626237</v>
      </c>
      <c r="G69" s="6" t="str">
        <f>IFERROR(__xludf.DUMMYFUNCTION("""COMPUTED_VALUE"""),"rufiwork@hotmail.com")</f>
        <v>rufiwork@hotmail.com</v>
      </c>
      <c r="H69" s="6" t="str">
        <f>IFERROR(__xludf.DUMMYFUNCTION("""COMPUTED_VALUE"""),"Katendrechtse Lagedijk 449 B")</f>
        <v>Katendrechtse Lagedijk 449 B</v>
      </c>
      <c r="I69" s="6" t="str">
        <f>IFERROR(__xludf.DUMMYFUNCTION("""COMPUTED_VALUE"""),"3082 GB")</f>
        <v>3082 GB</v>
      </c>
      <c r="J69" s="6" t="str">
        <f>IFERROR(__xludf.DUMMYFUNCTION("""COMPUTED_VALUE"""),"Rotterdam")</f>
        <v>Rotterdam</v>
      </c>
      <c r="K69" s="6" t="str">
        <f>IFERROR(__xludf.DUMMYFUNCTION("""COMPUTED_VALUE"""),"Nederland")</f>
        <v>Nederland</v>
      </c>
      <c r="L69" s="6" t="str">
        <f>IFERROR(__xludf.DUMMYFUNCTION("""COMPUTED_VALUE"""),"Мустафов")</f>
        <v>Мустафов</v>
      </c>
      <c r="M69" s="8">
        <f>IFERROR(__xludf.DUMMYFUNCTION("""COMPUTED_VALUE"""),44986.0)</f>
        <v>44986</v>
      </c>
      <c r="N69" s="6" t="str">
        <f>IFERROR(__xludf.DUMMYFUNCTION("""COMPUTED_VALUE"""),"NL784054095B01")</f>
        <v>NL784054095B01</v>
      </c>
      <c r="O69" s="6">
        <f>IFERROR(__xludf.DUMMYFUNCTION("""COMPUTED_VALUE"""),8.9433882E7)</f>
        <v>89433882</v>
      </c>
      <c r="P69" s="6" t="str">
        <f>IFERROR(__xludf.DUMMYFUNCTION("""COMPUTED_VALUE"""),"NL70INGB0100369219")</f>
        <v>NL70INGB0100369219</v>
      </c>
      <c r="Q69" s="9">
        <f>IFERROR(__xludf.DUMMYFUNCTION("""COMPUTED_VALUE"""),44986.0)</f>
        <v>44986</v>
      </c>
      <c r="R69" s="6"/>
      <c r="S69" s="6" t="str">
        <f>IFERROR(__xludf.DUMMYFUNCTION("""COMPUTED_VALUE"""),"NL004557826B66")</f>
        <v>NL004557826B66</v>
      </c>
      <c r="T69" s="6">
        <f>IFERROR(__xludf.DUMMYFUNCTION("""COMPUTED_VALUE"""),7.84054095E8)</f>
        <v>784054095</v>
      </c>
      <c r="U69" s="7" t="str">
        <f>IFERROR(__xludf.DUMMYFUNCTION("""COMPUTED_VALUE"""),"Eenmanszaak")</f>
        <v>Eenmanszaak</v>
      </c>
      <c r="V69" s="7" t="str">
        <f>IFERROR(__xludf.DUMMYFUNCTION("""COMPUTED_VALUE"""),"000055228399")</f>
        <v>000055228399</v>
      </c>
      <c r="W69" s="6" t="str">
        <f>IFERROR(__xludf.DUMMYFUNCTION("""COMPUTED_VALUE"""),"ink.birufoli.2288aa@zarabota.nl")</f>
        <v>ink.birufoli.2288aa@zarabota.nl</v>
      </c>
      <c r="X69" s="6" t="str">
        <f>IFERROR(__xludf.DUMMYFUNCTION("""COMPUTED_VALUE"""),"ver.birufoli.2288aa@zarabota.nl")</f>
        <v>ver.birufoli.2288aa@zarabota.nl</v>
      </c>
      <c r="Y69" s="6" t="str">
        <f>IFERROR(__xludf.DUMMYFUNCTION("""COMPUTED_VALUE"""),"Hr.")</f>
        <v>Hr.</v>
      </c>
      <c r="Z69" s="6" t="str">
        <f>IFERROR(__xludf.DUMMYFUNCTION("""COMPUTED_VALUE"""),"Rufat Birolov")</f>
        <v>Rufat Birolov</v>
      </c>
      <c r="AA69" s="6" t="str">
        <f>IFERROR(__xludf.DUMMYFUNCTION("""COMPUTED_VALUE"""),"Mustafov")</f>
        <v>Mustafov</v>
      </c>
      <c r="AB69" s="6" t="str">
        <f>IFERROR(__xludf.DUMMYFUNCTION("""COMPUTED_VALUE"""),"R.B.")</f>
        <v>R.B.</v>
      </c>
      <c r="AC69" s="6">
        <f>IFERROR(__xludf.DUMMYFUNCTION("""COMPUTED_VALUE"""),7.84054095E8)</f>
        <v>784054095</v>
      </c>
      <c r="AD69" s="9">
        <f>IFERROR(__xludf.DUMMYFUNCTION("""COMPUTED_VALUE"""),31199.0)</f>
        <v>31199</v>
      </c>
      <c r="AE69" s="6" t="str">
        <f>IFERROR(__xludf.DUMMYFUNCTION("""COMPUTED_VALUE"""),"bg")</f>
        <v>bg</v>
      </c>
      <c r="AF69" s="6" t="str">
        <f>IFERROR(__xludf.DUMMYFUNCTION("""COMPUTED_VALUE"""),"Varna")</f>
        <v>Varna</v>
      </c>
      <c r="AG69" s="6" t="str">
        <f>IFERROR(__xludf.DUMMYFUNCTION("""COMPUTED_VALUE"""),"Hr. R.B. Mustafov")</f>
        <v>Hr. R.B. Mustafov</v>
      </c>
      <c r="AH69" s="6"/>
      <c r="AI69" s="6"/>
      <c r="AJ69" s="6" t="str">
        <f>IFERROR(__xludf.DUMMYFUNCTION("""COMPUTED_VALUE"""),"ID Kaart")</f>
        <v>ID Kaart</v>
      </c>
      <c r="AK69" s="6">
        <f>IFERROR(__xludf.DUMMYFUNCTION("""COMPUTED_VALUE"""),6.4541912E8)</f>
        <v>645419120</v>
      </c>
      <c r="AL69" s="9">
        <f>IFERROR(__xludf.DUMMYFUNCTION("""COMPUTED_VALUE"""),45554.0)</f>
        <v>45554</v>
      </c>
      <c r="AM69" s="6" t="str">
        <f>IFERROR(__xludf.DUMMYFUNCTION("""COMPUTED_VALUE"""),"Bulgarije")</f>
        <v>Bulgarije</v>
      </c>
      <c r="AN69" s="6" t="str">
        <f>IFERROR(__xludf.DUMMYFUNCTION("""COMPUTED_VALUE"""),"Rufat Birolov Mustafov")</f>
        <v>Rufat Birolov Mustafov</v>
      </c>
      <c r="AO69" s="6">
        <f>IFERROR(__xludf.DUMMYFUNCTION("""COMPUTED_VALUE"""),1482.0)</f>
        <v>1482</v>
      </c>
    </row>
    <row r="70">
      <c r="A70" s="6" t="str">
        <f>IFERROR(__xludf.DUMMYFUNCTION("""COMPUTED_VALUE"""),"BIS Montage VOF")</f>
        <v>BIS Montage VOF</v>
      </c>
      <c r="B70" s="6" t="str">
        <f>IFERROR(__xludf.DUMMYFUNCTION("""COMPUTED_VALUE"""),"BIS Montage VOF")</f>
        <v>BIS Montage VOF</v>
      </c>
      <c r="C70" s="6">
        <f>IFERROR(__xludf.DUMMYFUNCTION("""COMPUTED_VALUE"""),925.0)</f>
        <v>925</v>
      </c>
      <c r="D70" s="7" t="str">
        <f>IFERROR(__xludf.DUMMYFUNCTION("""COMPUTED_VALUE"""),"Beyhan Ismail Solak")</f>
        <v>Beyhan Ismail Solak</v>
      </c>
      <c r="E70" s="7" t="str">
        <f>IFERROR(__xludf.DUMMYFUNCTION("""COMPUTED_VALUE"""),"SBI-code: 4120 - Algemene burgerlijke en utiliteitsbouw")</f>
        <v>SBI-code: 4120 - Algemene burgerlijke en utiliteitsbouw</v>
      </c>
      <c r="F70" s="7" t="str">
        <f>IFERROR(__xludf.DUMMYFUNCTION("""COMPUTED_VALUE"""),"0652043183")</f>
        <v>0652043183</v>
      </c>
      <c r="G70" s="6" t="str">
        <f>IFERROR(__xludf.DUMMYFUNCTION("""COMPUTED_VALUE"""),"behosolak@gmail.com")</f>
        <v>behosolak@gmail.com</v>
      </c>
      <c r="H70" s="6" t="str">
        <f>IFERROR(__xludf.DUMMYFUNCTION("""COMPUTED_VALUE"""),"Jan Wapstraat 71")</f>
        <v>Jan Wapstraat 71</v>
      </c>
      <c r="I70" s="6" t="str">
        <f>IFERROR(__xludf.DUMMYFUNCTION("""COMPUTED_VALUE"""),"2523GC")</f>
        <v>2523GC</v>
      </c>
      <c r="J70" s="6" t="str">
        <f>IFERROR(__xludf.DUMMYFUNCTION("""COMPUTED_VALUE"""),"s-Gravenhage")</f>
        <v>s-Gravenhage</v>
      </c>
      <c r="K70" s="6" t="str">
        <f>IFERROR(__xludf.DUMMYFUNCTION("""COMPUTED_VALUE"""),"Nederland")</f>
        <v>Nederland</v>
      </c>
      <c r="L70" s="6" t="str">
        <f>IFERROR(__xludf.DUMMYFUNCTION("""COMPUTED_VALUE"""),"Солак")</f>
        <v>Солак</v>
      </c>
      <c r="M70" s="8">
        <f>IFERROR(__xludf.DUMMYFUNCTION("""COMPUTED_VALUE"""),43831.0)</f>
        <v>43831</v>
      </c>
      <c r="N70" s="6" t="str">
        <f>IFERROR(__xludf.DUMMYFUNCTION("""COMPUTED_VALUE"""),"NL860928883B01")</f>
        <v>NL860928883B01</v>
      </c>
      <c r="O70" s="6">
        <f>IFERROR(__xludf.DUMMYFUNCTION("""COMPUTED_VALUE"""),7.7190416E7)</f>
        <v>77190416</v>
      </c>
      <c r="P70" s="6" t="str">
        <f>IFERROR(__xludf.DUMMYFUNCTION("""COMPUTED_VALUE"""),"NL66INGB0007816159")</f>
        <v>NL66INGB0007816159</v>
      </c>
      <c r="Q70" s="9">
        <f>IFERROR(__xludf.DUMMYFUNCTION("""COMPUTED_VALUE"""),43831.0)</f>
        <v>43831</v>
      </c>
      <c r="R70" s="6"/>
      <c r="S70" s="6" t="str">
        <f>IFERROR(__xludf.DUMMYFUNCTION("""COMPUTED_VALUE"""),"NL860928883B01")</f>
        <v>NL860928883B01</v>
      </c>
      <c r="T70" s="6">
        <f>IFERROR(__xludf.DUMMYFUNCTION("""COMPUTED_VALUE"""),8.60928883E8)</f>
        <v>860928883</v>
      </c>
      <c r="U70" s="7" t="str">
        <f>IFERROR(__xludf.DUMMYFUNCTION("""COMPUTED_VALUE"""),"Eenmanszaak")</f>
        <v>Eenmanszaak</v>
      </c>
      <c r="V70" s="7" t="str">
        <f>IFERROR(__xludf.DUMMYFUNCTION("""COMPUTED_VALUE"""),"000026888742")</f>
        <v>000026888742</v>
      </c>
      <c r="W70" s="6" t="str">
        <f>IFERROR(__xludf.DUMMYFUNCTION("""COMPUTED_VALUE"""),"ink.bismontagevof.2288aa@zarabota.nl")</f>
        <v>ink.bismontagevof.2288aa@zarabota.nl</v>
      </c>
      <c r="X70" s="6" t="str">
        <f>IFERROR(__xludf.DUMMYFUNCTION("""COMPUTED_VALUE"""),"ver.bismontagevof.2288aa@zarabota.nl")</f>
        <v>ver.bismontagevof.2288aa@zarabota.nl</v>
      </c>
      <c r="Y70" s="6" t="str">
        <f>IFERROR(__xludf.DUMMYFUNCTION("""COMPUTED_VALUE"""),"Hr.")</f>
        <v>Hr.</v>
      </c>
      <c r="Z70" s="6" t="str">
        <f>IFERROR(__xludf.DUMMYFUNCTION("""COMPUTED_VALUE"""),"Beyhan Ismail")</f>
        <v>Beyhan Ismail</v>
      </c>
      <c r="AA70" s="6" t="str">
        <f>IFERROR(__xludf.DUMMYFUNCTION("""COMPUTED_VALUE"""),"Solak")</f>
        <v>Solak</v>
      </c>
      <c r="AB70" s="6" t="str">
        <f>IFERROR(__xludf.DUMMYFUNCTION("""COMPUTED_VALUE"""),"B.I.")</f>
        <v>B.I.</v>
      </c>
      <c r="AC70" s="6">
        <f>IFERROR(__xludf.DUMMYFUNCTION("""COMPUTED_VALUE"""),6.77548709E8)</f>
        <v>677548709</v>
      </c>
      <c r="AD70" s="9">
        <f>IFERROR(__xludf.DUMMYFUNCTION("""COMPUTED_VALUE"""),29833.0)</f>
        <v>29833</v>
      </c>
      <c r="AE70" s="6" t="str">
        <f>IFERROR(__xludf.DUMMYFUNCTION("""COMPUTED_VALUE"""),"bg")</f>
        <v>bg</v>
      </c>
      <c r="AF70" s="6" t="str">
        <f>IFERROR(__xludf.DUMMYFUNCTION("""COMPUTED_VALUE"""),"Ardino")</f>
        <v>Ardino</v>
      </c>
      <c r="AG70" s="6" t="str">
        <f>IFERROR(__xludf.DUMMYFUNCTION("""COMPUTED_VALUE"""),"Hr. B.I. Solak")</f>
        <v>Hr. B.I. Solak</v>
      </c>
      <c r="AH70" s="6" t="str">
        <f>IFERROR(__xludf.DUMMYFUNCTION("""COMPUTED_VALUE"""),"NL09INGB0682397962")</f>
        <v>NL09INGB0682397962</v>
      </c>
      <c r="AI70" s="9">
        <f>IFERROR(__xludf.DUMMYFUNCTION("""COMPUTED_VALUE"""),41306.0)</f>
        <v>41306</v>
      </c>
      <c r="AJ70" s="6" t="str">
        <f>IFERROR(__xludf.DUMMYFUNCTION("""COMPUTED_VALUE"""),"ID Kaart")</f>
        <v>ID Kaart</v>
      </c>
      <c r="AK70" s="6">
        <f>IFERROR(__xludf.DUMMYFUNCTION("""COMPUTED_VALUE"""),6.44383832E8)</f>
        <v>644383832</v>
      </c>
      <c r="AL70" s="9">
        <f>IFERROR(__xludf.DUMMYFUNCTION("""COMPUTED_VALUE"""),44930.0)</f>
        <v>44930</v>
      </c>
      <c r="AM70" s="6"/>
      <c r="AN70" s="6" t="str">
        <f>IFERROR(__xludf.DUMMYFUNCTION("""COMPUTED_VALUE"""),"Beyhan Ismail Solak")</f>
        <v>Beyhan Ismail Solak</v>
      </c>
      <c r="AO70" s="6"/>
    </row>
    <row r="71">
      <c r="A71" s="6" t="str">
        <f>IFERROR(__xludf.DUMMYFUNCTION("""COMPUTED_VALUE"""),"Biser 74")</f>
        <v>Biser 74</v>
      </c>
      <c r="B71" s="6" t="str">
        <f>IFERROR(__xludf.DUMMYFUNCTION("""COMPUTED_VALUE"""),"Biser 74")</f>
        <v>Biser 74</v>
      </c>
      <c r="C71" s="6">
        <f>IFERROR(__xludf.DUMMYFUNCTION("""COMPUTED_VALUE"""),1109.0)</f>
        <v>1109</v>
      </c>
      <c r="D71" s="7" t="str">
        <f>IFERROR(__xludf.DUMMYFUNCTION("""COMPUTED_VALUE"""),"Biser Asenov Kadiev")</f>
        <v>Biser Asenov Kadiev</v>
      </c>
      <c r="E71" s="7" t="str">
        <f>IFERROR(__xludf.DUMMYFUNCTION("""COMPUTED_VALUE"""),"SBI-code: 4120 - Algemene burgerlijke en utiliteitsbouw")</f>
        <v>SBI-code: 4120 - Algemene burgerlijke en utiliteitsbouw</v>
      </c>
      <c r="F71" s="7" t="str">
        <f>IFERROR(__xludf.DUMMYFUNCTION("""COMPUTED_VALUE"""),"0684408224")</f>
        <v>0684408224</v>
      </c>
      <c r="G71" s="6" t="str">
        <f>IFERROR(__xludf.DUMMYFUNCTION("""COMPUTED_VALUE"""),"biser.firma21@gmail.com")</f>
        <v>biser.firma21@gmail.com</v>
      </c>
      <c r="H71" s="6" t="str">
        <f>IFERROR(__xludf.DUMMYFUNCTION("""COMPUTED_VALUE"""),"Vreeswijkstraat 663")</f>
        <v>Vreeswijkstraat 663</v>
      </c>
      <c r="I71" s="6" t="str">
        <f>IFERROR(__xludf.DUMMYFUNCTION("""COMPUTED_VALUE"""),"2546AR")</f>
        <v>2546AR</v>
      </c>
      <c r="J71" s="6" t="str">
        <f>IFERROR(__xludf.DUMMYFUNCTION("""COMPUTED_VALUE"""),"s-Gravenhage")</f>
        <v>s-Gravenhage</v>
      </c>
      <c r="K71" s="6" t="str">
        <f>IFERROR(__xludf.DUMMYFUNCTION("""COMPUTED_VALUE"""),"Nederland")</f>
        <v>Nederland</v>
      </c>
      <c r="L71" s="6" t="str">
        <f>IFERROR(__xludf.DUMMYFUNCTION("""COMPUTED_VALUE"""),"Кадиев")</f>
        <v>Кадиев</v>
      </c>
      <c r="M71" s="8">
        <f>IFERROR(__xludf.DUMMYFUNCTION("""COMPUTED_VALUE"""),44245.0)</f>
        <v>44245</v>
      </c>
      <c r="N71" s="6" t="str">
        <f>IFERROR(__xludf.DUMMYFUNCTION("""COMPUTED_VALUE"""),"NL315135700B01")</f>
        <v>NL315135700B01</v>
      </c>
      <c r="O71" s="6">
        <f>IFERROR(__xludf.DUMMYFUNCTION("""COMPUTED_VALUE"""),8.1867816E7)</f>
        <v>81867816</v>
      </c>
      <c r="P71" s="6" t="str">
        <f>IFERROR(__xludf.DUMMYFUNCTION("""COMPUTED_VALUE"""),"NL53INGB0006366340")</f>
        <v>NL53INGB0006366340</v>
      </c>
      <c r="Q71" s="9">
        <f>IFERROR(__xludf.DUMMYFUNCTION("""COMPUTED_VALUE"""),44217.0)</f>
        <v>44217</v>
      </c>
      <c r="R71" s="6"/>
      <c r="S71" s="6" t="str">
        <f>IFERROR(__xludf.DUMMYFUNCTION("""COMPUTED_VALUE"""),"NL003612228B56")</f>
        <v>NL003612228B56</v>
      </c>
      <c r="T71" s="6">
        <f>IFERROR(__xludf.DUMMYFUNCTION("""COMPUTED_VALUE"""),3.151357E8)</f>
        <v>315135700</v>
      </c>
      <c r="U71" s="7" t="str">
        <f>IFERROR(__xludf.DUMMYFUNCTION("""COMPUTED_VALUE"""),"Eenmanszaak")</f>
        <v>Eenmanszaak</v>
      </c>
      <c r="V71" s="7" t="str">
        <f>IFERROR(__xludf.DUMMYFUNCTION("""COMPUTED_VALUE"""),"000048132780")</f>
        <v>000048132780</v>
      </c>
      <c r="W71" s="6" t="str">
        <f>IFERROR(__xludf.DUMMYFUNCTION("""COMPUTED_VALUE"""),"ink.biser74.2288aa@zarabota.nl")</f>
        <v>ink.biser74.2288aa@zarabota.nl</v>
      </c>
      <c r="X71" s="6" t="str">
        <f>IFERROR(__xludf.DUMMYFUNCTION("""COMPUTED_VALUE"""),"ver.biser74.2288aa@zarabota.nl")</f>
        <v>ver.biser74.2288aa@zarabota.nl</v>
      </c>
      <c r="Y71" s="6" t="str">
        <f>IFERROR(__xludf.DUMMYFUNCTION("""COMPUTED_VALUE"""),"Hr.")</f>
        <v>Hr.</v>
      </c>
      <c r="Z71" s="6" t="str">
        <f>IFERROR(__xludf.DUMMYFUNCTION("""COMPUTED_VALUE"""),"Biser Asenov")</f>
        <v>Biser Asenov</v>
      </c>
      <c r="AA71" s="6" t="str">
        <f>IFERROR(__xludf.DUMMYFUNCTION("""COMPUTED_VALUE"""),"Kadiev")</f>
        <v>Kadiev</v>
      </c>
      <c r="AB71" s="6" t="str">
        <f>IFERROR(__xludf.DUMMYFUNCTION("""COMPUTED_VALUE"""),"B.A.")</f>
        <v>B.A.</v>
      </c>
      <c r="AC71" s="6">
        <f>IFERROR(__xludf.DUMMYFUNCTION("""COMPUTED_VALUE"""),3.151357E8)</f>
        <v>315135700</v>
      </c>
      <c r="AD71" s="9">
        <f>IFERROR(__xludf.DUMMYFUNCTION("""COMPUTED_VALUE"""),27920.0)</f>
        <v>27920</v>
      </c>
      <c r="AE71" s="6" t="str">
        <f>IFERROR(__xludf.DUMMYFUNCTION("""COMPUTED_VALUE"""),"bg")</f>
        <v>bg</v>
      </c>
      <c r="AF71" s="6" t="str">
        <f>IFERROR(__xludf.DUMMYFUNCTION("""COMPUTED_VALUE"""),"G.Oryahovitsa")</f>
        <v>G.Oryahovitsa</v>
      </c>
      <c r="AG71" s="6" t="str">
        <f>IFERROR(__xludf.DUMMYFUNCTION("""COMPUTED_VALUE"""),"Hr. B.A. Kadiev")</f>
        <v>Hr. B.A. Kadiev</v>
      </c>
      <c r="AH71" s="6"/>
      <c r="AI71" s="9">
        <f>IFERROR(__xludf.DUMMYFUNCTION("""COMPUTED_VALUE"""),44217.0)</f>
        <v>44217</v>
      </c>
      <c r="AJ71" s="6" t="str">
        <f>IFERROR(__xludf.DUMMYFUNCTION("""COMPUTED_VALUE"""),"ID Kaart")</f>
        <v>ID Kaart</v>
      </c>
      <c r="AK71" s="6">
        <f>IFERROR(__xludf.DUMMYFUNCTION("""COMPUTED_VALUE"""),6.48692937E8)</f>
        <v>648692937</v>
      </c>
      <c r="AL71" s="9">
        <f>IFERROR(__xludf.DUMMYFUNCTION("""COMPUTED_VALUE"""),47490.0)</f>
        <v>47490</v>
      </c>
      <c r="AM71" s="6" t="str">
        <f>IFERROR(__xludf.DUMMYFUNCTION("""COMPUTED_VALUE"""),"Bulgarije")</f>
        <v>Bulgarije</v>
      </c>
      <c r="AN71" s="6" t="str">
        <f>IFERROR(__xludf.DUMMYFUNCTION("""COMPUTED_VALUE"""),"Biser Asenov Kadiev")</f>
        <v>Biser Asenov Kadiev</v>
      </c>
      <c r="AO71" s="6">
        <f>IFERROR(__xludf.DUMMYFUNCTION("""COMPUTED_VALUE"""),1109.0)</f>
        <v>1109</v>
      </c>
    </row>
    <row r="72">
      <c r="A72" s="6" t="str">
        <f>IFERROR(__xludf.DUMMYFUNCTION("""COMPUTED_VALUE"""),"Biser en Tzveti VOF")</f>
        <v>Biser en Tzveti VOF</v>
      </c>
      <c r="B72" s="6" t="str">
        <f>IFERROR(__xludf.DUMMYFUNCTION("""COMPUTED_VALUE"""),"Biser en Tzveti VOF")</f>
        <v>Biser en Tzveti VOF</v>
      </c>
      <c r="C72" s="6">
        <f>IFERROR(__xludf.DUMMYFUNCTION("""COMPUTED_VALUE"""),1321.0)</f>
        <v>1321</v>
      </c>
      <c r="D72" s="7" t="str">
        <f>IFERROR(__xludf.DUMMYFUNCTION("""COMPUTED_VALUE"""),"Biser Vasilev Sanev")</f>
        <v>Biser Vasilev Sanev</v>
      </c>
      <c r="E72" s="7" t="str">
        <f>IFERROR(__xludf.DUMMYFUNCTION("""COMPUTED_VALUE"""),"SBI-code: 4120 - Algemene burgerlijke en utiliteitsbouw")</f>
        <v>SBI-code: 4120 - Algemene burgerlijke en utiliteitsbouw</v>
      </c>
      <c r="F72" s="7" t="str">
        <f>IFERROR(__xludf.DUMMYFUNCTION("""COMPUTED_VALUE"""),"0643267891")</f>
        <v>0643267891</v>
      </c>
      <c r="G72" s="6" t="str">
        <f>IFERROR(__xludf.DUMMYFUNCTION("""COMPUTED_VALUE"""),"bs.sanev@abv.bg")</f>
        <v>bs.sanev@abv.bg</v>
      </c>
      <c r="H72" s="6" t="str">
        <f>IFERROR(__xludf.DUMMYFUNCTION("""COMPUTED_VALUE"""),"Loenensestraat 153")</f>
        <v>Loenensestraat 153</v>
      </c>
      <c r="I72" s="6" t="str">
        <f>IFERROR(__xludf.DUMMYFUNCTION("""COMPUTED_VALUE"""),"2574RK")</f>
        <v>2574RK</v>
      </c>
      <c r="J72" s="6" t="str">
        <f>IFERROR(__xludf.DUMMYFUNCTION("""COMPUTED_VALUE"""),"s-Gravenhage")</f>
        <v>s-Gravenhage</v>
      </c>
      <c r="K72" s="6" t="str">
        <f>IFERROR(__xludf.DUMMYFUNCTION("""COMPUTED_VALUE"""),"Nederland")</f>
        <v>Nederland</v>
      </c>
      <c r="L72" s="6" t="str">
        <f>IFERROR(__xludf.DUMMYFUNCTION("""COMPUTED_VALUE"""),"Санев")</f>
        <v>Санев</v>
      </c>
      <c r="M72" s="8">
        <f>IFERROR(__xludf.DUMMYFUNCTION("""COMPUTED_VALUE"""),44562.0)</f>
        <v>44562</v>
      </c>
      <c r="N72" s="6" t="str">
        <f>IFERROR(__xludf.DUMMYFUNCTION("""COMPUTED_VALUE"""),"NL862927389B01")</f>
        <v>NL862927389B01</v>
      </c>
      <c r="O72" s="6">
        <f>IFERROR(__xludf.DUMMYFUNCTION("""COMPUTED_VALUE"""),8.3590161E7)</f>
        <v>83590161</v>
      </c>
      <c r="P72" s="6" t="str">
        <f>IFERROR(__xludf.DUMMYFUNCTION("""COMPUTED_VALUE"""),"NL70INGB0009411349")</f>
        <v>NL70INGB0009411349</v>
      </c>
      <c r="Q72" s="9">
        <f>IFERROR(__xludf.DUMMYFUNCTION("""COMPUTED_VALUE"""),44413.0)</f>
        <v>44413</v>
      </c>
      <c r="R72" s="6"/>
      <c r="S72" s="6" t="str">
        <f>IFERROR(__xludf.DUMMYFUNCTION("""COMPUTED_VALUE"""),"NL862927389B01")</f>
        <v>NL862927389B01</v>
      </c>
      <c r="T72" s="6">
        <f>IFERROR(__xludf.DUMMYFUNCTION("""COMPUTED_VALUE"""),8.62927389E8)</f>
        <v>862927389</v>
      </c>
      <c r="U72" s="7" t="str">
        <f>IFERROR(__xludf.DUMMYFUNCTION("""COMPUTED_VALUE"""),"Eenmanszaak")</f>
        <v>Eenmanszaak</v>
      </c>
      <c r="V72" s="7" t="str">
        <f>IFERROR(__xludf.DUMMYFUNCTION("""COMPUTED_VALUE"""),"000049748807")</f>
        <v>000049748807</v>
      </c>
      <c r="W72" s="6" t="str">
        <f>IFERROR(__xludf.DUMMYFUNCTION("""COMPUTED_VALUE"""),"ink.biserentzveti.2288aa@zarabota.nl")</f>
        <v>ink.biserentzveti.2288aa@zarabota.nl</v>
      </c>
      <c r="X72" s="6" t="str">
        <f>IFERROR(__xludf.DUMMYFUNCTION("""COMPUTED_VALUE"""),"ver.biserentzveti.2288aa@zarabota.nl")</f>
        <v>ver.biserentzveti.2288aa@zarabota.nl</v>
      </c>
      <c r="Y72" s="6" t="str">
        <f>IFERROR(__xludf.DUMMYFUNCTION("""COMPUTED_VALUE"""),"Hr.")</f>
        <v>Hr.</v>
      </c>
      <c r="Z72" s="6" t="str">
        <f>IFERROR(__xludf.DUMMYFUNCTION("""COMPUTED_VALUE"""),"Biser Vasilev")</f>
        <v>Biser Vasilev</v>
      </c>
      <c r="AA72" s="6" t="str">
        <f>IFERROR(__xludf.DUMMYFUNCTION("""COMPUTED_VALUE"""),"Sanev")</f>
        <v>Sanev</v>
      </c>
      <c r="AB72" s="6" t="str">
        <f>IFERROR(__xludf.DUMMYFUNCTION("""COMPUTED_VALUE"""),"B.V.")</f>
        <v>B.V.</v>
      </c>
      <c r="AC72" s="6">
        <f>IFERROR(__xludf.DUMMYFUNCTION("""COMPUTED_VALUE"""),3.41548194E8)</f>
        <v>341548194</v>
      </c>
      <c r="AD72" s="9">
        <f>IFERROR(__xludf.DUMMYFUNCTION("""COMPUTED_VALUE"""),29789.0)</f>
        <v>29789</v>
      </c>
      <c r="AE72" s="6" t="str">
        <f>IFERROR(__xludf.DUMMYFUNCTION("""COMPUTED_VALUE"""),"bg")</f>
        <v>bg</v>
      </c>
      <c r="AF72" s="6" t="str">
        <f>IFERROR(__xludf.DUMMYFUNCTION("""COMPUTED_VALUE"""),"Zlatograd")</f>
        <v>Zlatograd</v>
      </c>
      <c r="AG72" s="6" t="str">
        <f>IFERROR(__xludf.DUMMYFUNCTION("""COMPUTED_VALUE"""),"Hr. B.V. Sanev")</f>
        <v>Hr. B.V. Sanev</v>
      </c>
      <c r="AH72" s="6"/>
      <c r="AI72" s="6"/>
      <c r="AJ72" s="6" t="str">
        <f>IFERROR(__xludf.DUMMYFUNCTION("""COMPUTED_VALUE"""),"ID Kaart")</f>
        <v>ID Kaart</v>
      </c>
      <c r="AK72" s="6"/>
      <c r="AL72" s="6"/>
      <c r="AM72" s="6" t="str">
        <f>IFERROR(__xludf.DUMMYFUNCTION("""COMPUTED_VALUE"""),"Bulgarije")</f>
        <v>Bulgarije</v>
      </c>
      <c r="AN72" s="6" t="str">
        <f>IFERROR(__xludf.DUMMYFUNCTION("""COMPUTED_VALUE"""),"Biser Vasilev Sanev")</f>
        <v>Biser Vasilev Sanev</v>
      </c>
      <c r="AO72" s="6"/>
    </row>
    <row r="73">
      <c r="A73" s="6" t="str">
        <f>IFERROR(__xludf.DUMMYFUNCTION("""COMPUTED_VALUE"""),"Biser.B")</f>
        <v>Biser.B</v>
      </c>
      <c r="B73" s="6" t="str">
        <f>IFERROR(__xludf.DUMMYFUNCTION("""COMPUTED_VALUE"""),"Biser.B")</f>
        <v>Biser.B</v>
      </c>
      <c r="C73" s="6">
        <f>IFERROR(__xludf.DUMMYFUNCTION("""COMPUTED_VALUE"""),1192.0)</f>
        <v>1192</v>
      </c>
      <c r="D73" s="7" t="str">
        <f>IFERROR(__xludf.DUMMYFUNCTION("""COMPUTED_VALUE"""),"Biser Sergeev Boyanov")</f>
        <v>Biser Sergeev Boyanov</v>
      </c>
      <c r="E73" s="7" t="str">
        <f>IFERROR(__xludf.DUMMYFUNCTION("""COMPUTED_VALUE"""),"SBI-code: 4120 - Algemene burgerlijke en utiliteitsbouw")</f>
        <v>SBI-code: 4120 - Algemene burgerlijke en utiliteitsbouw</v>
      </c>
      <c r="F73" s="7" t="str">
        <f>IFERROR(__xludf.DUMMYFUNCTION("""COMPUTED_VALUE"""),"0626787877")</f>
        <v>0626787877</v>
      </c>
      <c r="G73" s="6" t="str">
        <f>IFERROR(__xludf.DUMMYFUNCTION("""COMPUTED_VALUE"""),"bisersergeevboyanov@gmail.com")</f>
        <v>bisersergeevboyanov@gmail.com</v>
      </c>
      <c r="H73" s="6" t="str">
        <f>IFERROR(__xludf.DUMMYFUNCTION("""COMPUTED_VALUE"""),"Van Zeggelenlaan 28")</f>
        <v>Van Zeggelenlaan 28</v>
      </c>
      <c r="I73" s="6" t="str">
        <f>IFERROR(__xludf.DUMMYFUNCTION("""COMPUTED_VALUE"""),"2524AP")</f>
        <v>2524AP</v>
      </c>
      <c r="J73" s="6" t="str">
        <f>IFERROR(__xludf.DUMMYFUNCTION("""COMPUTED_VALUE"""),"s-Gravenhage")</f>
        <v>s-Gravenhage</v>
      </c>
      <c r="K73" s="6" t="str">
        <f>IFERROR(__xludf.DUMMYFUNCTION("""COMPUTED_VALUE"""),"Nederland")</f>
        <v>Nederland</v>
      </c>
      <c r="L73" s="6" t="str">
        <f>IFERROR(__xludf.DUMMYFUNCTION("""COMPUTED_VALUE"""),"Боянов")</f>
        <v>Боянов</v>
      </c>
      <c r="M73" s="8">
        <f>IFERROR(__xludf.DUMMYFUNCTION("""COMPUTED_VALUE"""),44287.0)</f>
        <v>44287</v>
      </c>
      <c r="N73" s="6" t="str">
        <f>IFERROR(__xludf.DUMMYFUNCTION("""COMPUTED_VALUE"""),"NL")</f>
        <v>NL</v>
      </c>
      <c r="O73" s="6">
        <f>IFERROR(__xludf.DUMMYFUNCTION("""COMPUTED_VALUE"""),7.7086163E7)</f>
        <v>77086163</v>
      </c>
      <c r="P73" s="6" t="str">
        <f>IFERROR(__xludf.DUMMYFUNCTION("""COMPUTED_VALUE"""),"NL")</f>
        <v>NL</v>
      </c>
      <c r="Q73" s="9">
        <f>IFERROR(__xludf.DUMMYFUNCTION("""COMPUTED_VALUE"""),43853.0)</f>
        <v>43853</v>
      </c>
      <c r="R73" s="6"/>
      <c r="S73" s="6" t="str">
        <f>IFERROR(__xludf.DUMMYFUNCTION("""COMPUTED_VALUE"""),"NL003145114B05")</f>
        <v>NL003145114B05</v>
      </c>
      <c r="T73" s="6">
        <f>IFERROR(__xludf.DUMMYFUNCTION("""COMPUTED_VALUE"""),4.31924569E8)</f>
        <v>431924569</v>
      </c>
      <c r="U73" s="7" t="str">
        <f>IFERROR(__xludf.DUMMYFUNCTION("""COMPUTED_VALUE"""),"Eenmanszaak")</f>
        <v>Eenmanszaak</v>
      </c>
      <c r="V73" s="7" t="str">
        <f>IFERROR(__xludf.DUMMYFUNCTION("""COMPUTED_VALUE"""),"000044808496")</f>
        <v>000044808496</v>
      </c>
      <c r="W73" s="6" t="str">
        <f>IFERROR(__xludf.DUMMYFUNCTION("""COMPUTED_VALUE"""),"ink.biserb.2288aa@zarabota.nl")</f>
        <v>ink.biserb.2288aa@zarabota.nl</v>
      </c>
      <c r="X73" s="6" t="str">
        <f>IFERROR(__xludf.DUMMYFUNCTION("""COMPUTED_VALUE"""),"ver.biserb.2288aa@zarabota.nl")</f>
        <v>ver.biserb.2288aa@zarabota.nl</v>
      </c>
      <c r="Y73" s="6" t="str">
        <f>IFERROR(__xludf.DUMMYFUNCTION("""COMPUTED_VALUE"""),"Hr.")</f>
        <v>Hr.</v>
      </c>
      <c r="Z73" s="6" t="str">
        <f>IFERROR(__xludf.DUMMYFUNCTION("""COMPUTED_VALUE"""),"Biser Sergeev")</f>
        <v>Biser Sergeev</v>
      </c>
      <c r="AA73" s="6" t="str">
        <f>IFERROR(__xludf.DUMMYFUNCTION("""COMPUTED_VALUE"""),"Boyanov")</f>
        <v>Boyanov</v>
      </c>
      <c r="AB73" s="6" t="str">
        <f>IFERROR(__xludf.DUMMYFUNCTION("""COMPUTED_VALUE"""),"B.S.")</f>
        <v>B.S.</v>
      </c>
      <c r="AC73" s="6">
        <f>IFERROR(__xludf.DUMMYFUNCTION("""COMPUTED_VALUE"""),4.31924569E8)</f>
        <v>431924569</v>
      </c>
      <c r="AD73" s="9">
        <f>IFERROR(__xludf.DUMMYFUNCTION("""COMPUTED_VALUE"""),30983.0)</f>
        <v>30983</v>
      </c>
      <c r="AE73" s="6" t="str">
        <f>IFERROR(__xludf.DUMMYFUNCTION("""COMPUTED_VALUE"""),"bg")</f>
        <v>bg</v>
      </c>
      <c r="AF73" s="6" t="str">
        <f>IFERROR(__xludf.DUMMYFUNCTION("""COMPUTED_VALUE"""),"Vidin")</f>
        <v>Vidin</v>
      </c>
      <c r="AG73" s="6" t="str">
        <f>IFERROR(__xludf.DUMMYFUNCTION("""COMPUTED_VALUE"""),"Hr. B.S. Boyanov")</f>
        <v>Hr. B.S. Boyanov</v>
      </c>
      <c r="AH73" s="6"/>
      <c r="AI73" s="6"/>
      <c r="AJ73" s="6" t="str">
        <f>IFERROR(__xludf.DUMMYFUNCTION("""COMPUTED_VALUE"""),"ID Kaart")</f>
        <v>ID Kaart</v>
      </c>
      <c r="AK73" s="6">
        <f>IFERROR(__xludf.DUMMYFUNCTION("""COMPUTED_VALUE"""),6.47710977E8)</f>
        <v>647710977</v>
      </c>
      <c r="AL73" s="9">
        <f>IFERROR(__xludf.DUMMYFUNCTION("""COMPUTED_VALUE"""),46973.0)</f>
        <v>46973</v>
      </c>
      <c r="AM73" s="6" t="str">
        <f>IFERROR(__xludf.DUMMYFUNCTION("""COMPUTED_VALUE"""),"Bulgarije")</f>
        <v>Bulgarije</v>
      </c>
      <c r="AN73" s="6" t="str">
        <f>IFERROR(__xludf.DUMMYFUNCTION("""COMPUTED_VALUE"""),"Biser Sergeev Boyanov")</f>
        <v>Biser Sergeev Boyanov</v>
      </c>
      <c r="AO73" s="6"/>
    </row>
    <row r="74">
      <c r="A74" s="6" t="str">
        <f>IFERROR(__xludf.DUMMYFUNCTION("""COMPUTED_VALUE"""),"Bisi Bouw")</f>
        <v>Bisi Bouw</v>
      </c>
      <c r="B74" s="6" t="str">
        <f>IFERROR(__xludf.DUMMYFUNCTION("""COMPUTED_VALUE"""),"Bisi Bouw")</f>
        <v>Bisi Bouw</v>
      </c>
      <c r="C74" s="6">
        <f>IFERROR(__xludf.DUMMYFUNCTION("""COMPUTED_VALUE"""),483.0)</f>
        <v>483</v>
      </c>
      <c r="D74" s="7" t="str">
        <f>IFERROR(__xludf.DUMMYFUNCTION("""COMPUTED_VALUE"""),"Atanas Stoyanov Karamanov")</f>
        <v>Atanas Stoyanov Karamanov</v>
      </c>
      <c r="E74" s="7" t="str">
        <f>IFERROR(__xludf.DUMMYFUNCTION("""COMPUTED_VALUE"""),"SBI-code: 4120 - Algemene burgerlijke en utiliteitsbouw")</f>
        <v>SBI-code: 4120 - Algemene burgerlijke en utiliteitsbouw</v>
      </c>
      <c r="F74" s="7" t="str">
        <f>IFERROR(__xludf.DUMMYFUNCTION("""COMPUTED_VALUE"""),"0684236557")</f>
        <v>0684236557</v>
      </c>
      <c r="G74" s="6" t="str">
        <f>IFERROR(__xludf.DUMMYFUNCTION("""COMPUTED_VALUE"""),"aptito2@abv.bg")</f>
        <v>aptito2@abv.bg</v>
      </c>
      <c r="H74" s="6" t="str">
        <f>IFERROR(__xludf.DUMMYFUNCTION("""COMPUTED_VALUE"""),"Jan ten Brinkstraat 97")</f>
        <v>Jan ten Brinkstraat 97</v>
      </c>
      <c r="I74" s="6" t="str">
        <f>IFERROR(__xludf.DUMMYFUNCTION("""COMPUTED_VALUE"""),"2522HW")</f>
        <v>2522HW</v>
      </c>
      <c r="J74" s="6" t="str">
        <f>IFERROR(__xludf.DUMMYFUNCTION("""COMPUTED_VALUE"""),"s-Gravenhage")</f>
        <v>s-Gravenhage</v>
      </c>
      <c r="K74" s="6" t="str">
        <f>IFERROR(__xludf.DUMMYFUNCTION("""COMPUTED_VALUE"""),"Nederland")</f>
        <v>Nederland</v>
      </c>
      <c r="L74" s="6" t="str">
        <f>IFERROR(__xludf.DUMMYFUNCTION("""COMPUTED_VALUE"""),"Караманов")</f>
        <v>Караманов</v>
      </c>
      <c r="M74" s="8">
        <f>IFERROR(__xludf.DUMMYFUNCTION("""COMPUTED_VALUE"""),43175.0)</f>
        <v>43175</v>
      </c>
      <c r="N74" s="6" t="str">
        <f>IFERROR(__xludf.DUMMYFUNCTION("""COMPUTED_VALUE"""),"NL686549752B01")</f>
        <v>NL686549752B01</v>
      </c>
      <c r="O74" s="6">
        <f>IFERROR(__xludf.DUMMYFUNCTION("""COMPUTED_VALUE"""),7.0646945E7)</f>
        <v>70646945</v>
      </c>
      <c r="P74" s="6" t="str">
        <f>IFERROR(__xludf.DUMMYFUNCTION("""COMPUTED_VALUE"""),"NL30INGB0008176483")</f>
        <v>NL30INGB0008176483</v>
      </c>
      <c r="Q74" s="9">
        <f>IFERROR(__xludf.DUMMYFUNCTION("""COMPUTED_VALUE"""),43101.0)</f>
        <v>43101</v>
      </c>
      <c r="R74" s="6"/>
      <c r="S74" s="6" t="str">
        <f>IFERROR(__xludf.DUMMYFUNCTION("""COMPUTED_VALUE"""),"NL002516824B97")</f>
        <v>NL002516824B97</v>
      </c>
      <c r="T74" s="6">
        <f>IFERROR(__xludf.DUMMYFUNCTION("""COMPUTED_VALUE"""),6.86549752E8)</f>
        <v>686549752</v>
      </c>
      <c r="U74" s="7" t="str">
        <f>IFERROR(__xludf.DUMMYFUNCTION("""COMPUTED_VALUE"""),"Eenmanszaak")</f>
        <v>Eenmanszaak</v>
      </c>
      <c r="V74" s="7" t="str">
        <f>IFERROR(__xludf.DUMMYFUNCTION("""COMPUTED_VALUE"""),"000038895439")</f>
        <v>000038895439</v>
      </c>
      <c r="W74" s="6" t="str">
        <f>IFERROR(__xludf.DUMMYFUNCTION("""COMPUTED_VALUE"""),"ink.bisibouw.2288aa@zarabota.nl")</f>
        <v>ink.bisibouw.2288aa@zarabota.nl</v>
      </c>
      <c r="X74" s="6" t="str">
        <f>IFERROR(__xludf.DUMMYFUNCTION("""COMPUTED_VALUE"""),"ver.bisibouw.2288aa@zarabota.nl")</f>
        <v>ver.bisibouw.2288aa@zarabota.nl</v>
      </c>
      <c r="Y74" s="6" t="str">
        <f>IFERROR(__xludf.DUMMYFUNCTION("""COMPUTED_VALUE"""),"Hr.")</f>
        <v>Hr.</v>
      </c>
      <c r="Z74" s="6" t="str">
        <f>IFERROR(__xludf.DUMMYFUNCTION("""COMPUTED_VALUE"""),"Atanas Stoyanov")</f>
        <v>Atanas Stoyanov</v>
      </c>
      <c r="AA74" s="6" t="str">
        <f>IFERROR(__xludf.DUMMYFUNCTION("""COMPUTED_VALUE"""),"Karamanov")</f>
        <v>Karamanov</v>
      </c>
      <c r="AB74" s="6" t="str">
        <f>IFERROR(__xludf.DUMMYFUNCTION("""COMPUTED_VALUE"""),"A.S.")</f>
        <v>A.S.</v>
      </c>
      <c r="AC74" s="6">
        <f>IFERROR(__xludf.DUMMYFUNCTION("""COMPUTED_VALUE"""),6.86549752E8)</f>
        <v>686549752</v>
      </c>
      <c r="AD74" s="9">
        <f>IFERROR(__xludf.DUMMYFUNCTION("""COMPUTED_VALUE"""),30756.0)</f>
        <v>30756</v>
      </c>
      <c r="AE74" s="6" t="str">
        <f>IFERROR(__xludf.DUMMYFUNCTION("""COMPUTED_VALUE"""),"bg")</f>
        <v>bg</v>
      </c>
      <c r="AF74" s="6" t="str">
        <f>IFERROR(__xludf.DUMMYFUNCTION("""COMPUTED_VALUE"""),"Parvomay")</f>
        <v>Parvomay</v>
      </c>
      <c r="AG74" s="6" t="str">
        <f>IFERROR(__xludf.DUMMYFUNCTION("""COMPUTED_VALUE"""),"Hr. A.S. Karamanov")</f>
        <v>Hr. A.S. Karamanov</v>
      </c>
      <c r="AH74" s="6" t="str">
        <f>IFERROR(__xludf.DUMMYFUNCTION("""COMPUTED_VALUE"""),"NL07INGB0703358146")</f>
        <v>NL07INGB0703358146</v>
      </c>
      <c r="AI74" s="6"/>
      <c r="AJ74" s="6" t="str">
        <f>IFERROR(__xludf.DUMMYFUNCTION("""COMPUTED_VALUE"""),"ID Kaart")</f>
        <v>ID Kaart</v>
      </c>
      <c r="AK74" s="6">
        <f>IFERROR(__xludf.DUMMYFUNCTION("""COMPUTED_VALUE"""),6.48198592E8)</f>
        <v>648198592</v>
      </c>
      <c r="AL74" s="9">
        <f>IFERROR(__xludf.DUMMYFUNCTION("""COMPUTED_VALUE"""),47247.0)</f>
        <v>47247</v>
      </c>
      <c r="AM74" s="6"/>
      <c r="AN74" s="6" t="str">
        <f>IFERROR(__xludf.DUMMYFUNCTION("""COMPUTED_VALUE"""),"Atanas Stoyanov Karamanov")</f>
        <v>Atanas Stoyanov Karamanov</v>
      </c>
      <c r="AO74" s="6"/>
    </row>
    <row r="75">
      <c r="A75" s="6" t="str">
        <f>IFERROR(__xludf.DUMMYFUNCTION("""COMPUTED_VALUE"""),"Blagodat")</f>
        <v>Blagodat</v>
      </c>
      <c r="B75" s="6" t="str">
        <f>IFERROR(__xludf.DUMMYFUNCTION("""COMPUTED_VALUE"""),"Blagodat")</f>
        <v>Blagodat</v>
      </c>
      <c r="C75" s="6">
        <f>IFERROR(__xludf.DUMMYFUNCTION("""COMPUTED_VALUE"""),1125.0)</f>
        <v>1125</v>
      </c>
      <c r="D75" s="7" t="str">
        <f>IFERROR(__xludf.DUMMYFUNCTION("""COMPUTED_VALUE"""),"Bozhana Demireva Kalcheva")</f>
        <v>Bozhana Demireva Kalcheva</v>
      </c>
      <c r="E75" s="7" t="str">
        <f>IFERROR(__xludf.DUMMYFUNCTION("""COMPUTED_VALUE"""),"SBI-code: 4120 - Algemene burgerlijke en utiliteitsbouw")</f>
        <v>SBI-code: 4120 - Algemene burgerlijke en utiliteitsbouw</v>
      </c>
      <c r="F75" s="7" t="str">
        <f>IFERROR(__xludf.DUMMYFUNCTION("""COMPUTED_VALUE"""),"0684536005")</f>
        <v>0684536005</v>
      </c>
      <c r="G75" s="6" t="str">
        <f>IFERROR(__xludf.DUMMYFUNCTION("""COMPUTED_VALUE"""),"bojikalcheva9@gmail.com")</f>
        <v>bojikalcheva9@gmail.com</v>
      </c>
      <c r="H75" s="6" t="str">
        <f>IFERROR(__xludf.DUMMYFUNCTION("""COMPUTED_VALUE"""),"Jan van Rodestraat 102")</f>
        <v>Jan van Rodestraat 102</v>
      </c>
      <c r="I75" s="6" t="str">
        <f>IFERROR(__xludf.DUMMYFUNCTION("""COMPUTED_VALUE"""),"2531XV")</f>
        <v>2531XV</v>
      </c>
      <c r="J75" s="6" t="str">
        <f>IFERROR(__xludf.DUMMYFUNCTION("""COMPUTED_VALUE"""),"s-Gravenhage")</f>
        <v>s-Gravenhage</v>
      </c>
      <c r="K75" s="6" t="str">
        <f>IFERROR(__xludf.DUMMYFUNCTION("""COMPUTED_VALUE"""),"Nederland")</f>
        <v>Nederland</v>
      </c>
      <c r="L75" s="6" t="str">
        <f>IFERROR(__xludf.DUMMYFUNCTION("""COMPUTED_VALUE"""),"Калчева")</f>
        <v>Калчева</v>
      </c>
      <c r="M75" s="8">
        <f>IFERROR(__xludf.DUMMYFUNCTION("""COMPUTED_VALUE"""),44092.0)</f>
        <v>44092</v>
      </c>
      <c r="N75" s="6" t="str">
        <f>IFERROR(__xludf.DUMMYFUNCTION("""COMPUTED_VALUE"""),"NL306435238B01")</f>
        <v>NL306435238B01</v>
      </c>
      <c r="O75" s="6">
        <f>IFERROR(__xludf.DUMMYFUNCTION("""COMPUTED_VALUE"""),8.03483E7)</f>
        <v>80348300</v>
      </c>
      <c r="P75" s="6" t="str">
        <f>IFERROR(__xludf.DUMMYFUNCTION("""COMPUTED_VALUE"""),"NL07INGB0009388136")</f>
        <v>NL07INGB0009388136</v>
      </c>
      <c r="Q75" s="9">
        <f>IFERROR(__xludf.DUMMYFUNCTION("""COMPUTED_VALUE"""),44092.0)</f>
        <v>44092</v>
      </c>
      <c r="R75" s="6"/>
      <c r="S75" s="6" t="str">
        <f>IFERROR(__xludf.DUMMYFUNCTION("""COMPUTED_VALUE"""),"NL003426503B77")</f>
        <v>NL003426503B77</v>
      </c>
      <c r="T75" s="6">
        <f>IFERROR(__xludf.DUMMYFUNCTION("""COMPUTED_VALUE"""),3.06435238E8)</f>
        <v>306435238</v>
      </c>
      <c r="U75" s="7" t="str">
        <f>IFERROR(__xludf.DUMMYFUNCTION("""COMPUTED_VALUE"""),"Eenmanszaak")</f>
        <v>Eenmanszaak</v>
      </c>
      <c r="V75" s="7" t="str">
        <f>IFERROR(__xludf.DUMMYFUNCTION("""COMPUTED_VALUE"""),"000046708987")</f>
        <v>000046708987</v>
      </c>
      <c r="W75" s="6" t="str">
        <f>IFERROR(__xludf.DUMMYFUNCTION("""COMPUTED_VALUE"""),"ink.blagodat.2288aa@zarabota.nl")</f>
        <v>ink.blagodat.2288aa@zarabota.nl</v>
      </c>
      <c r="X75" s="6" t="str">
        <f>IFERROR(__xludf.DUMMYFUNCTION("""COMPUTED_VALUE"""),"ver.blagodat.2288aa@zarabota.nl")</f>
        <v>ver.blagodat.2288aa@zarabota.nl</v>
      </c>
      <c r="Y75" s="6" t="str">
        <f>IFERROR(__xludf.DUMMYFUNCTION("""COMPUTED_VALUE"""),"Mw.")</f>
        <v>Mw.</v>
      </c>
      <c r="Z75" s="6" t="str">
        <f>IFERROR(__xludf.DUMMYFUNCTION("""COMPUTED_VALUE"""),"Bozhana Demireva")</f>
        <v>Bozhana Demireva</v>
      </c>
      <c r="AA75" s="6" t="str">
        <f>IFERROR(__xludf.DUMMYFUNCTION("""COMPUTED_VALUE"""),"Kalcheva")</f>
        <v>Kalcheva</v>
      </c>
      <c r="AB75" s="6" t="str">
        <f>IFERROR(__xludf.DUMMYFUNCTION("""COMPUTED_VALUE"""),"B.D.")</f>
        <v>B.D.</v>
      </c>
      <c r="AC75" s="6">
        <f>IFERROR(__xludf.DUMMYFUNCTION("""COMPUTED_VALUE"""),3.06435238E8)</f>
        <v>306435238</v>
      </c>
      <c r="AD75" s="9">
        <f>IFERROR(__xludf.DUMMYFUNCTION("""COMPUTED_VALUE"""),32591.0)</f>
        <v>32591</v>
      </c>
      <c r="AE75" s="6" t="str">
        <f>IFERROR(__xludf.DUMMYFUNCTION("""COMPUTED_VALUE"""),"bg")</f>
        <v>bg</v>
      </c>
      <c r="AF75" s="6" t="str">
        <f>IFERROR(__xludf.DUMMYFUNCTION("""COMPUTED_VALUE"""),"Stara Zagora")</f>
        <v>Stara Zagora</v>
      </c>
      <c r="AG75" s="6" t="str">
        <f>IFERROR(__xludf.DUMMYFUNCTION("""COMPUTED_VALUE"""),"Mw. B.D. Kalcheva")</f>
        <v>Mw. B.D. Kalcheva</v>
      </c>
      <c r="AH75" s="6"/>
      <c r="AI75" s="6"/>
      <c r="AJ75" s="6" t="str">
        <f>IFERROR(__xludf.DUMMYFUNCTION("""COMPUTED_VALUE"""),"ID Kaart")</f>
        <v>ID Kaart</v>
      </c>
      <c r="AK75" s="6"/>
      <c r="AL75" s="9">
        <f>IFERROR(__xludf.DUMMYFUNCTION("""COMPUTED_VALUE"""),46980.0)</f>
        <v>46980</v>
      </c>
      <c r="AM75" s="6" t="str">
        <f>IFERROR(__xludf.DUMMYFUNCTION("""COMPUTED_VALUE"""),"Bulgarije")</f>
        <v>Bulgarije</v>
      </c>
      <c r="AN75" s="6" t="str">
        <f>IFERROR(__xludf.DUMMYFUNCTION("""COMPUTED_VALUE"""),"Bozhana Demireva Kalcheva")</f>
        <v>Bozhana Demireva Kalcheva</v>
      </c>
      <c r="AO75" s="6">
        <f>IFERROR(__xludf.DUMMYFUNCTION("""COMPUTED_VALUE"""),1125.0)</f>
        <v>1125</v>
      </c>
    </row>
    <row r="76">
      <c r="A76" s="6" t="str">
        <f>IFERROR(__xludf.DUMMYFUNCTION("""COMPUTED_VALUE"""),"BM &amp; KM Bouwbedrijf VOF")</f>
        <v>BM &amp; KM Bouwbedrijf VOF</v>
      </c>
      <c r="B76" s="6" t="str">
        <f>IFERROR(__xludf.DUMMYFUNCTION("""COMPUTED_VALUE"""),"BM &amp; KM Bouwbedrijf VOF")</f>
        <v>BM &amp; KM Bouwbedrijf VOF</v>
      </c>
      <c r="C76" s="6">
        <f>IFERROR(__xludf.DUMMYFUNCTION("""COMPUTED_VALUE"""),452.0)</f>
        <v>452</v>
      </c>
      <c r="D76" s="7" t="str">
        <f>IFERROR(__xludf.DUMMYFUNCTION("""COMPUTED_VALUE"""),"Karolina Ivaylova Yaneva")</f>
        <v>Karolina Ivaylova Yaneva</v>
      </c>
      <c r="E76" s="7" t="str">
        <f>IFERROR(__xludf.DUMMYFUNCTION("""COMPUTED_VALUE"""),"SBI-code: 4120 - Algemene burgerlijke en utiliteitsbouw")</f>
        <v>SBI-code: 4120 - Algemene burgerlijke en utiliteitsbouw</v>
      </c>
      <c r="F76" s="7" t="str">
        <f>IFERROR(__xludf.DUMMYFUNCTION("""COMPUTED_VALUE"""),"0624962096")</f>
        <v>0624962096</v>
      </c>
      <c r="G76" s="6" t="str">
        <f>IFERROR(__xludf.DUMMYFUNCTION("""COMPUTED_VALUE"""),"bmkmbouw@gmail.com")</f>
        <v>bmkmbouw@gmail.com</v>
      </c>
      <c r="H76" s="6" t="str">
        <f>IFERROR(__xludf.DUMMYFUNCTION("""COMPUTED_VALUE"""),"Lepelaarsingel 12")</f>
        <v>Lepelaarsingel 12</v>
      </c>
      <c r="I76" s="6" t="str">
        <f>IFERROR(__xludf.DUMMYFUNCTION("""COMPUTED_VALUE"""),"3136PA")</f>
        <v>3136PA</v>
      </c>
      <c r="J76" s="6" t="str">
        <f>IFERROR(__xludf.DUMMYFUNCTION("""COMPUTED_VALUE"""),"Vlaardingen")</f>
        <v>Vlaardingen</v>
      </c>
      <c r="K76" s="6" t="str">
        <f>IFERROR(__xludf.DUMMYFUNCTION("""COMPUTED_VALUE"""),"Nederland")</f>
        <v>Nederland</v>
      </c>
      <c r="L76" s="6" t="str">
        <f>IFERROR(__xludf.DUMMYFUNCTION("""COMPUTED_VALUE"""),"Янева")</f>
        <v>Янева</v>
      </c>
      <c r="M76" s="8">
        <f>IFERROR(__xludf.DUMMYFUNCTION("""COMPUTED_VALUE"""),43175.0)</f>
        <v>43175</v>
      </c>
      <c r="N76" s="6" t="str">
        <f>IFERROR(__xludf.DUMMYFUNCTION("""COMPUTED_VALUE"""),"NL857789430B01")</f>
        <v>NL857789430B01</v>
      </c>
      <c r="O76" s="6">
        <f>IFERROR(__xludf.DUMMYFUNCTION("""COMPUTED_VALUE"""),6.9221529E7)</f>
        <v>69221529</v>
      </c>
      <c r="P76" s="6" t="str">
        <f>IFERROR(__xludf.DUMMYFUNCTION("""COMPUTED_VALUE"""),"NL50INGB0007950598")</f>
        <v>NL50INGB0007950598</v>
      </c>
      <c r="Q76" s="9">
        <f>IFERROR(__xludf.DUMMYFUNCTION("""COMPUTED_VALUE"""),42934.0)</f>
        <v>42934</v>
      </c>
      <c r="R76" s="6"/>
      <c r="S76" s="6" t="str">
        <f>IFERROR(__xludf.DUMMYFUNCTION("""COMPUTED_VALUE"""),"NL857789430B01")</f>
        <v>NL857789430B01</v>
      </c>
      <c r="T76" s="6">
        <f>IFERROR(__xludf.DUMMYFUNCTION("""COMPUTED_VALUE"""),8.5778943E8)</f>
        <v>857789430</v>
      </c>
      <c r="U76" s="7" t="str">
        <f>IFERROR(__xludf.DUMMYFUNCTION("""COMPUTED_VALUE"""),"Eenmanszaak")</f>
        <v>Eenmanszaak</v>
      </c>
      <c r="V76" s="7" t="str">
        <f>IFERROR(__xludf.DUMMYFUNCTION("""COMPUTED_VALUE"""),"000037586955")</f>
        <v>000037586955</v>
      </c>
      <c r="W76" s="6" t="str">
        <f>IFERROR(__xludf.DUMMYFUNCTION("""COMPUTED_VALUE"""),"ink.bmenkmbouwbedrijfvof.2288aa@zarabota.nl")</f>
        <v>ink.bmenkmbouwbedrijfvof.2288aa@zarabota.nl</v>
      </c>
      <c r="X76" s="6" t="str">
        <f>IFERROR(__xludf.DUMMYFUNCTION("""COMPUTED_VALUE"""),"ver.bmenkmbouwbedrijfvof.2288aa@zarabota.nl")</f>
        <v>ver.bmenkmbouwbedrijfvof.2288aa@zarabota.nl</v>
      </c>
      <c r="Y76" s="6" t="str">
        <f>IFERROR(__xludf.DUMMYFUNCTION("""COMPUTED_VALUE"""),"Mw.")</f>
        <v>Mw.</v>
      </c>
      <c r="Z76" s="6" t="str">
        <f>IFERROR(__xludf.DUMMYFUNCTION("""COMPUTED_VALUE"""),"Karolina Ivaylova")</f>
        <v>Karolina Ivaylova</v>
      </c>
      <c r="AA76" s="6" t="str">
        <f>IFERROR(__xludf.DUMMYFUNCTION("""COMPUTED_VALUE"""),"Yaneva")</f>
        <v>Yaneva</v>
      </c>
      <c r="AB76" s="6" t="str">
        <f>IFERROR(__xludf.DUMMYFUNCTION("""COMPUTED_VALUE"""),"K.I.")</f>
        <v>K.I.</v>
      </c>
      <c r="AC76" s="6">
        <f>IFERROR(__xludf.DUMMYFUNCTION("""COMPUTED_VALUE"""),6.69385451E8)</f>
        <v>669385451</v>
      </c>
      <c r="AD76" s="9">
        <f>IFERROR(__xludf.DUMMYFUNCTION("""COMPUTED_VALUE"""),33468.0)</f>
        <v>33468</v>
      </c>
      <c r="AE76" s="6" t="str">
        <f>IFERROR(__xludf.DUMMYFUNCTION("""COMPUTED_VALUE"""),"bg")</f>
        <v>bg</v>
      </c>
      <c r="AF76" s="6" t="str">
        <f>IFERROR(__xludf.DUMMYFUNCTION("""COMPUTED_VALUE"""),"Sofia")</f>
        <v>Sofia</v>
      </c>
      <c r="AG76" s="6" t="str">
        <f>IFERROR(__xludf.DUMMYFUNCTION("""COMPUTED_VALUE"""),"Mw. K.I. Yaneva")</f>
        <v>Mw. K.I. Yaneva</v>
      </c>
      <c r="AH76" s="6"/>
      <c r="AI76" s="6"/>
      <c r="AJ76" s="6"/>
      <c r="AK76" s="6"/>
      <c r="AL76" s="6"/>
      <c r="AM76" s="6"/>
      <c r="AN76" s="6" t="str">
        <f>IFERROR(__xludf.DUMMYFUNCTION("""COMPUTED_VALUE"""),"Karolina Ivaylova Yaneva")</f>
        <v>Karolina Ivaylova Yaneva</v>
      </c>
      <c r="AO76" s="6"/>
    </row>
    <row r="77">
      <c r="A77" s="6" t="str">
        <f>IFERROR(__xludf.DUMMYFUNCTION("""COMPUTED_VALUE"""),"Bogdan Bouw")</f>
        <v>Bogdan Bouw</v>
      </c>
      <c r="B77" s="6" t="str">
        <f>IFERROR(__xludf.DUMMYFUNCTION("""COMPUTED_VALUE"""),"Bogdan Bouw")</f>
        <v>Bogdan Bouw</v>
      </c>
      <c r="C77" s="6">
        <f>IFERROR(__xludf.DUMMYFUNCTION("""COMPUTED_VALUE"""),591.0)</f>
        <v>591</v>
      </c>
      <c r="D77" s="7" t="str">
        <f>IFERROR(__xludf.DUMMYFUNCTION("""COMPUTED_VALUE"""),"Boguslaw Marcinczyk")</f>
        <v>Boguslaw Marcinczyk</v>
      </c>
      <c r="E77" s="7" t="str">
        <f>IFERROR(__xludf.DUMMYFUNCTION("""COMPUTED_VALUE"""),"SBI-code: 4120 - Algemene burgerlijke en utiliteitsbouw")</f>
        <v>SBI-code: 4120 - Algemene burgerlijke en utiliteitsbouw</v>
      </c>
      <c r="F77" s="7" t="str">
        <f>IFERROR(__xludf.DUMMYFUNCTION("""COMPUTED_VALUE"""),"0647013881")</f>
        <v>0647013881</v>
      </c>
      <c r="G77" s="6" t="str">
        <f>IFERROR(__xludf.DUMMYFUNCTION("""COMPUTED_VALUE"""),"boguslawmarcinczyk@wp.pl")</f>
        <v>boguslawmarcinczyk@wp.pl</v>
      </c>
      <c r="H77" s="6" t="str">
        <f>IFERROR(__xludf.DUMMYFUNCTION("""COMPUTED_VALUE"""),"Obrecht 46")</f>
        <v>Obrecht 46</v>
      </c>
      <c r="I77" s="6" t="str">
        <f>IFERROR(__xludf.DUMMYFUNCTION("""COMPUTED_VALUE"""),"2681JM")</f>
        <v>2681JM</v>
      </c>
      <c r="J77" s="6" t="str">
        <f>IFERROR(__xludf.DUMMYFUNCTION("""COMPUTED_VALUE"""),"s-Gravenhage")</f>
        <v>s-Gravenhage</v>
      </c>
      <c r="K77" s="6" t="str">
        <f>IFERROR(__xludf.DUMMYFUNCTION("""COMPUTED_VALUE"""),"Nederland")</f>
        <v>Nederland</v>
      </c>
      <c r="L77" s="6" t="str">
        <f>IFERROR(__xludf.DUMMYFUNCTION("""COMPUTED_VALUE"""),"Marcinczyk")</f>
        <v>Marcinczyk</v>
      </c>
      <c r="M77" s="8">
        <f>IFERROR(__xludf.DUMMYFUNCTION("""COMPUTED_VALUE"""),43221.0)</f>
        <v>43221</v>
      </c>
      <c r="N77" s="6" t="str">
        <f>IFERROR(__xludf.DUMMYFUNCTION("""COMPUTED_VALUE"""),"NL253712361B01")</f>
        <v>NL253712361B01</v>
      </c>
      <c r="O77" s="6">
        <f>IFERROR(__xludf.DUMMYFUNCTION("""COMPUTED_VALUE"""),7.187259E7)</f>
        <v>71872590</v>
      </c>
      <c r="P77" s="6" t="str">
        <f>IFERROR(__xludf.DUMMYFUNCTION("""COMPUTED_VALUE"""),"NL24INGB0008440722")</f>
        <v>NL24INGB0008440722</v>
      </c>
      <c r="Q77" s="9">
        <f>IFERROR(__xludf.DUMMYFUNCTION("""COMPUTED_VALUE"""),43221.0)</f>
        <v>43221</v>
      </c>
      <c r="R77" s="6"/>
      <c r="S77" s="6" t="str">
        <f>IFERROR(__xludf.DUMMYFUNCTION("""COMPUTED_VALUE"""),"NL002445084B28")</f>
        <v>NL002445084B28</v>
      </c>
      <c r="T77" s="6">
        <f>IFERROR(__xludf.DUMMYFUNCTION("""COMPUTED_VALUE"""),2.53712361E8)</f>
        <v>253712361</v>
      </c>
      <c r="U77" s="7" t="str">
        <f>IFERROR(__xludf.DUMMYFUNCTION("""COMPUTED_VALUE"""),"Eenmanszaak")</f>
        <v>Eenmanszaak</v>
      </c>
      <c r="V77" s="7" t="str">
        <f>IFERROR(__xludf.DUMMYFUNCTION("""COMPUTED_VALUE"""),"000040026183")</f>
        <v>000040026183</v>
      </c>
      <c r="W77" s="6" t="str">
        <f>IFERROR(__xludf.DUMMYFUNCTION("""COMPUTED_VALUE"""),"ink.bogdanbouw.2288aa@zarabota.nl")</f>
        <v>ink.bogdanbouw.2288aa@zarabota.nl</v>
      </c>
      <c r="X77" s="6" t="str">
        <f>IFERROR(__xludf.DUMMYFUNCTION("""COMPUTED_VALUE"""),"ver.bogdanbouw.2288aa@zarabota.nl")</f>
        <v>ver.bogdanbouw.2288aa@zarabota.nl</v>
      </c>
      <c r="Y77" s="6" t="str">
        <f>IFERROR(__xludf.DUMMYFUNCTION("""COMPUTED_VALUE"""),"Hr.")</f>
        <v>Hr.</v>
      </c>
      <c r="Z77" s="6" t="str">
        <f>IFERROR(__xludf.DUMMYFUNCTION("""COMPUTED_VALUE"""),"Boguslaw")</f>
        <v>Boguslaw</v>
      </c>
      <c r="AA77" s="6" t="str">
        <f>IFERROR(__xludf.DUMMYFUNCTION("""COMPUTED_VALUE"""),"Marcinczyk")</f>
        <v>Marcinczyk</v>
      </c>
      <c r="AB77" s="6" t="str">
        <f>IFERROR(__xludf.DUMMYFUNCTION("""COMPUTED_VALUE"""),"B.")</f>
        <v>B.</v>
      </c>
      <c r="AC77" s="6">
        <f>IFERROR(__xludf.DUMMYFUNCTION("""COMPUTED_VALUE"""),2.53712361E8)</f>
        <v>253712361</v>
      </c>
      <c r="AD77" s="9">
        <f>IFERROR(__xludf.DUMMYFUNCTION("""COMPUTED_VALUE"""),26594.0)</f>
        <v>26594</v>
      </c>
      <c r="AE77" s="6" t="str">
        <f>IFERROR(__xludf.DUMMYFUNCTION("""COMPUTED_VALUE"""),"pl")</f>
        <v>pl</v>
      </c>
      <c r="AF77" s="6" t="str">
        <f>IFERROR(__xludf.DUMMYFUNCTION("""COMPUTED_VALUE"""),"Bialystok")</f>
        <v>Bialystok</v>
      </c>
      <c r="AG77" s="6" t="str">
        <f>IFERROR(__xludf.DUMMYFUNCTION("""COMPUTED_VALUE"""),"Hr. B. Marcinczyk")</f>
        <v>Hr. B. Marcinczyk</v>
      </c>
      <c r="AH77" s="6"/>
      <c r="AI77" s="6"/>
      <c r="AJ77" s="6" t="str">
        <f>IFERROR(__xludf.DUMMYFUNCTION("""COMPUTED_VALUE"""),"ID Kaart")</f>
        <v>ID Kaart</v>
      </c>
      <c r="AK77" s="6" t="str">
        <f>IFERROR(__xludf.DUMMYFUNCTION("""COMPUTED_VALUE"""),"CBN809409")</f>
        <v>CBN809409</v>
      </c>
      <c r="AL77" s="9">
        <f>IFERROR(__xludf.DUMMYFUNCTION("""COMPUTED_VALUE"""),46006.0)</f>
        <v>46006</v>
      </c>
      <c r="AM77" s="6"/>
      <c r="AN77" s="6" t="str">
        <f>IFERROR(__xludf.DUMMYFUNCTION("""COMPUTED_VALUE"""),"Boguslaw Marcinczyk")</f>
        <v>Boguslaw Marcinczyk</v>
      </c>
      <c r="AO77" s="6"/>
    </row>
    <row r="78">
      <c r="A78" s="6" t="str">
        <f>IFERROR(__xludf.DUMMYFUNCTION("""COMPUTED_VALUE"""),"Bomak")</f>
        <v>Bomak</v>
      </c>
      <c r="B78" s="6" t="str">
        <f>IFERROR(__xludf.DUMMYFUNCTION("""COMPUTED_VALUE"""),"Bomak")</f>
        <v>Bomak</v>
      </c>
      <c r="C78" s="6">
        <f>IFERROR(__xludf.DUMMYFUNCTION("""COMPUTED_VALUE"""),1190.0)</f>
        <v>1190</v>
      </c>
      <c r="D78" s="7" t="str">
        <f>IFERROR(__xludf.DUMMYFUNCTION("""COMPUTED_VALUE"""),"Boyan Aleksandrovski")</f>
        <v>Boyan Aleksandrovski</v>
      </c>
      <c r="E78" s="7" t="str">
        <f>IFERROR(__xludf.DUMMYFUNCTION("""COMPUTED_VALUE"""),"SBI-code: 4120 - Algemene burgerlijke en utiliteitsbouw")</f>
        <v>SBI-code: 4120 - Algemene burgerlijke en utiliteitsbouw</v>
      </c>
      <c r="F78" s="7" t="str">
        <f>IFERROR(__xludf.DUMMYFUNCTION("""COMPUTED_VALUE"""),"0624491009")</f>
        <v>0624491009</v>
      </c>
      <c r="G78" s="6" t="str">
        <f>IFERROR(__xludf.DUMMYFUNCTION("""COMPUTED_VALUE"""),"baleksandrovski@yahoo.com")</f>
        <v>baleksandrovski@yahoo.com</v>
      </c>
      <c r="H78" s="6" t="str">
        <f>IFERROR(__xludf.DUMMYFUNCTION("""COMPUTED_VALUE"""),"van Zeggelenlaan 72")</f>
        <v>van Zeggelenlaan 72</v>
      </c>
      <c r="I78" s="6" t="str">
        <f>IFERROR(__xludf.DUMMYFUNCTION("""COMPUTED_VALUE"""),"2524AR")</f>
        <v>2524AR</v>
      </c>
      <c r="J78" s="6" t="str">
        <f>IFERROR(__xludf.DUMMYFUNCTION("""COMPUTED_VALUE"""),"s-Gravenhage")</f>
        <v>s-Gravenhage</v>
      </c>
      <c r="K78" s="6" t="str">
        <f>IFERROR(__xludf.DUMMYFUNCTION("""COMPUTED_VALUE"""),"Nederland")</f>
        <v>Nederland</v>
      </c>
      <c r="L78" s="6" t="str">
        <f>IFERROR(__xludf.DUMMYFUNCTION("""COMPUTED_VALUE"""),"Александровски")</f>
        <v>Александровски</v>
      </c>
      <c r="M78" s="8">
        <f>IFERROR(__xludf.DUMMYFUNCTION("""COMPUTED_VALUE"""),44348.0)</f>
        <v>44348</v>
      </c>
      <c r="N78" s="6" t="str">
        <f>IFERROR(__xludf.DUMMYFUNCTION("""COMPUTED_VALUE"""),"NL360312986B01")</f>
        <v>NL360312986B01</v>
      </c>
      <c r="O78" s="6">
        <f>IFERROR(__xludf.DUMMYFUNCTION("""COMPUTED_VALUE"""),6.5562119E7)</f>
        <v>65562119</v>
      </c>
      <c r="P78" s="6" t="str">
        <f>IFERROR(__xludf.DUMMYFUNCTION("""COMPUTED_VALUE"""),"NL29INGB0007220469")</f>
        <v>NL29INGB0007220469</v>
      </c>
      <c r="Q78" s="9">
        <f>IFERROR(__xludf.DUMMYFUNCTION("""COMPUTED_VALUE"""),42443.0)</f>
        <v>42443</v>
      </c>
      <c r="R78" s="6"/>
      <c r="S78" s="6" t="str">
        <f>IFERROR(__xludf.DUMMYFUNCTION("""COMPUTED_VALUE"""),"NL002473283B86")</f>
        <v>NL002473283B86</v>
      </c>
      <c r="T78" s="6">
        <f>IFERROR(__xludf.DUMMYFUNCTION("""COMPUTED_VALUE"""),3.60312986E8)</f>
        <v>360312986</v>
      </c>
      <c r="U78" s="7" t="str">
        <f>IFERROR(__xludf.DUMMYFUNCTION("""COMPUTED_VALUE"""),"Eenmanszaak")</f>
        <v>Eenmanszaak</v>
      </c>
      <c r="V78" s="7" t="str">
        <f>IFERROR(__xludf.DUMMYFUNCTION("""COMPUTED_VALUE"""),"000034276068")</f>
        <v>000034276068</v>
      </c>
      <c r="W78" s="6" t="str">
        <f>IFERROR(__xludf.DUMMYFUNCTION("""COMPUTED_VALUE"""),"ink.bomak.2288aa@zarabota.nl")</f>
        <v>ink.bomak.2288aa@zarabota.nl</v>
      </c>
      <c r="X78" s="6" t="str">
        <f>IFERROR(__xludf.DUMMYFUNCTION("""COMPUTED_VALUE"""),"ver.bomak.2288aa@zarabota.nl")</f>
        <v>ver.bomak.2288aa@zarabota.nl</v>
      </c>
      <c r="Y78" s="6" t="str">
        <f>IFERROR(__xludf.DUMMYFUNCTION("""COMPUTED_VALUE"""),"Hr.")</f>
        <v>Hr.</v>
      </c>
      <c r="Z78" s="6" t="str">
        <f>IFERROR(__xludf.DUMMYFUNCTION("""COMPUTED_VALUE"""),"Boyan")</f>
        <v>Boyan</v>
      </c>
      <c r="AA78" s="6" t="str">
        <f>IFERROR(__xludf.DUMMYFUNCTION("""COMPUTED_VALUE"""),"Aleksandrovski")</f>
        <v>Aleksandrovski</v>
      </c>
      <c r="AB78" s="6" t="str">
        <f>IFERROR(__xludf.DUMMYFUNCTION("""COMPUTED_VALUE"""),"B.")</f>
        <v>B.</v>
      </c>
      <c r="AC78" s="6">
        <f>IFERROR(__xludf.DUMMYFUNCTION("""COMPUTED_VALUE"""),3.60312986E8)</f>
        <v>360312986</v>
      </c>
      <c r="AD78" s="9">
        <f>IFERROR(__xludf.DUMMYFUNCTION("""COMPUTED_VALUE"""),31717.0)</f>
        <v>31717</v>
      </c>
      <c r="AE78" s="6" t="str">
        <f>IFERROR(__xludf.DUMMYFUNCTION("""COMPUTED_VALUE"""),"bg")</f>
        <v>bg</v>
      </c>
      <c r="AF78" s="6" t="str">
        <f>IFERROR(__xludf.DUMMYFUNCTION("""COMPUTED_VALUE"""),"Macedonia")</f>
        <v>Macedonia</v>
      </c>
      <c r="AG78" s="6" t="str">
        <f>IFERROR(__xludf.DUMMYFUNCTION("""COMPUTED_VALUE"""),"Hr. B. Aleksandrovski")</f>
        <v>Hr. B. Aleksandrovski</v>
      </c>
      <c r="AH78" s="6" t="str">
        <f>IFERROR(__xludf.DUMMYFUNCTION("""COMPUTED_VALUE"""),"NL30INGB0701552174")</f>
        <v>NL30INGB0701552174</v>
      </c>
      <c r="AI78" s="6"/>
      <c r="AJ78" s="6"/>
      <c r="AK78" s="6"/>
      <c r="AL78" s="6"/>
      <c r="AM78" s="6" t="str">
        <f>IFERROR(__xludf.DUMMYFUNCTION("""COMPUTED_VALUE"""),"Noord-Macedonië")</f>
        <v>Noord-Macedonië</v>
      </c>
      <c r="AN78" s="6" t="str">
        <f>IFERROR(__xludf.DUMMYFUNCTION("""COMPUTED_VALUE"""),"Boyan Aleksandrovski")</f>
        <v>Boyan Aleksandrovski</v>
      </c>
      <c r="AO78" s="6">
        <f>IFERROR(__xludf.DUMMYFUNCTION("""COMPUTED_VALUE"""),1190.0)</f>
        <v>1190</v>
      </c>
    </row>
    <row r="79">
      <c r="A79" s="6" t="str">
        <f>IFERROR(__xludf.DUMMYFUNCTION("""COMPUTED_VALUE"""),"Bonchev Construction")</f>
        <v>Bonchev Construction</v>
      </c>
      <c r="B79" s="6" t="str">
        <f>IFERROR(__xludf.DUMMYFUNCTION("""COMPUTED_VALUE"""),"Bonchev Construction")</f>
        <v>Bonchev Construction</v>
      </c>
      <c r="C79" s="6">
        <f>IFERROR(__xludf.DUMMYFUNCTION("""COMPUTED_VALUE"""),1650.0)</f>
        <v>1650</v>
      </c>
      <c r="D79" s="7" t="str">
        <f>IFERROR(__xludf.DUMMYFUNCTION("""COMPUTED_VALUE"""),"Martin Tsvetanov Bonchev")</f>
        <v>Martin Tsvetanov Bonchev</v>
      </c>
      <c r="E79" s="7" t="str">
        <f>IFERROR(__xludf.DUMMYFUNCTION("""COMPUTED_VALUE"""),"SBI-code: 4120 - Algemene burgerlijke en utiliteitsbouw")</f>
        <v>SBI-code: 4120 - Algemene burgerlijke en utiliteitsbouw</v>
      </c>
      <c r="F79" s="7" t="str">
        <f>IFERROR(__xludf.DUMMYFUNCTION("""COMPUTED_VALUE"""),"+359885063008")</f>
        <v>+359885063008</v>
      </c>
      <c r="G79" s="6" t="str">
        <f>IFERROR(__xludf.DUMMYFUNCTION("""COMPUTED_VALUE"""),"bonqta.02@gmail.com")</f>
        <v>bonqta.02@gmail.com</v>
      </c>
      <c r="H79" s="6" t="str">
        <f>IFERROR(__xludf.DUMMYFUNCTION("""COMPUTED_VALUE"""),"Professor de Moorplein 221")</f>
        <v>Professor de Moorplein 221</v>
      </c>
      <c r="I79" s="6" t="str">
        <f>IFERROR(__xludf.DUMMYFUNCTION("""COMPUTED_VALUE"""),"5037DN")</f>
        <v>5037DN</v>
      </c>
      <c r="J79" s="6" t="str">
        <f>IFERROR(__xludf.DUMMYFUNCTION("""COMPUTED_VALUE"""),"s-Gravenhage")</f>
        <v>s-Gravenhage</v>
      </c>
      <c r="K79" s="6" t="str">
        <f>IFERROR(__xludf.DUMMYFUNCTION("""COMPUTED_VALUE"""),"Nederland")</f>
        <v>Nederland</v>
      </c>
      <c r="L79" s="6" t="str">
        <f>IFERROR(__xludf.DUMMYFUNCTION("""COMPUTED_VALUE"""),"Бончев")</f>
        <v>Бончев</v>
      </c>
      <c r="M79" s="8">
        <f>IFERROR(__xludf.DUMMYFUNCTION("""COMPUTED_VALUE"""),45483.0)</f>
        <v>45483</v>
      </c>
      <c r="N79" s="6" t="str">
        <f>IFERROR(__xludf.DUMMYFUNCTION("""COMPUTED_VALUE"""),"NL679235899B01")</f>
        <v>NL679235899B01</v>
      </c>
      <c r="O79" s="6">
        <f>IFERROR(__xludf.DUMMYFUNCTION("""COMPUTED_VALUE"""),9.4421277E7)</f>
        <v>94421277</v>
      </c>
      <c r="P79" s="6" t="str">
        <f>IFERROR(__xludf.DUMMYFUNCTION("""COMPUTED_VALUE"""),"NL39INGB0107590263")</f>
        <v>NL39INGB0107590263</v>
      </c>
      <c r="Q79" s="9">
        <f>IFERROR(__xludf.DUMMYFUNCTION("""COMPUTED_VALUE"""),45483.0)</f>
        <v>45483</v>
      </c>
      <c r="R79" s="6"/>
      <c r="S79" s="6" t="str">
        <f>IFERROR(__xludf.DUMMYFUNCTION("""COMPUTED_VALUE"""),"NL005082271B81")</f>
        <v>NL005082271B81</v>
      </c>
      <c r="T79" s="6">
        <f>IFERROR(__xludf.DUMMYFUNCTION("""COMPUTED_VALUE"""),6.79235899E8)</f>
        <v>679235899</v>
      </c>
      <c r="U79" s="7" t="str">
        <f>IFERROR(__xludf.DUMMYFUNCTION("""COMPUTED_VALUE"""),"Eenmanszaak")</f>
        <v>Eenmanszaak</v>
      </c>
      <c r="V79" s="7" t="str">
        <f>IFERROR(__xludf.DUMMYFUNCTION("""COMPUTED_VALUE"""),"000059889004")</f>
        <v>000059889004</v>
      </c>
      <c r="W79" s="6" t="str">
        <f>IFERROR(__xludf.DUMMYFUNCTION("""COMPUTED_VALUE"""),"ink.bonchev.2288aa@zarabota.nl")</f>
        <v>ink.bonchev.2288aa@zarabota.nl</v>
      </c>
      <c r="X79" s="6" t="str">
        <f>IFERROR(__xludf.DUMMYFUNCTION("""COMPUTED_VALUE"""),"ver.bonchev.2288aa@zarabota.nl")</f>
        <v>ver.bonchev.2288aa@zarabota.nl</v>
      </c>
      <c r="Y79" s="6" t="str">
        <f>IFERROR(__xludf.DUMMYFUNCTION("""COMPUTED_VALUE"""),"Hr.")</f>
        <v>Hr.</v>
      </c>
      <c r="Z79" s="6" t="str">
        <f>IFERROR(__xludf.DUMMYFUNCTION("""COMPUTED_VALUE"""),"Martin Tsvetanov")</f>
        <v>Martin Tsvetanov</v>
      </c>
      <c r="AA79" s="6" t="str">
        <f>IFERROR(__xludf.DUMMYFUNCTION("""COMPUTED_VALUE"""),"Bonchev")</f>
        <v>Bonchev</v>
      </c>
      <c r="AB79" s="6" t="str">
        <f>IFERROR(__xludf.DUMMYFUNCTION("""COMPUTED_VALUE"""),"M.T.")</f>
        <v>M.T.</v>
      </c>
      <c r="AC79" s="6">
        <f>IFERROR(__xludf.DUMMYFUNCTION("""COMPUTED_VALUE"""),6.79235899E8)</f>
        <v>679235899</v>
      </c>
      <c r="AD79" s="9">
        <f>IFERROR(__xludf.DUMMYFUNCTION("""COMPUTED_VALUE"""),37331.0)</f>
        <v>37331</v>
      </c>
      <c r="AE79" s="6" t="str">
        <f>IFERROR(__xludf.DUMMYFUNCTION("""COMPUTED_VALUE"""),"bg")</f>
        <v>bg</v>
      </c>
      <c r="AF79" s="6" t="str">
        <f>IFERROR(__xludf.DUMMYFUNCTION("""COMPUTED_VALUE"""),"Burgas")</f>
        <v>Burgas</v>
      </c>
      <c r="AG79" s="6" t="str">
        <f>IFERROR(__xludf.DUMMYFUNCTION("""COMPUTED_VALUE"""),"Hr. M.T. Bonchev")</f>
        <v>Hr. M.T. Bonchev</v>
      </c>
      <c r="AH79" s="6" t="str">
        <f>IFERROR(__xludf.DUMMYFUNCTION("""COMPUTED_VALUE"""),"NL98INGB0626827000")</f>
        <v>NL98INGB0626827000</v>
      </c>
      <c r="AI79" s="6"/>
      <c r="AJ79" s="6" t="str">
        <f>IFERROR(__xludf.DUMMYFUNCTION("""COMPUTED_VALUE"""),"ID Kaart")</f>
        <v>ID Kaart</v>
      </c>
      <c r="AK79" s="6">
        <f>IFERROR(__xludf.DUMMYFUNCTION("""COMPUTED_VALUE"""),6.5286363E8)</f>
        <v>652863630</v>
      </c>
      <c r="AL79" s="9">
        <f>IFERROR(__xludf.DUMMYFUNCTION("""COMPUTED_VALUE"""),48896.0)</f>
        <v>48896</v>
      </c>
      <c r="AM79" s="6" t="str">
        <f>IFERROR(__xludf.DUMMYFUNCTION("""COMPUTED_VALUE"""),"Bulgarije")</f>
        <v>Bulgarije</v>
      </c>
      <c r="AN79" s="6" t="str">
        <f>IFERROR(__xludf.DUMMYFUNCTION("""COMPUTED_VALUE"""),"Martin Tsvetanov Bonchev")</f>
        <v>Martin Tsvetanov Bonchev</v>
      </c>
      <c r="AO79" s="6">
        <f>IFERROR(__xludf.DUMMYFUNCTION("""COMPUTED_VALUE"""),1650.0)</f>
        <v>1650</v>
      </c>
    </row>
    <row r="80">
      <c r="A80" s="6" t="str">
        <f>IFERROR(__xludf.DUMMYFUNCTION("""COMPUTED_VALUE"""),"Boratech Administraties B.V.")</f>
        <v>Boratech Administraties B.V.</v>
      </c>
      <c r="B80" s="6" t="str">
        <f>IFERROR(__xludf.DUMMYFUNCTION("""COMPUTED_VALUE"""),"Boratech Administraties B.V.")</f>
        <v>Boratech Administraties B.V.</v>
      </c>
      <c r="C80" s="6">
        <f>IFERROR(__xludf.DUMMYFUNCTION("""COMPUTED_VALUE"""),908.0)</f>
        <v>908</v>
      </c>
      <c r="D80" s="7" t="str">
        <f>IFERROR(__xludf.DUMMYFUNCTION("""COMPUTED_VALUE"""),"Hristina Atanasova Tyankova")</f>
        <v>Hristina Atanasova Tyankova</v>
      </c>
      <c r="E80" s="7" t="str">
        <f>IFERROR(__xludf.DUMMYFUNCTION("""COMPUTED_VALUE"""),"SBI-code: 4120 - Algemene burgerlijke en utiliteitsbouw")</f>
        <v>SBI-code: 4120 - Algemene burgerlijke en utiliteitsbouw</v>
      </c>
      <c r="F80" s="7" t="str">
        <f>IFERROR(__xludf.DUMMYFUNCTION("""COMPUTED_VALUE"""),"0707505651")</f>
        <v>0707505651</v>
      </c>
      <c r="G80" s="6" t="str">
        <f>IFERROR(__xludf.DUMMYFUNCTION("""COMPUTED_VALUE"""),"info@boratech.nl")</f>
        <v>info@boratech.nl</v>
      </c>
      <c r="H80" s="6" t="str">
        <f>IFERROR(__xludf.DUMMYFUNCTION("""COMPUTED_VALUE"""),"Veraartlaan 4")</f>
        <v>Veraartlaan 4</v>
      </c>
      <c r="I80" s="6" t="str">
        <f>IFERROR(__xludf.DUMMYFUNCTION("""COMPUTED_VALUE"""),"2288GM")</f>
        <v>2288GM</v>
      </c>
      <c r="J80" s="6" t="str">
        <f>IFERROR(__xludf.DUMMYFUNCTION("""COMPUTED_VALUE"""),"Rijswijk")</f>
        <v>Rijswijk</v>
      </c>
      <c r="K80" s="6" t="str">
        <f>IFERROR(__xludf.DUMMYFUNCTION("""COMPUTED_VALUE"""),"Nederland")</f>
        <v>Nederland</v>
      </c>
      <c r="L80" s="6" t="str">
        <f>IFERROR(__xludf.DUMMYFUNCTION("""COMPUTED_VALUE"""),"Тянкова")</f>
        <v>Тянкова</v>
      </c>
      <c r="M80" s="8">
        <f>IFERROR(__xludf.DUMMYFUNCTION("""COMPUTED_VALUE"""),42612.0)</f>
        <v>42612</v>
      </c>
      <c r="N80" s="6" t="str">
        <f>IFERROR(__xludf.DUMMYFUNCTION("""COMPUTED_VALUE"""),"NL856680229B01")</f>
        <v>NL856680229B01</v>
      </c>
      <c r="O80" s="6">
        <f>IFERROR(__xludf.DUMMYFUNCTION("""COMPUTED_VALUE"""),6.6740975E7)</f>
        <v>66740975</v>
      </c>
      <c r="P80" s="6" t="str">
        <f>IFERROR(__xludf.DUMMYFUNCTION("""COMPUTED_VALUE"""),"NL44INGB0007466288")</f>
        <v>NL44INGB0007466288</v>
      </c>
      <c r="Q80" s="9">
        <f>IFERROR(__xludf.DUMMYFUNCTION("""COMPUTED_VALUE"""),42612.0)</f>
        <v>42612</v>
      </c>
      <c r="R80" s="6"/>
      <c r="S80" s="6" t="str">
        <f>IFERROR(__xludf.DUMMYFUNCTION("""COMPUTED_VALUE"""),"NL856680229B01")</f>
        <v>NL856680229B01</v>
      </c>
      <c r="T80" s="6">
        <f>IFERROR(__xludf.DUMMYFUNCTION("""COMPUTED_VALUE"""),8.56680229E8)</f>
        <v>856680229</v>
      </c>
      <c r="U80" s="7" t="str">
        <f>IFERROR(__xludf.DUMMYFUNCTION("""COMPUTED_VALUE"""),"Eenmanszaak")</f>
        <v>Eenmanszaak</v>
      </c>
      <c r="V80" s="7" t="str">
        <f>IFERROR(__xludf.DUMMYFUNCTION("""COMPUTED_VALUE"""),"000035338628")</f>
        <v>000035338628</v>
      </c>
      <c r="W80" s="6" t="str">
        <f>IFERROR(__xludf.DUMMYFUNCTION("""COMPUTED_VALUE"""),"ink.boratechadministratiesbv.2288aa@zarabota.nl")</f>
        <v>ink.boratechadministratiesbv.2288aa@zarabota.nl</v>
      </c>
      <c r="X80" s="6" t="str">
        <f>IFERROR(__xludf.DUMMYFUNCTION("""COMPUTED_VALUE"""),"ver.boratechadministratiesbv.2288aa@zarabota.nl")</f>
        <v>ver.boratechadministratiesbv.2288aa@zarabota.nl</v>
      </c>
      <c r="Y80" s="6" t="str">
        <f>IFERROR(__xludf.DUMMYFUNCTION("""COMPUTED_VALUE"""),"Hr.")</f>
        <v>Hr.</v>
      </c>
      <c r="Z80" s="6" t="str">
        <f>IFERROR(__xludf.DUMMYFUNCTION("""COMPUTED_VALUE"""),"Evgeny Jivkov")</f>
        <v>Evgeny Jivkov</v>
      </c>
      <c r="AA80" s="6" t="str">
        <f>IFERROR(__xludf.DUMMYFUNCTION("""COMPUTED_VALUE"""),"Rangelov")</f>
        <v>Rangelov</v>
      </c>
      <c r="AB80" s="6" t="str">
        <f>IFERROR(__xludf.DUMMYFUNCTION("""COMPUTED_VALUE"""),"E.J.")</f>
        <v>E.J.</v>
      </c>
      <c r="AC80" s="6">
        <f>IFERROR(__xludf.DUMMYFUNCTION("""COMPUTED_VALUE"""),1.26248175E8)</f>
        <v>126248175</v>
      </c>
      <c r="AD80" s="9">
        <f>IFERROR(__xludf.DUMMYFUNCTION("""COMPUTED_VALUE"""),22107.0)</f>
        <v>22107</v>
      </c>
      <c r="AE80" s="6" t="str">
        <f>IFERROR(__xludf.DUMMYFUNCTION("""COMPUTED_VALUE"""),"bg")</f>
        <v>bg</v>
      </c>
      <c r="AF80" s="6" t="str">
        <f>IFERROR(__xludf.DUMMYFUNCTION("""COMPUTED_VALUE"""),"Varna")</f>
        <v>Varna</v>
      </c>
      <c r="AG80" s="6" t="str">
        <f>IFERROR(__xludf.DUMMYFUNCTION("""COMPUTED_VALUE"""),"Hr. E.J. Rangelov")</f>
        <v>Hr. E.J. Rangelov</v>
      </c>
      <c r="AH80" s="6" t="str">
        <f>IFERROR(__xludf.DUMMYFUNCTION("""COMPUTED_VALUE"""),"NL35ABNA0561170053")</f>
        <v>NL35ABNA0561170053</v>
      </c>
      <c r="AI80" s="6"/>
      <c r="AJ80" s="6"/>
      <c r="AK80" s="6"/>
      <c r="AL80" s="6"/>
      <c r="AM80" s="6" t="str">
        <f>IFERROR(__xludf.DUMMYFUNCTION("""COMPUTED_VALUE"""),"Bulgarije")</f>
        <v>Bulgarije</v>
      </c>
      <c r="AN80" s="6" t="str">
        <f>IFERROR(__xludf.DUMMYFUNCTION("""COMPUTED_VALUE"""),"Evgeny Jivkov Rangelov")</f>
        <v>Evgeny Jivkov Rangelov</v>
      </c>
      <c r="AO80" s="6">
        <f>IFERROR(__xludf.DUMMYFUNCTION("""COMPUTED_VALUE"""),908.0)</f>
        <v>908</v>
      </c>
    </row>
    <row r="81">
      <c r="A81" s="6" t="str">
        <f>IFERROR(__xludf.DUMMYFUNCTION("""COMPUTED_VALUE"""),"Boratech Assurantiën B.V")</f>
        <v>Boratech Assurantiën B.V</v>
      </c>
      <c r="B81" s="6" t="str">
        <f>IFERROR(__xludf.DUMMYFUNCTION("""COMPUTED_VALUE"""),"Boratech Assurantiën B.V")</f>
        <v>Boratech Assurantiën B.V</v>
      </c>
      <c r="C81" s="6">
        <f>IFERROR(__xludf.DUMMYFUNCTION("""COMPUTED_VALUE"""),1450.0)</f>
        <v>1450</v>
      </c>
      <c r="D81" s="7" t="str">
        <f>IFERROR(__xludf.DUMMYFUNCTION("""COMPUTED_VALUE"""),"Boratech B.V.")</f>
        <v>Boratech B.V.</v>
      </c>
      <c r="E81" s="7" t="str">
        <f>IFERROR(__xludf.DUMMYFUNCTION("""COMPUTED_VALUE"""),"SBI-code: 4120 - Algemene burgerlijke en utiliteitsbouw")</f>
        <v>SBI-code: 4120 - Algemene burgerlijke en utiliteitsbouw</v>
      </c>
      <c r="F81" s="7" t="str">
        <f>IFERROR(__xludf.DUMMYFUNCTION("""COMPUTED_VALUE"""),"+31707505651")</f>
        <v>+31707505651</v>
      </c>
      <c r="G81" s="6"/>
      <c r="H81" s="6" t="str">
        <f>IFERROR(__xludf.DUMMYFUNCTION("""COMPUTED_VALUE"""),"Veraartlaan 4")</f>
        <v>Veraartlaan 4</v>
      </c>
      <c r="I81" s="6" t="str">
        <f>IFERROR(__xludf.DUMMYFUNCTION("""COMPUTED_VALUE"""),"2288GM")</f>
        <v>2288GM</v>
      </c>
      <c r="J81" s="6" t="str">
        <f>IFERROR(__xludf.DUMMYFUNCTION("""COMPUTED_VALUE"""),"Rijswijk")</f>
        <v>Rijswijk</v>
      </c>
      <c r="K81" s="6" t="str">
        <f>IFERROR(__xludf.DUMMYFUNCTION("""COMPUTED_VALUE"""),"Nederland")</f>
        <v>Nederland</v>
      </c>
      <c r="L81" s="6" t="str">
        <f>IFERROR(__xludf.DUMMYFUNCTION("""COMPUTED_VALUE"""),"Фиданчев")</f>
        <v>Фиданчев</v>
      </c>
      <c r="M81" s="8">
        <f>IFERROR(__xludf.DUMMYFUNCTION("""COMPUTED_VALUE"""),44952.0)</f>
        <v>44952</v>
      </c>
      <c r="N81" s="6" t="str">
        <f>IFERROR(__xludf.DUMMYFUNCTION("""COMPUTED_VALUE"""),"NL864866835B01")</f>
        <v>NL864866835B01</v>
      </c>
      <c r="O81" s="6">
        <f>IFERROR(__xludf.DUMMYFUNCTION("""COMPUTED_VALUE"""),8.9061136E7)</f>
        <v>89061136</v>
      </c>
      <c r="P81" s="6" t="str">
        <f>IFERROR(__xludf.DUMMYFUNCTION("""COMPUTED_VALUE"""),"NL23INGB0101203101")</f>
        <v>NL23INGB0101203101</v>
      </c>
      <c r="Q81" s="9">
        <f>IFERROR(__xludf.DUMMYFUNCTION("""COMPUTED_VALUE"""),44952.0)</f>
        <v>44952</v>
      </c>
      <c r="R81" s="6"/>
      <c r="S81" s="6" t="str">
        <f>IFERROR(__xludf.DUMMYFUNCTION("""COMPUTED_VALUE"""),"NL864866835B01")</f>
        <v>NL864866835B01</v>
      </c>
      <c r="T81" s="6">
        <f>IFERROR(__xludf.DUMMYFUNCTION("""COMPUTED_VALUE"""),8.64866835E8)</f>
        <v>864866835</v>
      </c>
      <c r="U81" s="7" t="str">
        <f>IFERROR(__xludf.DUMMYFUNCTION("""COMPUTED_VALUE"""),"Eenmanszaak")</f>
        <v>Eenmanszaak</v>
      </c>
      <c r="V81" s="7" t="str">
        <f>IFERROR(__xludf.DUMMYFUNCTION("""COMPUTED_VALUE"""),"000054874130")</f>
        <v>000054874130</v>
      </c>
      <c r="W81" s="6" t="str">
        <f>IFERROR(__xludf.DUMMYFUNCTION("""COMPUTED_VALUE"""),"ink.boratechassurantien.2288aa@zarabota.nl")</f>
        <v>ink.boratechassurantien.2288aa@zarabota.nl</v>
      </c>
      <c r="X81" s="6" t="str">
        <f>IFERROR(__xludf.DUMMYFUNCTION("""COMPUTED_VALUE"""),"ver.boratechassurantien.2288aa@zarabota.nl")</f>
        <v>ver.boratechassurantien.2288aa@zarabota.nl</v>
      </c>
      <c r="Y81" s="6" t="str">
        <f>IFERROR(__xludf.DUMMYFUNCTION("""COMPUTED_VALUE"""),"Hr.")</f>
        <v>Hr.</v>
      </c>
      <c r="Z81" s="6" t="str">
        <f>IFERROR(__xludf.DUMMYFUNCTION("""COMPUTED_VALUE"""),"Boris Veselinov")</f>
        <v>Boris Veselinov</v>
      </c>
      <c r="AA81" s="6" t="str">
        <f>IFERROR(__xludf.DUMMYFUNCTION("""COMPUTED_VALUE"""),"Fidanchev")</f>
        <v>Fidanchev</v>
      </c>
      <c r="AB81" s="6" t="str">
        <f>IFERROR(__xludf.DUMMYFUNCTION("""COMPUTED_VALUE"""),"B.V.")</f>
        <v>B.V.</v>
      </c>
      <c r="AC81" s="6">
        <f>IFERROR(__xludf.DUMMYFUNCTION("""COMPUTED_VALUE"""),2.55501237E8)</f>
        <v>255501237</v>
      </c>
      <c r="AD81" s="9">
        <f>IFERROR(__xludf.DUMMYFUNCTION("""COMPUTED_VALUE"""),33132.0)</f>
        <v>33132</v>
      </c>
      <c r="AE81" s="6" t="str">
        <f>IFERROR(__xludf.DUMMYFUNCTION("""COMPUTED_VALUE"""),"bg")</f>
        <v>bg</v>
      </c>
      <c r="AF81" s="6" t="str">
        <f>IFERROR(__xludf.DUMMYFUNCTION("""COMPUTED_VALUE"""),"Asenovgrad")</f>
        <v>Asenovgrad</v>
      </c>
      <c r="AG81" s="6" t="str">
        <f>IFERROR(__xludf.DUMMYFUNCTION("""COMPUTED_VALUE"""),"Hr. B.V. Fidanchev")</f>
        <v>Hr. B.V. Fidanchev</v>
      </c>
      <c r="AH81" s="6" t="str">
        <f>IFERROR(__xludf.DUMMYFUNCTION("""COMPUTED_VALUE"""),"NL88INGB0004542886")</f>
        <v>NL88INGB0004542886</v>
      </c>
      <c r="AI81" s="6"/>
      <c r="AJ81" s="6"/>
      <c r="AK81" s="6"/>
      <c r="AL81" s="6"/>
      <c r="AM81" s="6" t="str">
        <f>IFERROR(__xludf.DUMMYFUNCTION("""COMPUTED_VALUE"""),"Bulgarije")</f>
        <v>Bulgarije</v>
      </c>
      <c r="AN81" s="6" t="str">
        <f>IFERROR(__xludf.DUMMYFUNCTION("""COMPUTED_VALUE"""),"Boris Veselinov Fidanchev")</f>
        <v>Boris Veselinov Fidanchev</v>
      </c>
      <c r="AO81" s="6"/>
    </row>
    <row r="82">
      <c r="A82" s="6" t="str">
        <f>IFERROR(__xludf.DUMMYFUNCTION("""COMPUTED_VALUE"""),"Boratech B.V.")</f>
        <v>Boratech B.V.</v>
      </c>
      <c r="B82" s="6" t="str">
        <f>IFERROR(__xludf.DUMMYFUNCTION("""COMPUTED_VALUE"""),"Boratech B.V.")</f>
        <v>Boratech B.V.</v>
      </c>
      <c r="C82" s="6">
        <f>IFERROR(__xludf.DUMMYFUNCTION("""COMPUTED_VALUE"""),907.0)</f>
        <v>907</v>
      </c>
      <c r="D82" s="7" t="str">
        <f>IFERROR(__xludf.DUMMYFUNCTION("""COMPUTED_VALUE"""),"Hristina Atanasova Tyankova")</f>
        <v>Hristina Atanasova Tyankova</v>
      </c>
      <c r="E82" s="7" t="str">
        <f>IFERROR(__xludf.DUMMYFUNCTION("""COMPUTED_VALUE"""),"SBI-code: 4120 - Algemene burgerlijke en utiliteitsbouw")</f>
        <v>SBI-code: 4120 - Algemene burgerlijke en utiliteitsbouw</v>
      </c>
      <c r="F82" s="7" t="str">
        <f>IFERROR(__xludf.DUMMYFUNCTION("""COMPUTED_VALUE"""),"0707505651")</f>
        <v>0707505651</v>
      </c>
      <c r="G82" s="6" t="str">
        <f>IFERROR(__xludf.DUMMYFUNCTION("""COMPUTED_VALUE"""),"management@boratech.nl")</f>
        <v>management@boratech.nl</v>
      </c>
      <c r="H82" s="6" t="str">
        <f>IFERROR(__xludf.DUMMYFUNCTION("""COMPUTED_VALUE"""),"Veraartlaan 4")</f>
        <v>Veraartlaan 4</v>
      </c>
      <c r="I82" s="6" t="str">
        <f>IFERROR(__xludf.DUMMYFUNCTION("""COMPUTED_VALUE"""),"2288GM")</f>
        <v>2288GM</v>
      </c>
      <c r="J82" s="6" t="str">
        <f>IFERROR(__xludf.DUMMYFUNCTION("""COMPUTED_VALUE"""),"Rijswijk")</f>
        <v>Rijswijk</v>
      </c>
      <c r="K82" s="6" t="str">
        <f>IFERROR(__xludf.DUMMYFUNCTION("""COMPUTED_VALUE"""),"Nederland")</f>
        <v>Nederland</v>
      </c>
      <c r="L82" s="6" t="str">
        <f>IFERROR(__xludf.DUMMYFUNCTION("""COMPUTED_VALUE"""),"Тянкова")</f>
        <v>Тянкова</v>
      </c>
      <c r="M82" s="8">
        <f>IFERROR(__xludf.DUMMYFUNCTION("""COMPUTED_VALUE"""),42342.0)</f>
        <v>42342</v>
      </c>
      <c r="N82" s="6" t="str">
        <f>IFERROR(__xludf.DUMMYFUNCTION("""COMPUTED_VALUE"""),"NL856679343B01")</f>
        <v>NL856679343B01</v>
      </c>
      <c r="O82" s="6">
        <f>IFERROR(__xludf.DUMMYFUNCTION("""COMPUTED_VALUE"""),6.6738563E7)</f>
        <v>66738563</v>
      </c>
      <c r="P82" s="6" t="str">
        <f>IFERROR(__xludf.DUMMYFUNCTION("""COMPUTED_VALUE"""),"NL71INGB0007466287")</f>
        <v>NL71INGB0007466287</v>
      </c>
      <c r="Q82" s="9">
        <f>IFERROR(__xludf.DUMMYFUNCTION("""COMPUTED_VALUE"""),42612.0)</f>
        <v>42612</v>
      </c>
      <c r="R82" s="6"/>
      <c r="S82" s="6" t="str">
        <f>IFERROR(__xludf.DUMMYFUNCTION("""COMPUTED_VALUE"""),"NL856679343B01")</f>
        <v>NL856679343B01</v>
      </c>
      <c r="T82" s="6">
        <f>IFERROR(__xludf.DUMMYFUNCTION("""COMPUTED_VALUE"""),8.56679343E8)</f>
        <v>856679343</v>
      </c>
      <c r="U82" s="7" t="str">
        <f>IFERROR(__xludf.DUMMYFUNCTION("""COMPUTED_VALUE"""),"Eenmanszaak")</f>
        <v>Eenmanszaak</v>
      </c>
      <c r="V82" s="7" t="str">
        <f>IFERROR(__xludf.DUMMYFUNCTION("""COMPUTED_VALUE"""),"000035336463")</f>
        <v>000035336463</v>
      </c>
      <c r="W82" s="6" t="str">
        <f>IFERROR(__xludf.DUMMYFUNCTION("""COMPUTED_VALUE"""),"ink.boratechbv.2288aa@zarabota.nl")</f>
        <v>ink.boratechbv.2288aa@zarabota.nl</v>
      </c>
      <c r="X82" s="6" t="str">
        <f>IFERROR(__xludf.DUMMYFUNCTION("""COMPUTED_VALUE"""),"ver.boratechbv.2288aa@zarabota.nl")</f>
        <v>ver.boratechbv.2288aa@zarabota.nl</v>
      </c>
      <c r="Y82" s="6" t="str">
        <f>IFERROR(__xludf.DUMMYFUNCTION("""COMPUTED_VALUE"""),"Hr.")</f>
        <v>Hr.</v>
      </c>
      <c r="Z82" s="6" t="str">
        <f>IFERROR(__xludf.DUMMYFUNCTION("""COMPUTED_VALUE"""),"Evgeny Jivkov")</f>
        <v>Evgeny Jivkov</v>
      </c>
      <c r="AA82" s="6" t="str">
        <f>IFERROR(__xludf.DUMMYFUNCTION("""COMPUTED_VALUE"""),"Rangelov")</f>
        <v>Rangelov</v>
      </c>
      <c r="AB82" s="6" t="str">
        <f>IFERROR(__xludf.DUMMYFUNCTION("""COMPUTED_VALUE"""),"E.J.")</f>
        <v>E.J.</v>
      </c>
      <c r="AC82" s="6">
        <f>IFERROR(__xludf.DUMMYFUNCTION("""COMPUTED_VALUE"""),1.26248175E8)</f>
        <v>126248175</v>
      </c>
      <c r="AD82" s="9">
        <f>IFERROR(__xludf.DUMMYFUNCTION("""COMPUTED_VALUE"""),22107.0)</f>
        <v>22107</v>
      </c>
      <c r="AE82" s="6" t="str">
        <f>IFERROR(__xludf.DUMMYFUNCTION("""COMPUTED_VALUE"""),"bg")</f>
        <v>bg</v>
      </c>
      <c r="AF82" s="6" t="str">
        <f>IFERROR(__xludf.DUMMYFUNCTION("""COMPUTED_VALUE"""),"Varna")</f>
        <v>Varna</v>
      </c>
      <c r="AG82" s="6" t="str">
        <f>IFERROR(__xludf.DUMMYFUNCTION("""COMPUTED_VALUE"""),"Hr. E.J. Rangelov")</f>
        <v>Hr. E.J. Rangelov</v>
      </c>
      <c r="AH82" s="6" t="str">
        <f>IFERROR(__xludf.DUMMYFUNCTION("""COMPUTED_VALUE"""),"NL35ABNA0561170053")</f>
        <v>NL35ABNA0561170053</v>
      </c>
      <c r="AI82" s="6"/>
      <c r="AJ82" s="6"/>
      <c r="AK82" s="6"/>
      <c r="AL82" s="6"/>
      <c r="AM82" s="6" t="str">
        <f>IFERROR(__xludf.DUMMYFUNCTION("""COMPUTED_VALUE"""),"Bulgarije")</f>
        <v>Bulgarije</v>
      </c>
      <c r="AN82" s="6" t="str">
        <f>IFERROR(__xludf.DUMMYFUNCTION("""COMPUTED_VALUE"""),"Evgeny Jivkov Rangelov")</f>
        <v>Evgeny Jivkov Rangelov</v>
      </c>
      <c r="AO82" s="6"/>
    </row>
    <row r="83">
      <c r="A83" s="6" t="str">
        <f>IFERROR(__xludf.DUMMYFUNCTION("""COMPUTED_VALUE"""),"Boratech Personeelsdiensten B.V.")</f>
        <v>Boratech Personeelsdiensten B.V.</v>
      </c>
      <c r="B83" s="6" t="str">
        <f>IFERROR(__xludf.DUMMYFUNCTION("""COMPUTED_VALUE"""),"Boratech Personeelsdiensten B.V.")</f>
        <v>Boratech Personeelsdiensten B.V.</v>
      </c>
      <c r="C83" s="6">
        <f>IFERROR(__xludf.DUMMYFUNCTION("""COMPUTED_VALUE"""),614.0)</f>
        <v>614</v>
      </c>
      <c r="D83" s="7" t="str">
        <f>IFERROR(__xludf.DUMMYFUNCTION("""COMPUTED_VALUE"""),"Boratech BV")</f>
        <v>Boratech BV</v>
      </c>
      <c r="E83" s="7" t="str">
        <f>IFERROR(__xludf.DUMMYFUNCTION("""COMPUTED_VALUE"""),"SBI-code: 4120 - Algemene burgerlijke en utiliteitsbouw")</f>
        <v>SBI-code: 4120 - Algemene burgerlijke en utiliteitsbouw</v>
      </c>
      <c r="F83" s="7" t="str">
        <f>IFERROR(__xludf.DUMMYFUNCTION("""COMPUTED_VALUE"""),"0707505651")</f>
        <v>0707505651</v>
      </c>
      <c r="G83" s="6" t="str">
        <f>IFERROR(__xludf.DUMMYFUNCTION("""COMPUTED_VALUE"""),"info@boratechpd.nl")</f>
        <v>info@boratechpd.nl</v>
      </c>
      <c r="H83" s="6" t="str">
        <f>IFERROR(__xludf.DUMMYFUNCTION("""COMPUTED_VALUE"""),"Veraartlaan 4")</f>
        <v>Veraartlaan 4</v>
      </c>
      <c r="I83" s="6" t="str">
        <f>IFERROR(__xludf.DUMMYFUNCTION("""COMPUTED_VALUE"""),"2288GM")</f>
        <v>2288GM</v>
      </c>
      <c r="J83" s="6" t="str">
        <f>IFERROR(__xludf.DUMMYFUNCTION("""COMPUTED_VALUE"""),"Rijswijk")</f>
        <v>Rijswijk</v>
      </c>
      <c r="K83" s="6" t="str">
        <f>IFERROR(__xludf.DUMMYFUNCTION("""COMPUTED_VALUE"""),"Nederland")</f>
        <v>Nederland</v>
      </c>
      <c r="L83" s="6" t="str">
        <f>IFERROR(__xludf.DUMMYFUNCTION("""COMPUTED_VALUE"""),"Рангелов")</f>
        <v>Рангелов</v>
      </c>
      <c r="M83" s="8">
        <f>IFERROR(__xludf.DUMMYFUNCTION("""COMPUTED_VALUE"""),43311.0)</f>
        <v>43311</v>
      </c>
      <c r="N83" s="6" t="str">
        <f>IFERROR(__xludf.DUMMYFUNCTION("""COMPUTED_VALUE"""),"NL859047349B01")</f>
        <v>NL859047349B01</v>
      </c>
      <c r="O83" s="6">
        <f>IFERROR(__xludf.DUMMYFUNCTION("""COMPUTED_VALUE"""),7.2252324E7)</f>
        <v>72252324</v>
      </c>
      <c r="P83" s="6" t="str">
        <f>IFERROR(__xludf.DUMMYFUNCTION("""COMPUTED_VALUE"""),"NL39ABNA0829891021")</f>
        <v>NL39ABNA0829891021</v>
      </c>
      <c r="Q83" s="9">
        <f>IFERROR(__xludf.DUMMYFUNCTION("""COMPUTED_VALUE"""),43311.0)</f>
        <v>43311</v>
      </c>
      <c r="R83" s="6"/>
      <c r="S83" s="6" t="str">
        <f>IFERROR(__xludf.DUMMYFUNCTION("""COMPUTED_VALUE"""),"NL859047349B01")</f>
        <v>NL859047349B01</v>
      </c>
      <c r="T83" s="6">
        <f>IFERROR(__xludf.DUMMYFUNCTION("""COMPUTED_VALUE"""),8.59047349E8)</f>
        <v>859047349</v>
      </c>
      <c r="U83" s="7" t="str">
        <f>IFERROR(__xludf.DUMMYFUNCTION("""COMPUTED_VALUE"""),"Eenmanszaak")</f>
        <v>Eenmanszaak</v>
      </c>
      <c r="V83" s="7" t="str">
        <f>IFERROR(__xludf.DUMMYFUNCTION("""COMPUTED_VALUE"""),"000040372510")</f>
        <v>000040372510</v>
      </c>
      <c r="W83" s="6" t="str">
        <f>IFERROR(__xludf.DUMMYFUNCTION("""COMPUTED_VALUE"""),"ink.boratechpersoneelsdienstenbv.2288aa@zarabota.n")</f>
        <v>ink.boratechpersoneelsdienstenbv.2288aa@zarabota.n</v>
      </c>
      <c r="X83" s="6" t="str">
        <f>IFERROR(__xludf.DUMMYFUNCTION("""COMPUTED_VALUE"""),"ver.boratechpersoneelsdienstenbv.2288aa@zarabota.n")</f>
        <v>ver.boratechpersoneelsdienstenbv.2288aa@zarabota.n</v>
      </c>
      <c r="Y83" s="6" t="str">
        <f>IFERROR(__xludf.DUMMYFUNCTION("""COMPUTED_VALUE"""),"Hr.")</f>
        <v>Hr.</v>
      </c>
      <c r="Z83" s="6" t="str">
        <f>IFERROR(__xludf.DUMMYFUNCTION("""COMPUTED_VALUE"""),"Evgeny Jivkov")</f>
        <v>Evgeny Jivkov</v>
      </c>
      <c r="AA83" s="6" t="str">
        <f>IFERROR(__xludf.DUMMYFUNCTION("""COMPUTED_VALUE"""),"Rangelov")</f>
        <v>Rangelov</v>
      </c>
      <c r="AB83" s="6" t="str">
        <f>IFERROR(__xludf.DUMMYFUNCTION("""COMPUTED_VALUE"""),"E.J.")</f>
        <v>E.J.</v>
      </c>
      <c r="AC83" s="6">
        <f>IFERROR(__xludf.DUMMYFUNCTION("""COMPUTED_VALUE"""),1.26248175E8)</f>
        <v>126248175</v>
      </c>
      <c r="AD83" s="9">
        <f>IFERROR(__xludf.DUMMYFUNCTION("""COMPUTED_VALUE"""),22107.0)</f>
        <v>22107</v>
      </c>
      <c r="AE83" s="6" t="str">
        <f>IFERROR(__xludf.DUMMYFUNCTION("""COMPUTED_VALUE"""),"bg")</f>
        <v>bg</v>
      </c>
      <c r="AF83" s="6" t="str">
        <f>IFERROR(__xludf.DUMMYFUNCTION("""COMPUTED_VALUE"""),"Varna")</f>
        <v>Varna</v>
      </c>
      <c r="AG83" s="6" t="str">
        <f>IFERROR(__xludf.DUMMYFUNCTION("""COMPUTED_VALUE"""),"Hr. E.J. Rangelov")</f>
        <v>Hr. E.J. Rangelov</v>
      </c>
      <c r="AH83" s="6" t="str">
        <f>IFERROR(__xludf.DUMMYFUNCTION("""COMPUTED_VALUE"""),"NL35ABNA0561170053")</f>
        <v>NL35ABNA0561170053</v>
      </c>
      <c r="AI83" s="6"/>
      <c r="AJ83" s="6"/>
      <c r="AK83" s="6"/>
      <c r="AL83" s="6"/>
      <c r="AM83" s="6" t="str">
        <f>IFERROR(__xludf.DUMMYFUNCTION("""COMPUTED_VALUE"""),"Bulgarije")</f>
        <v>Bulgarije</v>
      </c>
      <c r="AN83" s="6" t="str">
        <f>IFERROR(__xludf.DUMMYFUNCTION("""COMPUTED_VALUE"""),"Evgeny Jivkov Rangelov")</f>
        <v>Evgeny Jivkov Rangelov</v>
      </c>
      <c r="AO83" s="6"/>
    </row>
    <row r="84">
      <c r="A84" s="6" t="str">
        <f>IFERROR(__xludf.DUMMYFUNCTION("""COMPUTED_VALUE"""),"Boratech Trading B.V.")</f>
        <v>Boratech Trading B.V.</v>
      </c>
      <c r="B84" s="6" t="str">
        <f>IFERROR(__xludf.DUMMYFUNCTION("""COMPUTED_VALUE"""),"Boratech Trading B.V.")</f>
        <v>Boratech Trading B.V.</v>
      </c>
      <c r="C84" s="6">
        <f>IFERROR(__xludf.DUMMYFUNCTION("""COMPUTED_VALUE"""),984.0)</f>
        <v>984</v>
      </c>
      <c r="D84" s="7" t="str">
        <f>IFERROR(__xludf.DUMMYFUNCTION("""COMPUTED_VALUE"""),"Evgeny Jivkov Rangelov")</f>
        <v>Evgeny Jivkov Rangelov</v>
      </c>
      <c r="E84" s="7" t="str">
        <f>IFERROR(__xludf.DUMMYFUNCTION("""COMPUTED_VALUE"""),"SBI-code: 4120 - Algemene burgerlijke en utiliteitsbouw")</f>
        <v>SBI-code: 4120 - Algemene burgerlijke en utiliteitsbouw</v>
      </c>
      <c r="F84" s="7" t="str">
        <f>IFERROR(__xludf.DUMMYFUNCTION("""COMPUTED_VALUE"""),"0613574628")</f>
        <v>0613574628</v>
      </c>
      <c r="G84" s="6" t="str">
        <f>IFERROR(__xludf.DUMMYFUNCTION("""COMPUTED_VALUE"""),"info@boratechtrading.nl")</f>
        <v>info@boratechtrading.nl</v>
      </c>
      <c r="H84" s="6" t="str">
        <f>IFERROR(__xludf.DUMMYFUNCTION("""COMPUTED_VALUE"""),"Veraartlaan 4")</f>
        <v>Veraartlaan 4</v>
      </c>
      <c r="I84" s="6" t="str">
        <f>IFERROR(__xludf.DUMMYFUNCTION("""COMPUTED_VALUE"""),"2288GM")</f>
        <v>2288GM</v>
      </c>
      <c r="J84" s="6" t="str">
        <f>IFERROR(__xludf.DUMMYFUNCTION("""COMPUTED_VALUE"""),"Rijswijk")</f>
        <v>Rijswijk</v>
      </c>
      <c r="K84" s="6" t="str">
        <f>IFERROR(__xludf.DUMMYFUNCTION("""COMPUTED_VALUE"""),"Nederland")</f>
        <v>Nederland</v>
      </c>
      <c r="L84" s="6" t="str">
        <f>IFERROR(__xludf.DUMMYFUNCTION("""COMPUTED_VALUE"""),"Рангелов")</f>
        <v>Рангелов</v>
      </c>
      <c r="M84" s="8">
        <f>IFERROR(__xludf.DUMMYFUNCTION("""COMPUTED_VALUE"""),43990.0)</f>
        <v>43990</v>
      </c>
      <c r="N84" s="6" t="str">
        <f>IFERROR(__xludf.DUMMYFUNCTION("""COMPUTED_VALUE"""),"NL861310184B01")</f>
        <v>NL861310184B01</v>
      </c>
      <c r="O84" s="6">
        <f>IFERROR(__xludf.DUMMYFUNCTION("""COMPUTED_VALUE"""),7.822769E7)</f>
        <v>78227690</v>
      </c>
      <c r="P84" s="6" t="str">
        <f>IFERROR(__xludf.DUMMYFUNCTION("""COMPUTED_VALUE"""),"NL")</f>
        <v>NL</v>
      </c>
      <c r="Q84" s="9">
        <f>IFERROR(__xludf.DUMMYFUNCTION("""COMPUTED_VALUE"""),43990.0)</f>
        <v>43990</v>
      </c>
      <c r="R84" s="6"/>
      <c r="S84" s="6" t="str">
        <f>IFERROR(__xludf.DUMMYFUNCTION("""COMPUTED_VALUE"""),"NL861310184B01")</f>
        <v>NL861310184B01</v>
      </c>
      <c r="T84" s="6">
        <f>IFERROR(__xludf.DUMMYFUNCTION("""COMPUTED_VALUE"""),8.61310184E8)</f>
        <v>861310184</v>
      </c>
      <c r="U84" s="7" t="str">
        <f>IFERROR(__xludf.DUMMYFUNCTION("""COMPUTED_VALUE"""),"Eenmanszaak")</f>
        <v>Eenmanszaak</v>
      </c>
      <c r="V84" s="7" t="str">
        <f>IFERROR(__xludf.DUMMYFUNCTION("""COMPUTED_VALUE"""),"000045871779")</f>
        <v>000045871779</v>
      </c>
      <c r="W84" s="6" t="str">
        <f>IFERROR(__xludf.DUMMYFUNCTION("""COMPUTED_VALUE"""),"ink.boratechtradingbv.2288aa@zarabota.nl")</f>
        <v>ink.boratechtradingbv.2288aa@zarabota.nl</v>
      </c>
      <c r="X84" s="6" t="str">
        <f>IFERROR(__xludf.DUMMYFUNCTION("""COMPUTED_VALUE"""),"ver.boratechtradingbv.2288aa@zarabota.nl")</f>
        <v>ver.boratechtradingbv.2288aa@zarabota.nl</v>
      </c>
      <c r="Y84" s="6" t="str">
        <f>IFERROR(__xludf.DUMMYFUNCTION("""COMPUTED_VALUE"""),"Hr.")</f>
        <v>Hr.</v>
      </c>
      <c r="Z84" s="6" t="str">
        <f>IFERROR(__xludf.DUMMYFUNCTION("""COMPUTED_VALUE"""),"Evgeny Jivkov")</f>
        <v>Evgeny Jivkov</v>
      </c>
      <c r="AA84" s="6" t="str">
        <f>IFERROR(__xludf.DUMMYFUNCTION("""COMPUTED_VALUE"""),"Rangelov")</f>
        <v>Rangelov</v>
      </c>
      <c r="AB84" s="6" t="str">
        <f>IFERROR(__xludf.DUMMYFUNCTION("""COMPUTED_VALUE"""),"E.J.")</f>
        <v>E.J.</v>
      </c>
      <c r="AC84" s="6">
        <f>IFERROR(__xludf.DUMMYFUNCTION("""COMPUTED_VALUE"""),1.26248175E8)</f>
        <v>126248175</v>
      </c>
      <c r="AD84" s="9">
        <f>IFERROR(__xludf.DUMMYFUNCTION("""COMPUTED_VALUE"""),22107.0)</f>
        <v>22107</v>
      </c>
      <c r="AE84" s="6" t="str">
        <f>IFERROR(__xludf.DUMMYFUNCTION("""COMPUTED_VALUE"""),"bg")</f>
        <v>bg</v>
      </c>
      <c r="AF84" s="6" t="str">
        <f>IFERROR(__xludf.DUMMYFUNCTION("""COMPUTED_VALUE"""),"Varna")</f>
        <v>Varna</v>
      </c>
      <c r="AG84" s="6" t="str">
        <f>IFERROR(__xludf.DUMMYFUNCTION("""COMPUTED_VALUE"""),"Hr. E.J. Rangelov")</f>
        <v>Hr. E.J. Rangelov</v>
      </c>
      <c r="AH84" s="6" t="str">
        <f>IFERROR(__xludf.DUMMYFUNCTION("""COMPUTED_VALUE"""),"NL35ABNA0561170053")</f>
        <v>NL35ABNA0561170053</v>
      </c>
      <c r="AI84" s="6"/>
      <c r="AJ84" s="6"/>
      <c r="AK84" s="6"/>
      <c r="AL84" s="6"/>
      <c r="AM84" s="6" t="str">
        <f>IFERROR(__xludf.DUMMYFUNCTION("""COMPUTED_VALUE"""),"Bulgarije")</f>
        <v>Bulgarije</v>
      </c>
      <c r="AN84" s="6" t="str">
        <f>IFERROR(__xludf.DUMMYFUNCTION("""COMPUTED_VALUE"""),"Evgeny Jivkov Rangelov")</f>
        <v>Evgeny Jivkov Rangelov</v>
      </c>
      <c r="AO84" s="6"/>
    </row>
    <row r="85">
      <c r="A85" s="6" t="str">
        <f>IFERROR(__xludf.DUMMYFUNCTION("""COMPUTED_VALUE"""),"BoriGol Bouw")</f>
        <v>BoriGol Bouw</v>
      </c>
      <c r="B85" s="6" t="str">
        <f>IFERROR(__xludf.DUMMYFUNCTION("""COMPUTED_VALUE"""),"BoriGol Bouw")</f>
        <v>BoriGol Bouw</v>
      </c>
      <c r="C85" s="6">
        <f>IFERROR(__xludf.DUMMYFUNCTION("""COMPUTED_VALUE"""),1585.0)</f>
        <v>1585</v>
      </c>
      <c r="D85" s="7" t="str">
        <f>IFERROR(__xludf.DUMMYFUNCTION("""COMPUTED_VALUE"""),"Borislav Rumenov Golemanov")</f>
        <v>Borislav Rumenov Golemanov</v>
      </c>
      <c r="E85" s="7" t="str">
        <f>IFERROR(__xludf.DUMMYFUNCTION("""COMPUTED_VALUE"""),"SBI-code: 4120 - Algemene burgerlijke en utiliteitsbouw")</f>
        <v>SBI-code: 4120 - Algemene burgerlijke en utiliteitsbouw</v>
      </c>
      <c r="F85" s="7" t="str">
        <f>IFERROR(__xludf.DUMMYFUNCTION("""COMPUTED_VALUE"""),"0685774105")</f>
        <v>0685774105</v>
      </c>
      <c r="G85" s="6" t="str">
        <f>IFERROR(__xludf.DUMMYFUNCTION("""COMPUTED_VALUE"""),"rosi_borko@abv.bg")</f>
        <v>rosi_borko@abv.bg</v>
      </c>
      <c r="H85" s="6" t="str">
        <f>IFERROR(__xludf.DUMMYFUNCTION("""COMPUTED_VALUE"""),"Laakkade 189")</f>
        <v>Laakkade 189</v>
      </c>
      <c r="I85" s="6" t="str">
        <f>IFERROR(__xludf.DUMMYFUNCTION("""COMPUTED_VALUE"""),"2521XL")</f>
        <v>2521XL</v>
      </c>
      <c r="J85" s="6" t="str">
        <f>IFERROR(__xludf.DUMMYFUNCTION("""COMPUTED_VALUE"""),"s-Gravenhage")</f>
        <v>s-Gravenhage</v>
      </c>
      <c r="K85" s="6" t="str">
        <f>IFERROR(__xludf.DUMMYFUNCTION("""COMPUTED_VALUE"""),"Nederland")</f>
        <v>Nederland</v>
      </c>
      <c r="L85" s="6" t="str">
        <f>IFERROR(__xludf.DUMMYFUNCTION("""COMPUTED_VALUE"""),"Големанов")</f>
        <v>Големанов</v>
      </c>
      <c r="M85" s="8">
        <f>IFERROR(__xludf.DUMMYFUNCTION("""COMPUTED_VALUE"""),45292.0)</f>
        <v>45292</v>
      </c>
      <c r="N85" s="6" t="str">
        <f>IFERROR(__xludf.DUMMYFUNCTION("""COMPUTED_VALUE"""),"NL323672231B01")</f>
        <v>NL323672231B01</v>
      </c>
      <c r="O85" s="6">
        <f>IFERROR(__xludf.DUMMYFUNCTION("""COMPUTED_VALUE"""),8.5935433E7)</f>
        <v>85935433</v>
      </c>
      <c r="P85" s="6" t="str">
        <f>IFERROR(__xludf.DUMMYFUNCTION("""COMPUTED_VALUE"""),"NL73INGB0675695759")</f>
        <v>NL73INGB0675695759</v>
      </c>
      <c r="Q85" s="9">
        <f>IFERROR(__xludf.DUMMYFUNCTION("""COMPUTED_VALUE"""),44652.0)</f>
        <v>44652</v>
      </c>
      <c r="R85" s="6"/>
      <c r="S85" s="6" t="str">
        <f>IFERROR(__xludf.DUMMYFUNCTION("""COMPUTED_VALUE"""),"NL004167561B81")</f>
        <v>NL004167561B81</v>
      </c>
      <c r="T85" s="6">
        <f>IFERROR(__xludf.DUMMYFUNCTION("""COMPUTED_VALUE"""),3.23672231E8)</f>
        <v>323672231</v>
      </c>
      <c r="U85" s="7" t="str">
        <f>IFERROR(__xludf.DUMMYFUNCTION("""COMPUTED_VALUE"""),"Eenmanszaak")</f>
        <v>Eenmanszaak</v>
      </c>
      <c r="V85" s="7" t="str">
        <f>IFERROR(__xludf.DUMMYFUNCTION("""COMPUTED_VALUE"""),"000051948680")</f>
        <v>000051948680</v>
      </c>
      <c r="W85" s="6" t="str">
        <f>IFERROR(__xludf.DUMMYFUNCTION("""COMPUTED_VALUE"""),"ink.borigolbouw.2288aa@zarabota.nl")</f>
        <v>ink.borigolbouw.2288aa@zarabota.nl</v>
      </c>
      <c r="X85" s="6" t="str">
        <f>IFERROR(__xludf.DUMMYFUNCTION("""COMPUTED_VALUE"""),"ver.borigolbouw.2288aa@zarabota.nl")</f>
        <v>ver.borigolbouw.2288aa@zarabota.nl</v>
      </c>
      <c r="Y85" s="6" t="str">
        <f>IFERROR(__xludf.DUMMYFUNCTION("""COMPUTED_VALUE"""),"Hr.")</f>
        <v>Hr.</v>
      </c>
      <c r="Z85" s="6" t="str">
        <f>IFERROR(__xludf.DUMMYFUNCTION("""COMPUTED_VALUE"""),"Borislav Rumenov")</f>
        <v>Borislav Rumenov</v>
      </c>
      <c r="AA85" s="6" t="str">
        <f>IFERROR(__xludf.DUMMYFUNCTION("""COMPUTED_VALUE"""),"Golemanov")</f>
        <v>Golemanov</v>
      </c>
      <c r="AB85" s="6" t="str">
        <f>IFERROR(__xludf.DUMMYFUNCTION("""COMPUTED_VALUE"""),"B.R.")</f>
        <v>B.R.</v>
      </c>
      <c r="AC85" s="6">
        <f>IFERROR(__xludf.DUMMYFUNCTION("""COMPUTED_VALUE"""),3.23672231E8)</f>
        <v>323672231</v>
      </c>
      <c r="AD85" s="9">
        <f>IFERROR(__xludf.DUMMYFUNCTION("""COMPUTED_VALUE"""),32881.0)</f>
        <v>32881</v>
      </c>
      <c r="AE85" s="6" t="str">
        <f>IFERROR(__xludf.DUMMYFUNCTION("""COMPUTED_VALUE"""),"bg")</f>
        <v>bg</v>
      </c>
      <c r="AF85" s="6" t="str">
        <f>IFERROR(__xludf.DUMMYFUNCTION("""COMPUTED_VALUE"""),"Zlatograd")</f>
        <v>Zlatograd</v>
      </c>
      <c r="AG85" s="6" t="str">
        <f>IFERROR(__xludf.DUMMYFUNCTION("""COMPUTED_VALUE"""),"Hr. B.R. Golemanov")</f>
        <v>Hr. B.R. Golemanov</v>
      </c>
      <c r="AH85" s="6" t="str">
        <f>IFERROR(__xludf.DUMMYFUNCTION("""COMPUTED_VALUE"""),"NL42INGB0390056634")</f>
        <v>NL42INGB0390056634</v>
      </c>
      <c r="AI85" s="9">
        <f>IFERROR(__xludf.DUMMYFUNCTION("""COMPUTED_VALUE"""),44627.0)</f>
        <v>44627</v>
      </c>
      <c r="AJ85" s="6" t="str">
        <f>IFERROR(__xludf.DUMMYFUNCTION("""COMPUTED_VALUE"""),"ID Kaart")</f>
        <v>ID Kaart</v>
      </c>
      <c r="AK85" s="6">
        <f>IFERROR(__xludf.DUMMYFUNCTION("""COMPUTED_VALUE"""),6.52830455E8)</f>
        <v>652830455</v>
      </c>
      <c r="AL85" s="9">
        <f>IFERROR(__xludf.DUMMYFUNCTION("""COMPUTED_VALUE"""),48932.0)</f>
        <v>48932</v>
      </c>
      <c r="AM85" s="6" t="str">
        <f>IFERROR(__xludf.DUMMYFUNCTION("""COMPUTED_VALUE"""),"Bulgarije")</f>
        <v>Bulgarije</v>
      </c>
      <c r="AN85" s="6" t="str">
        <f>IFERROR(__xludf.DUMMYFUNCTION("""COMPUTED_VALUE"""),"Borislav Rumenov Golemanov")</f>
        <v>Borislav Rumenov Golemanov</v>
      </c>
      <c r="AO85" s="6">
        <f>IFERROR(__xludf.DUMMYFUNCTION("""COMPUTED_VALUE"""),1585.0)</f>
        <v>1585</v>
      </c>
    </row>
    <row r="86">
      <c r="A86" s="6" t="str">
        <f>IFERROR(__xludf.DUMMYFUNCTION("""COMPUTED_VALUE"""),"Boris Isolatiebedrijf")</f>
        <v>Boris Isolatiebedrijf</v>
      </c>
      <c r="B86" s="6" t="str">
        <f>IFERROR(__xludf.DUMMYFUNCTION("""COMPUTED_VALUE"""),"Boris Isolatiebedrijf")</f>
        <v>Boris Isolatiebedrijf</v>
      </c>
      <c r="C86" s="6">
        <f>IFERROR(__xludf.DUMMYFUNCTION("""COMPUTED_VALUE"""),1059.0)</f>
        <v>1059</v>
      </c>
      <c r="D86" s="7" t="str">
        <f>IFERROR(__xludf.DUMMYFUNCTION("""COMPUTED_VALUE"""),"Borislav Pavlinov Pavlov")</f>
        <v>Borislav Pavlinov Pavlov</v>
      </c>
      <c r="E86" s="7" t="str">
        <f>IFERROR(__xludf.DUMMYFUNCTION("""COMPUTED_VALUE"""),"SBI-code: 4120 - Algemene burgerlijke en utiliteitsbouw")</f>
        <v>SBI-code: 4120 - Algemene burgerlijke en utiliteitsbouw</v>
      </c>
      <c r="F86" s="7" t="str">
        <f>IFERROR(__xludf.DUMMYFUNCTION("""COMPUTED_VALUE"""),"0657249666")</f>
        <v>0657249666</v>
      </c>
      <c r="G86" s="6" t="str">
        <f>IFERROR(__xludf.DUMMYFUNCTION("""COMPUTED_VALUE"""),"info@borisisolatiebedrijf.nl")</f>
        <v>info@borisisolatiebedrijf.nl</v>
      </c>
      <c r="H86" s="6" t="str">
        <f>IFERROR(__xludf.DUMMYFUNCTION("""COMPUTED_VALUE"""),"Burgemeester  Van Haarenlaan 881")</f>
        <v>Burgemeester  Van Haarenlaan 881</v>
      </c>
      <c r="I86" s="6" t="str">
        <f>IFERROR(__xludf.DUMMYFUNCTION("""COMPUTED_VALUE"""),"3119GD")</f>
        <v>3119GD</v>
      </c>
      <c r="J86" s="6" t="str">
        <f>IFERROR(__xludf.DUMMYFUNCTION("""COMPUTED_VALUE"""),"Schiedam")</f>
        <v>Schiedam</v>
      </c>
      <c r="K86" s="6" t="str">
        <f>IFERROR(__xludf.DUMMYFUNCTION("""COMPUTED_VALUE"""),"Nederland")</f>
        <v>Nederland</v>
      </c>
      <c r="L86" s="6" t="str">
        <f>IFERROR(__xludf.DUMMYFUNCTION("""COMPUTED_VALUE"""),"Павлов")</f>
        <v>Павлов</v>
      </c>
      <c r="M86" s="8">
        <f>IFERROR(__xludf.DUMMYFUNCTION("""COMPUTED_VALUE"""),44202.0)</f>
        <v>44202</v>
      </c>
      <c r="N86" s="6" t="str">
        <f>IFERROR(__xludf.DUMMYFUNCTION("""COMPUTED_VALUE"""),"NL627400838B01")</f>
        <v>NL627400838B01</v>
      </c>
      <c r="O86" s="6">
        <f>IFERROR(__xludf.DUMMYFUNCTION("""COMPUTED_VALUE"""),8.1592531E7)</f>
        <v>81592531</v>
      </c>
      <c r="P86" s="6" t="str">
        <f>IFERROR(__xludf.DUMMYFUNCTION("""COMPUTED_VALUE"""),"NL65INGB0006623174")</f>
        <v>NL65INGB0006623174</v>
      </c>
      <c r="Q86" s="9">
        <f>IFERROR(__xludf.DUMMYFUNCTION("""COMPUTED_VALUE"""),44202.0)</f>
        <v>44202</v>
      </c>
      <c r="R86" s="6"/>
      <c r="S86" s="6" t="str">
        <f>IFERROR(__xludf.DUMMYFUNCTION("""COMPUTED_VALUE"""),"NL003579946B79")</f>
        <v>NL003579946B79</v>
      </c>
      <c r="T86" s="6">
        <f>IFERROR(__xludf.DUMMYFUNCTION("""COMPUTED_VALUE"""),6.27400838E8)</f>
        <v>627400838</v>
      </c>
      <c r="U86" s="7" t="str">
        <f>IFERROR(__xludf.DUMMYFUNCTION("""COMPUTED_VALUE"""),"Eenmanszaak")</f>
        <v>Eenmanszaak</v>
      </c>
      <c r="V86" s="7" t="str">
        <f>IFERROR(__xludf.DUMMYFUNCTION("""COMPUTED_VALUE"""),"000047873345")</f>
        <v>000047873345</v>
      </c>
      <c r="W86" s="6" t="str">
        <f>IFERROR(__xludf.DUMMYFUNCTION("""COMPUTED_VALUE"""),"ink.borisisolatie.2288aa@zarabota.nl")</f>
        <v>ink.borisisolatie.2288aa@zarabota.nl</v>
      </c>
      <c r="X86" s="6" t="str">
        <f>IFERROR(__xludf.DUMMYFUNCTION("""COMPUTED_VALUE"""),"ver.borisisolatie.2288aa@zarabota.nl")</f>
        <v>ver.borisisolatie.2288aa@zarabota.nl</v>
      </c>
      <c r="Y86" s="6" t="str">
        <f>IFERROR(__xludf.DUMMYFUNCTION("""COMPUTED_VALUE"""),"Hr.")</f>
        <v>Hr.</v>
      </c>
      <c r="Z86" s="6" t="str">
        <f>IFERROR(__xludf.DUMMYFUNCTION("""COMPUTED_VALUE"""),"Borislav Pavlinov")</f>
        <v>Borislav Pavlinov</v>
      </c>
      <c r="AA86" s="6" t="str">
        <f>IFERROR(__xludf.DUMMYFUNCTION("""COMPUTED_VALUE"""),"Pavlov")</f>
        <v>Pavlov</v>
      </c>
      <c r="AB86" s="6" t="str">
        <f>IFERROR(__xludf.DUMMYFUNCTION("""COMPUTED_VALUE"""),"B.P.")</f>
        <v>B.P.</v>
      </c>
      <c r="AC86" s="6">
        <f>IFERROR(__xludf.DUMMYFUNCTION("""COMPUTED_VALUE"""),6.27400838E8)</f>
        <v>627400838</v>
      </c>
      <c r="AD86" s="9">
        <f>IFERROR(__xludf.DUMMYFUNCTION("""COMPUTED_VALUE"""),35848.0)</f>
        <v>35848</v>
      </c>
      <c r="AE86" s="6" t="str">
        <f>IFERROR(__xludf.DUMMYFUNCTION("""COMPUTED_VALUE"""),"bg")</f>
        <v>bg</v>
      </c>
      <c r="AF86" s="6" t="str">
        <f>IFERROR(__xludf.DUMMYFUNCTION("""COMPUTED_VALUE"""),"Dobrich")</f>
        <v>Dobrich</v>
      </c>
      <c r="AG86" s="6" t="str">
        <f>IFERROR(__xludf.DUMMYFUNCTION("""COMPUTED_VALUE"""),"Hr. B.P. Pavlov")</f>
        <v>Hr. B.P. Pavlov</v>
      </c>
      <c r="AH86" s="6"/>
      <c r="AI86" s="6"/>
      <c r="AJ86" s="6" t="str">
        <f>IFERROR(__xludf.DUMMYFUNCTION("""COMPUTED_VALUE"""),"ID Kaart")</f>
        <v>ID Kaart</v>
      </c>
      <c r="AK86" s="6">
        <f>IFERROR(__xludf.DUMMYFUNCTION("""COMPUTED_VALUE"""),6.46304553E8)</f>
        <v>646304553</v>
      </c>
      <c r="AL86" s="9">
        <f>IFERROR(__xludf.DUMMYFUNCTION("""COMPUTED_VALUE"""),46096.0)</f>
        <v>46096</v>
      </c>
      <c r="AM86" s="6" t="str">
        <f>IFERROR(__xludf.DUMMYFUNCTION("""COMPUTED_VALUE"""),"Bulgarije")</f>
        <v>Bulgarije</v>
      </c>
      <c r="AN86" s="6" t="str">
        <f>IFERROR(__xludf.DUMMYFUNCTION("""COMPUTED_VALUE"""),"Borislav Pavlinov Pavlov")</f>
        <v>Borislav Pavlinov Pavlov</v>
      </c>
      <c r="AO86" s="6">
        <f>IFERROR(__xludf.DUMMYFUNCTION("""COMPUTED_VALUE"""),1059.0)</f>
        <v>1059</v>
      </c>
    </row>
    <row r="87">
      <c r="A87" s="6" t="str">
        <f>IFERROR(__xludf.DUMMYFUNCTION("""COMPUTED_VALUE"""),"Borislav Asenov VOF")</f>
        <v>Borislav Asenov VOF</v>
      </c>
      <c r="B87" s="6" t="str">
        <f>IFERROR(__xludf.DUMMYFUNCTION("""COMPUTED_VALUE"""),"Borislav Asenov VOF")</f>
        <v>Borislav Asenov VOF</v>
      </c>
      <c r="C87" s="6">
        <f>IFERROR(__xludf.DUMMYFUNCTION("""COMPUTED_VALUE"""),1612.0)</f>
        <v>1612</v>
      </c>
      <c r="D87" s="7" t="str">
        <f>IFERROR(__xludf.DUMMYFUNCTION("""COMPUTED_VALUE"""),"Borislav Mitkov Asenov")</f>
        <v>Borislav Mitkov Asenov</v>
      </c>
      <c r="E87" s="7" t="str">
        <f>IFERROR(__xludf.DUMMYFUNCTION("""COMPUTED_VALUE"""),"SBI-code: 4120 - Algemene burgerlijke en utiliteitsbouw")</f>
        <v>SBI-code: 4120 - Algemene burgerlijke en utiliteitsbouw</v>
      </c>
      <c r="F87" s="7" t="str">
        <f>IFERROR(__xludf.DUMMYFUNCTION("""COMPUTED_VALUE"""),"0687797919")</f>
        <v>0687797919</v>
      </c>
      <c r="G87" s="6" t="str">
        <f>IFERROR(__xludf.DUMMYFUNCTION("""COMPUTED_VALUE"""),"mixailovaxristina@gmail.com")</f>
        <v>mixailovaxristina@gmail.com</v>
      </c>
      <c r="H87" s="6" t="str">
        <f>IFERROR(__xludf.DUMMYFUNCTION("""COMPUTED_VALUE"""),"Hoog Buurlostraat 5")</f>
        <v>Hoog Buurlostraat 5</v>
      </c>
      <c r="I87" s="6" t="str">
        <f>IFERROR(__xludf.DUMMYFUNCTION("""COMPUTED_VALUE"""),"2573 HV")</f>
        <v>2573 HV</v>
      </c>
      <c r="J87" s="6" t="str">
        <f>IFERROR(__xludf.DUMMYFUNCTION("""COMPUTED_VALUE"""),"s-Gravenhage")</f>
        <v>s-Gravenhage</v>
      </c>
      <c r="K87" s="6" t="str">
        <f>IFERROR(__xludf.DUMMYFUNCTION("""COMPUTED_VALUE"""),"Nederland")</f>
        <v>Nederland</v>
      </c>
      <c r="L87" s="6" t="str">
        <f>IFERROR(__xludf.DUMMYFUNCTION("""COMPUTED_VALUE"""),"Асенов")</f>
        <v>Асенов</v>
      </c>
      <c r="M87" s="8">
        <f>IFERROR(__xludf.DUMMYFUNCTION("""COMPUTED_VALUE"""),43831.0)</f>
        <v>43831</v>
      </c>
      <c r="N87" s="6" t="str">
        <f>IFERROR(__xludf.DUMMYFUNCTION("""COMPUTED_VALUE"""),"NL866524447B01")</f>
        <v>NL866524447B01</v>
      </c>
      <c r="O87" s="6">
        <f>IFERROR(__xludf.DUMMYFUNCTION("""COMPUTED_VALUE"""),9.3778252E7)</f>
        <v>93778252</v>
      </c>
      <c r="P87" s="6" t="str">
        <f>IFERROR(__xludf.DUMMYFUNCTION("""COMPUTED_VALUE"""),"NL29INGB0007044899")</f>
        <v>NL29INGB0007044899</v>
      </c>
      <c r="Q87" s="9">
        <f>IFERROR(__xludf.DUMMYFUNCTION("""COMPUTED_VALUE"""),45383.0)</f>
        <v>45383</v>
      </c>
      <c r="R87" s="6"/>
      <c r="S87" s="6" t="str">
        <f>IFERROR(__xludf.DUMMYFUNCTION("""COMPUTED_VALUE"""),"NL866524447B01")</f>
        <v>NL866524447B01</v>
      </c>
      <c r="T87" s="6">
        <f>IFERROR(__xludf.DUMMYFUNCTION("""COMPUTED_VALUE"""),8.66524447E8)</f>
        <v>866524447</v>
      </c>
      <c r="U87" s="7" t="str">
        <f>IFERROR(__xludf.DUMMYFUNCTION("""COMPUTED_VALUE"""),"Eenmanszaak")</f>
        <v>Eenmanszaak</v>
      </c>
      <c r="V87" s="7" t="str">
        <f>IFERROR(__xludf.DUMMYFUNCTION("""COMPUTED_VALUE"""),"000044758332")</f>
        <v>000044758332</v>
      </c>
      <c r="W87" s="6" t="str">
        <f>IFERROR(__xludf.DUMMYFUNCTION("""COMPUTED_VALUE"""),"ink.borislavasenov.2288aa@zarabota.nl")</f>
        <v>ink.borislavasenov.2288aa@zarabota.nl</v>
      </c>
      <c r="X87" s="6" t="str">
        <f>IFERROR(__xludf.DUMMYFUNCTION("""COMPUTED_VALUE"""),"ver.borislavasenov.2288aa@zarabota.nl")</f>
        <v>ver.borislavasenov.2288aa@zarabota.nl</v>
      </c>
      <c r="Y87" s="6" t="str">
        <f>IFERROR(__xludf.DUMMYFUNCTION("""COMPUTED_VALUE"""),"Hr.")</f>
        <v>Hr.</v>
      </c>
      <c r="Z87" s="6" t="str">
        <f>IFERROR(__xludf.DUMMYFUNCTION("""COMPUTED_VALUE"""),"Borislav Mitkov")</f>
        <v>Borislav Mitkov</v>
      </c>
      <c r="AA87" s="6" t="str">
        <f>IFERROR(__xludf.DUMMYFUNCTION("""COMPUTED_VALUE"""),"Asenov")</f>
        <v>Asenov</v>
      </c>
      <c r="AB87" s="6" t="str">
        <f>IFERROR(__xludf.DUMMYFUNCTION("""COMPUTED_VALUE"""),"B.M.")</f>
        <v>B.M.</v>
      </c>
      <c r="AC87" s="6">
        <f>IFERROR(__xludf.DUMMYFUNCTION("""COMPUTED_VALUE"""),5.10758496E8)</f>
        <v>510758496</v>
      </c>
      <c r="AD87" s="9">
        <f>IFERROR(__xludf.DUMMYFUNCTION("""COMPUTED_VALUE"""),30649.0)</f>
        <v>30649</v>
      </c>
      <c r="AE87" s="6" t="str">
        <f>IFERROR(__xludf.DUMMYFUNCTION("""COMPUTED_VALUE"""),"bg")</f>
        <v>bg</v>
      </c>
      <c r="AF87" s="6" t="str">
        <f>IFERROR(__xludf.DUMMYFUNCTION("""COMPUTED_VALUE"""),"Haskovo")</f>
        <v>Haskovo</v>
      </c>
      <c r="AG87" s="6" t="str">
        <f>IFERROR(__xludf.DUMMYFUNCTION("""COMPUTED_VALUE"""),"Hr. B.M. Asenov")</f>
        <v>Hr. B.M. Asenov</v>
      </c>
      <c r="AH87" s="6" t="str">
        <f>IFERROR(__xludf.DUMMYFUNCTION("""COMPUTED_VALUE"""),"NL17INGB0703711725")</f>
        <v>NL17INGB0703711725</v>
      </c>
      <c r="AI87" s="9">
        <f>IFERROR(__xludf.DUMMYFUNCTION("""COMPUTED_VALUE"""),42692.0)</f>
        <v>42692</v>
      </c>
      <c r="AJ87" s="6" t="str">
        <f>IFERROR(__xludf.DUMMYFUNCTION("""COMPUTED_VALUE"""),"ID Kaart")</f>
        <v>ID Kaart</v>
      </c>
      <c r="AK87" s="6">
        <f>IFERROR(__xludf.DUMMYFUNCTION("""COMPUTED_VALUE"""),6.45274549E8)</f>
        <v>645274549</v>
      </c>
      <c r="AL87" s="9">
        <f>IFERROR(__xludf.DUMMYFUNCTION("""COMPUTED_VALUE"""),45481.0)</f>
        <v>45481</v>
      </c>
      <c r="AM87" s="6" t="str">
        <f>IFERROR(__xludf.DUMMYFUNCTION("""COMPUTED_VALUE"""),"Bulgarije")</f>
        <v>Bulgarije</v>
      </c>
      <c r="AN87" s="6" t="str">
        <f>IFERROR(__xludf.DUMMYFUNCTION("""COMPUTED_VALUE"""),"Borislav Mitkov Asenov")</f>
        <v>Borislav Mitkov Asenov</v>
      </c>
      <c r="AO87" s="6"/>
    </row>
    <row r="88">
      <c r="A88" s="6" t="str">
        <f>IFERROR(__xludf.DUMMYFUNCTION("""COMPUTED_VALUE"""),"Borislav Dimov Loonbedrijf")</f>
        <v>Borislav Dimov Loonbedrijf</v>
      </c>
      <c r="B88" s="6" t="str">
        <f>IFERROR(__xludf.DUMMYFUNCTION("""COMPUTED_VALUE"""),"Borislav Dimov Loonbedrijf")</f>
        <v>Borislav Dimov Loonbedrijf</v>
      </c>
      <c r="C88" s="6">
        <f>IFERROR(__xludf.DUMMYFUNCTION("""COMPUTED_VALUE"""),1090.0)</f>
        <v>1090</v>
      </c>
      <c r="D88" s="7" t="str">
        <f>IFERROR(__xludf.DUMMYFUNCTION("""COMPUTED_VALUE"""),"Borislav Danailov Dimov")</f>
        <v>Borislav Danailov Dimov</v>
      </c>
      <c r="E88" s="7" t="str">
        <f>IFERROR(__xludf.DUMMYFUNCTION("""COMPUTED_VALUE"""),"SBI-code: 4120 - Algemene burgerlijke en utiliteitsbouw")</f>
        <v>SBI-code: 4120 - Algemene burgerlijke en utiliteitsbouw</v>
      </c>
      <c r="F88" s="7" t="str">
        <f>IFERROR(__xludf.DUMMYFUNCTION("""COMPUTED_VALUE"""),"0684749970")</f>
        <v>0684749970</v>
      </c>
      <c r="G88" s="6" t="str">
        <f>IFERROR(__xludf.DUMMYFUNCTION("""COMPUTED_VALUE"""),"danaildimovv73@gmail.com")</f>
        <v>danaildimovv73@gmail.com</v>
      </c>
      <c r="H88" s="6" t="str">
        <f>IFERROR(__xludf.DUMMYFUNCTION("""COMPUTED_VALUE"""),"Joubertstraat 145")</f>
        <v>Joubertstraat 145</v>
      </c>
      <c r="I88" s="6" t="str">
        <f>IFERROR(__xludf.DUMMYFUNCTION("""COMPUTED_VALUE"""),"2571XR")</f>
        <v>2571XR</v>
      </c>
      <c r="J88" s="6" t="str">
        <f>IFERROR(__xludf.DUMMYFUNCTION("""COMPUTED_VALUE"""),"s-Gravenhage")</f>
        <v>s-Gravenhage</v>
      </c>
      <c r="K88" s="6" t="str">
        <f>IFERROR(__xludf.DUMMYFUNCTION("""COMPUTED_VALUE"""),"Nederland")</f>
        <v>Nederland</v>
      </c>
      <c r="L88" s="6" t="str">
        <f>IFERROR(__xludf.DUMMYFUNCTION("""COMPUTED_VALUE"""),"Димов")</f>
        <v>Димов</v>
      </c>
      <c r="M88" s="8">
        <f>IFERROR(__xludf.DUMMYFUNCTION("""COMPUTED_VALUE"""),45814.0)</f>
        <v>45814</v>
      </c>
      <c r="N88" s="6" t="str">
        <f>IFERROR(__xludf.DUMMYFUNCTION("""COMPUTED_VALUE"""),"NL645456305B03")</f>
        <v>NL645456305B03</v>
      </c>
      <c r="O88" s="6">
        <f>IFERROR(__xludf.DUMMYFUNCTION("""COMPUTED_VALUE"""),9.745423E7)</f>
        <v>97454230</v>
      </c>
      <c r="P88" s="6" t="str">
        <f>IFERROR(__xludf.DUMMYFUNCTION("""COMPUTED_VALUE"""),"NL24INGB0113841019")</f>
        <v>NL24INGB0113841019</v>
      </c>
      <c r="Q88" s="9">
        <f>IFERROR(__xludf.DUMMYFUNCTION("""COMPUTED_VALUE"""),45814.0)</f>
        <v>45814</v>
      </c>
      <c r="R88" s="9">
        <f>IFERROR(__xludf.DUMMYFUNCTION("""COMPUTED_VALUE"""),45200.0)</f>
        <v>45200</v>
      </c>
      <c r="S88" s="6" t="str">
        <f>IFERROR(__xludf.DUMMYFUNCTION("""COMPUTED_VALUE"""),"NL005270940B45")</f>
        <v>NL005270940B45</v>
      </c>
      <c r="T88" s="6">
        <f>IFERROR(__xludf.DUMMYFUNCTION("""COMPUTED_VALUE"""),6.45456305E8)</f>
        <v>645456305</v>
      </c>
      <c r="U88" s="7" t="str">
        <f>IFERROR(__xludf.DUMMYFUNCTION("""COMPUTED_VALUE"""),"Eenmanszaak")</f>
        <v>Eenmanszaak</v>
      </c>
      <c r="V88" s="7" t="str">
        <f>IFERROR(__xludf.DUMMYFUNCTION("""COMPUTED_VALUE"""),"000048281328")</f>
        <v>000048281328</v>
      </c>
      <c r="W88" s="6" t="str">
        <f>IFERROR(__xludf.DUMMYFUNCTION("""COMPUTED_VALUE"""),"ink.dimov96.2288aa@zarabota.nl")</f>
        <v>ink.dimov96.2288aa@zarabota.nl</v>
      </c>
      <c r="X88" s="6" t="str">
        <f>IFERROR(__xludf.DUMMYFUNCTION("""COMPUTED_VALUE"""),"ver.dimov96.2288aa@zarabota.nl")</f>
        <v>ver.dimov96.2288aa@zarabota.nl</v>
      </c>
      <c r="Y88" s="6" t="str">
        <f>IFERROR(__xludf.DUMMYFUNCTION("""COMPUTED_VALUE"""),"Hr.")</f>
        <v>Hr.</v>
      </c>
      <c r="Z88" s="6" t="str">
        <f>IFERROR(__xludf.DUMMYFUNCTION("""COMPUTED_VALUE"""),"Borislav Danailov")</f>
        <v>Borislav Danailov</v>
      </c>
      <c r="AA88" s="6" t="str">
        <f>IFERROR(__xludf.DUMMYFUNCTION("""COMPUTED_VALUE"""),"Dimov")</f>
        <v>Dimov</v>
      </c>
      <c r="AB88" s="6" t="str">
        <f>IFERROR(__xludf.DUMMYFUNCTION("""COMPUTED_VALUE"""),"B.D.")</f>
        <v>B.D.</v>
      </c>
      <c r="AC88" s="6">
        <f>IFERROR(__xludf.DUMMYFUNCTION("""COMPUTED_VALUE"""),6.45456305E8)</f>
        <v>645456305</v>
      </c>
      <c r="AD88" s="9">
        <f>IFERROR(__xludf.DUMMYFUNCTION("""COMPUTED_VALUE"""),35255.0)</f>
        <v>35255</v>
      </c>
      <c r="AE88" s="6" t="str">
        <f>IFERROR(__xludf.DUMMYFUNCTION("""COMPUTED_VALUE"""),"bg")</f>
        <v>bg</v>
      </c>
      <c r="AF88" s="6" t="str">
        <f>IFERROR(__xludf.DUMMYFUNCTION("""COMPUTED_VALUE"""),"Parvomay")</f>
        <v>Parvomay</v>
      </c>
      <c r="AG88" s="6" t="str">
        <f>IFERROR(__xludf.DUMMYFUNCTION("""COMPUTED_VALUE"""),"Hr. B.D. Dimov")</f>
        <v>Hr. B.D. Dimov</v>
      </c>
      <c r="AH88" s="6" t="str">
        <f>IFERROR(__xludf.DUMMYFUNCTION("""COMPUTED_VALUE"""),"NL59INGB0664717551")</f>
        <v>NL59INGB0664717551</v>
      </c>
      <c r="AI88" s="6"/>
      <c r="AJ88" s="6" t="str">
        <f>IFERROR(__xludf.DUMMYFUNCTION("""COMPUTED_VALUE"""),"ID Kaart")</f>
        <v>ID Kaart</v>
      </c>
      <c r="AK88" s="6">
        <f>IFERROR(__xludf.DUMMYFUNCTION("""COMPUTED_VALUE"""),6.49577347E8)</f>
        <v>649577347</v>
      </c>
      <c r="AL88" s="9">
        <f>IFERROR(__xludf.DUMMYFUNCTION("""COMPUTED_VALUE"""),47762.0)</f>
        <v>47762</v>
      </c>
      <c r="AM88" s="6" t="str">
        <f>IFERROR(__xludf.DUMMYFUNCTION("""COMPUTED_VALUE"""),"Bulgarije")</f>
        <v>Bulgarije</v>
      </c>
      <c r="AN88" s="6" t="str">
        <f>IFERROR(__xludf.DUMMYFUNCTION("""COMPUTED_VALUE"""),"Borislav Danailov Dimov")</f>
        <v>Borislav Danailov Dimov</v>
      </c>
      <c r="AO88" s="6">
        <f>IFERROR(__xludf.DUMMYFUNCTION("""COMPUTED_VALUE"""),1090.0)</f>
        <v>1090</v>
      </c>
    </row>
    <row r="89">
      <c r="A89" s="6" t="str">
        <f>IFERROR(__xludf.DUMMYFUNCTION("""COMPUTED_VALUE"""),"Borisov Bouw VOF")</f>
        <v>Borisov Bouw VOF</v>
      </c>
      <c r="B89" s="6" t="str">
        <f>IFERROR(__xludf.DUMMYFUNCTION("""COMPUTED_VALUE"""),"Borisov Bouw")</f>
        <v>Borisov Bouw</v>
      </c>
      <c r="C89" s="6">
        <f>IFERROR(__xludf.DUMMYFUNCTION("""COMPUTED_VALUE"""),1718.0)</f>
        <v>1718</v>
      </c>
      <c r="D89" s="7" t="str">
        <f>IFERROR(__xludf.DUMMYFUNCTION("""COMPUTED_VALUE"""),"Radoslav Iliev Borisov")</f>
        <v>Radoslav Iliev Borisov</v>
      </c>
      <c r="E89" s="7" t="str">
        <f>IFERROR(__xludf.DUMMYFUNCTION("""COMPUTED_VALUE"""),"SBI-code: 4120 - Algemene burgerlijke en utiliteitsbouw")</f>
        <v>SBI-code: 4120 - Algemene burgerlijke en utiliteitsbouw</v>
      </c>
      <c r="F89" s="7" t="str">
        <f>IFERROR(__xludf.DUMMYFUNCTION("""COMPUTED_VALUE"""),"0645923500")</f>
        <v>0645923500</v>
      </c>
      <c r="G89" s="6" t="str">
        <f>IFERROR(__xludf.DUMMYFUNCTION("""COMPUTED_VALUE"""),"rado.borisov@hotmail.com")</f>
        <v>rado.borisov@hotmail.com</v>
      </c>
      <c r="H89" s="6" t="str">
        <f>IFERROR(__xludf.DUMMYFUNCTION("""COMPUTED_VALUE"""),"Drijfriemstraat 27")</f>
        <v>Drijfriemstraat 27</v>
      </c>
      <c r="I89" s="6" t="str">
        <f>IFERROR(__xludf.DUMMYFUNCTION("""COMPUTED_VALUE"""),"2516XL")</f>
        <v>2516XL</v>
      </c>
      <c r="J89" s="6" t="str">
        <f>IFERROR(__xludf.DUMMYFUNCTION("""COMPUTED_VALUE"""),"s-Gravenhage")</f>
        <v>s-Gravenhage</v>
      </c>
      <c r="K89" s="6" t="str">
        <f>IFERROR(__xludf.DUMMYFUNCTION("""COMPUTED_VALUE"""),"Nederland")</f>
        <v>Nederland</v>
      </c>
      <c r="L89" s="6" t="str">
        <f>IFERROR(__xludf.DUMMYFUNCTION("""COMPUTED_VALUE"""),"Борисов")</f>
        <v>Борисов</v>
      </c>
      <c r="M89" s="8">
        <f>IFERROR(__xludf.DUMMYFUNCTION("""COMPUTED_VALUE"""),45839.0)</f>
        <v>45839</v>
      </c>
      <c r="N89" s="6" t="str">
        <f>IFERROR(__xludf.DUMMYFUNCTION("""COMPUTED_VALUE"""),"NL525522396B02")</f>
        <v>NL525522396B02</v>
      </c>
      <c r="O89" s="6">
        <f>IFERROR(__xludf.DUMMYFUNCTION("""COMPUTED_VALUE"""),9.7909491E7)</f>
        <v>97909491</v>
      </c>
      <c r="P89" s="6" t="str">
        <f>IFERROR(__xludf.DUMMYFUNCTION("""COMPUTED_VALUE"""),"NL32INGB0007322265")</f>
        <v>NL32INGB0007322265</v>
      </c>
      <c r="Q89" s="9">
        <f>IFERROR(__xludf.DUMMYFUNCTION("""COMPUTED_VALUE"""),43497.0)</f>
        <v>43497</v>
      </c>
      <c r="R89" s="6"/>
      <c r="S89" s="6" t="str">
        <f>IFERROR(__xludf.DUMMYFUNCTION("""COMPUTED_VALUE"""),"NL005295442B08")</f>
        <v>NL005295442B08</v>
      </c>
      <c r="T89" s="6">
        <f>IFERROR(__xludf.DUMMYFUNCTION("""COMPUTED_VALUE"""),5.25522396E8)</f>
        <v>525522396</v>
      </c>
      <c r="U89" s="7" t="str">
        <f>IFERROR(__xludf.DUMMYFUNCTION("""COMPUTED_VALUE"""),"Eenmanszaak")</f>
        <v>Eenmanszaak</v>
      </c>
      <c r="V89" s="7" t="str">
        <f>IFERROR(__xludf.DUMMYFUNCTION("""COMPUTED_VALUE"""),"000035068728")</f>
        <v>000035068728</v>
      </c>
      <c r="W89" s="6" t="str">
        <f>IFERROR(__xludf.DUMMYFUNCTION("""COMPUTED_VALUE"""),"ink.borisovbouwvof.2288aa@zarabota.nl")</f>
        <v>ink.borisovbouwvof.2288aa@zarabota.nl</v>
      </c>
      <c r="X89" s="6" t="str">
        <f>IFERROR(__xludf.DUMMYFUNCTION("""COMPUTED_VALUE"""),"ver.borisovbouwvof.2288aa@zarabota.nl")</f>
        <v>ver.borisovbouwvof.2288aa@zarabota.nl</v>
      </c>
      <c r="Y89" s="6" t="str">
        <f>IFERROR(__xludf.DUMMYFUNCTION("""COMPUTED_VALUE"""),"Hr.")</f>
        <v>Hr.</v>
      </c>
      <c r="Z89" s="6" t="str">
        <f>IFERROR(__xludf.DUMMYFUNCTION("""COMPUTED_VALUE"""),"Radoslav Iliev")</f>
        <v>Radoslav Iliev</v>
      </c>
      <c r="AA89" s="6" t="str">
        <f>IFERROR(__xludf.DUMMYFUNCTION("""COMPUTED_VALUE"""),"Borisov")</f>
        <v>Borisov</v>
      </c>
      <c r="AB89" s="6" t="str">
        <f>IFERROR(__xludf.DUMMYFUNCTION("""COMPUTED_VALUE"""),"R.I.")</f>
        <v>R.I.</v>
      </c>
      <c r="AC89" s="6">
        <f>IFERROR(__xludf.DUMMYFUNCTION("""COMPUTED_VALUE"""),5.25522396E8)</f>
        <v>525522396</v>
      </c>
      <c r="AD89" s="9">
        <f>IFERROR(__xludf.DUMMYFUNCTION("""COMPUTED_VALUE"""),25587.0)</f>
        <v>25587</v>
      </c>
      <c r="AE89" s="6" t="str">
        <f>IFERROR(__xludf.DUMMYFUNCTION("""COMPUTED_VALUE"""),"bg")</f>
        <v>bg</v>
      </c>
      <c r="AF89" s="6" t="str">
        <f>IFERROR(__xludf.DUMMYFUNCTION("""COMPUTED_VALUE"""),"Archar")</f>
        <v>Archar</v>
      </c>
      <c r="AG89" s="6" t="str">
        <f>IFERROR(__xludf.DUMMYFUNCTION("""COMPUTED_VALUE"""),"Hr. R.I. Borisov")</f>
        <v>Hr. R.I. Borisov</v>
      </c>
      <c r="AH89" s="6"/>
      <c r="AI89" s="6"/>
      <c r="AJ89" s="6" t="str">
        <f>IFERROR(__xludf.DUMMYFUNCTION("""COMPUTED_VALUE"""),"ID Kaart")</f>
        <v>ID Kaart</v>
      </c>
      <c r="AK89" s="6">
        <f>IFERROR(__xludf.DUMMYFUNCTION("""COMPUTED_VALUE"""),6.44419297E8)</f>
        <v>644419297</v>
      </c>
      <c r="AL89" s="9">
        <f>IFERROR(__xludf.DUMMYFUNCTION("""COMPUTED_VALUE"""),44969.0)</f>
        <v>44969</v>
      </c>
      <c r="AM89" s="6" t="str">
        <f>IFERROR(__xludf.DUMMYFUNCTION("""COMPUTED_VALUE"""),"Bulgarije")</f>
        <v>Bulgarije</v>
      </c>
      <c r="AN89" s="6" t="str">
        <f>IFERROR(__xludf.DUMMYFUNCTION("""COMPUTED_VALUE"""),"Radoslav Iliev Borisov")</f>
        <v>Radoslav Iliev Borisov</v>
      </c>
      <c r="AO89" s="6"/>
    </row>
    <row r="90">
      <c r="A90" s="6" t="str">
        <f>IFERROR(__xludf.DUMMYFUNCTION("""COMPUTED_VALUE"""),"Boro Ijzervlechter")</f>
        <v>Boro Ijzervlechter</v>
      </c>
      <c r="B90" s="6" t="str">
        <f>IFERROR(__xludf.DUMMYFUNCTION("""COMPUTED_VALUE"""),"Boro Ijzervlechter")</f>
        <v>Boro Ijzervlechter</v>
      </c>
      <c r="C90" s="6">
        <f>IFERROR(__xludf.DUMMYFUNCTION("""COMPUTED_VALUE"""),845.0)</f>
        <v>845</v>
      </c>
      <c r="D90" s="7" t="str">
        <f>IFERROR(__xludf.DUMMYFUNCTION("""COMPUTED_VALUE"""),"Raycho Borisov Raykov")</f>
        <v>Raycho Borisov Raykov</v>
      </c>
      <c r="E90" s="7" t="str">
        <f>IFERROR(__xludf.DUMMYFUNCTION("""COMPUTED_VALUE"""),"SBI-code: 4120 - Algemene burgerlijke en utiliteitsbouw")</f>
        <v>SBI-code: 4120 - Algemene burgerlijke en utiliteitsbouw</v>
      </c>
      <c r="F90" s="7" t="str">
        <f>IFERROR(__xludf.DUMMYFUNCTION("""COMPUTED_VALUE"""),"0685023231")</f>
        <v>0685023231</v>
      </c>
      <c r="G90" s="6" t="str">
        <f>IFERROR(__xludf.DUMMYFUNCTION("""COMPUTED_VALUE"""),"raicho9111@icloud.com")</f>
        <v>raicho9111@icloud.com</v>
      </c>
      <c r="H90" s="6" t="str">
        <f>IFERROR(__xludf.DUMMYFUNCTION("""COMPUTED_VALUE"""),"Jasmijnstraat 87")</f>
        <v>Jasmijnstraat 87</v>
      </c>
      <c r="I90" s="6" t="str">
        <f>IFERROR(__xludf.DUMMYFUNCTION("""COMPUTED_VALUE"""),"2563RS")</f>
        <v>2563RS</v>
      </c>
      <c r="J90" s="6" t="str">
        <f>IFERROR(__xludf.DUMMYFUNCTION("""COMPUTED_VALUE"""),"s-Gravenhage")</f>
        <v>s-Gravenhage</v>
      </c>
      <c r="K90" s="6" t="str">
        <f>IFERROR(__xludf.DUMMYFUNCTION("""COMPUTED_VALUE"""),"Nederland")</f>
        <v>Nederland</v>
      </c>
      <c r="L90" s="6" t="str">
        <f>IFERROR(__xludf.DUMMYFUNCTION("""COMPUTED_VALUE"""),"Райков")</f>
        <v>Райков</v>
      </c>
      <c r="M90" s="8">
        <f>IFERROR(__xludf.DUMMYFUNCTION("""COMPUTED_VALUE"""),43664.0)</f>
        <v>43664</v>
      </c>
      <c r="N90" s="6" t="str">
        <f>IFERROR(__xludf.DUMMYFUNCTION("""COMPUTED_VALUE"""),"NL292203305B01")</f>
        <v>NL292203305B01</v>
      </c>
      <c r="O90" s="6">
        <f>IFERROR(__xludf.DUMMYFUNCTION("""COMPUTED_VALUE"""),7.5395142E7)</f>
        <v>75395142</v>
      </c>
      <c r="P90" s="6" t="str">
        <f>IFERROR(__xludf.DUMMYFUNCTION("""COMPUTED_VALUE"""),"NL43INGB0006554797")</f>
        <v>NL43INGB0006554797</v>
      </c>
      <c r="Q90" s="9">
        <f>IFERROR(__xludf.DUMMYFUNCTION("""COMPUTED_VALUE"""),43664.0)</f>
        <v>43664</v>
      </c>
      <c r="R90" s="6"/>
      <c r="S90" s="6" t="str">
        <f>IFERROR(__xludf.DUMMYFUNCTION("""COMPUTED_VALUE"""),"NL002463419B10")</f>
        <v>NL002463419B10</v>
      </c>
      <c r="T90" s="6">
        <f>IFERROR(__xludf.DUMMYFUNCTION("""COMPUTED_VALUE"""),2.92203305E8)</f>
        <v>292203305</v>
      </c>
      <c r="U90" s="7" t="str">
        <f>IFERROR(__xludf.DUMMYFUNCTION("""COMPUTED_VALUE"""),"Eenmanszaak")</f>
        <v>Eenmanszaak</v>
      </c>
      <c r="V90" s="7" t="str">
        <f>IFERROR(__xludf.DUMMYFUNCTION("""COMPUTED_VALUE"""),"000043267238")</f>
        <v>000043267238</v>
      </c>
      <c r="W90" s="6" t="str">
        <f>IFERROR(__xludf.DUMMYFUNCTION("""COMPUTED_VALUE"""),"ink.boroijzervlechter.2288aa@zarabota.nl")</f>
        <v>ink.boroijzervlechter.2288aa@zarabota.nl</v>
      </c>
      <c r="X90" s="6" t="str">
        <f>IFERROR(__xludf.DUMMYFUNCTION("""COMPUTED_VALUE"""),"ver.boroijzervlechter.2288aa@zarabota.nl")</f>
        <v>ver.boroijzervlechter.2288aa@zarabota.nl</v>
      </c>
      <c r="Y90" s="6" t="str">
        <f>IFERROR(__xludf.DUMMYFUNCTION("""COMPUTED_VALUE"""),"Hr.")</f>
        <v>Hr.</v>
      </c>
      <c r="Z90" s="6" t="str">
        <f>IFERROR(__xludf.DUMMYFUNCTION("""COMPUTED_VALUE"""),"Raycho Borisov")</f>
        <v>Raycho Borisov</v>
      </c>
      <c r="AA90" s="6" t="str">
        <f>IFERROR(__xludf.DUMMYFUNCTION("""COMPUTED_VALUE"""),"Raykov")</f>
        <v>Raykov</v>
      </c>
      <c r="AB90" s="6" t="str">
        <f>IFERROR(__xludf.DUMMYFUNCTION("""COMPUTED_VALUE"""),"R.B.")</f>
        <v>R.B.</v>
      </c>
      <c r="AC90" s="6">
        <f>IFERROR(__xludf.DUMMYFUNCTION("""COMPUTED_VALUE"""),2.92203305E8)</f>
        <v>292203305</v>
      </c>
      <c r="AD90" s="9">
        <f>IFERROR(__xludf.DUMMYFUNCTION("""COMPUTED_VALUE"""),33522.0)</f>
        <v>33522</v>
      </c>
      <c r="AE90" s="6" t="str">
        <f>IFERROR(__xludf.DUMMYFUNCTION("""COMPUTED_VALUE"""),"bg")</f>
        <v>bg</v>
      </c>
      <c r="AF90" s="6" t="str">
        <f>IFERROR(__xludf.DUMMYFUNCTION("""COMPUTED_VALUE"""),"Haskovo")</f>
        <v>Haskovo</v>
      </c>
      <c r="AG90" s="6" t="str">
        <f>IFERROR(__xludf.DUMMYFUNCTION("""COMPUTED_VALUE"""),"Hr. R.B. Raykov")</f>
        <v>Hr. R.B. Raykov</v>
      </c>
      <c r="AH90" s="6" t="str">
        <f>IFERROR(__xludf.DUMMYFUNCTION("""COMPUTED_VALUE"""),"NL80INGB0662077415")</f>
        <v>NL80INGB0662077415</v>
      </c>
      <c r="AI90" s="6"/>
      <c r="AJ90" s="6" t="str">
        <f>IFERROR(__xludf.DUMMYFUNCTION("""COMPUTED_VALUE"""),"ID Kaart")</f>
        <v>ID Kaart</v>
      </c>
      <c r="AK90" s="6">
        <f>IFERROR(__xludf.DUMMYFUNCTION("""COMPUTED_VALUE"""),6.4732503E8)</f>
        <v>647325030</v>
      </c>
      <c r="AL90" s="9">
        <f>IFERROR(__xludf.DUMMYFUNCTION("""COMPUTED_VALUE"""),46694.0)</f>
        <v>46694</v>
      </c>
      <c r="AM90" s="6"/>
      <c r="AN90" s="6" t="str">
        <f>IFERROR(__xludf.DUMMYFUNCTION("""COMPUTED_VALUE"""),"Raycho Borisov Raykov")</f>
        <v>Raycho Borisov Raykov</v>
      </c>
      <c r="AO90" s="6"/>
    </row>
    <row r="91">
      <c r="A91" s="6" t="str">
        <f>IFERROR(__xludf.DUMMYFUNCTION("""COMPUTED_VALUE"""),"Bouwbedrijf Nasko Bogdanov")</f>
        <v>Bouwbedrijf Nasko Bogdanov</v>
      </c>
      <c r="B91" s="6" t="str">
        <f>IFERROR(__xludf.DUMMYFUNCTION("""COMPUTED_VALUE"""),"Bouwbedrijf Nasko Bogdanov")</f>
        <v>Bouwbedrijf Nasko Bogdanov</v>
      </c>
      <c r="C91" s="6">
        <f>IFERROR(__xludf.DUMMYFUNCTION("""COMPUTED_VALUE"""),773.0)</f>
        <v>773</v>
      </c>
      <c r="D91" s="7" t="str">
        <f>IFERROR(__xludf.DUMMYFUNCTION("""COMPUTED_VALUE"""),"Nasko Angelov Bogdanov")</f>
        <v>Nasko Angelov Bogdanov</v>
      </c>
      <c r="E91" s="7" t="str">
        <f>IFERROR(__xludf.DUMMYFUNCTION("""COMPUTED_VALUE"""),"SBI-code: 4120 - Algemene burgerlijke en utiliteitsbouw")</f>
        <v>SBI-code: 4120 - Algemene burgerlijke en utiliteitsbouw</v>
      </c>
      <c r="F91" s="7" t="str">
        <f>IFERROR(__xludf.DUMMYFUNCTION("""COMPUTED_VALUE"""),"0687378815")</f>
        <v>0687378815</v>
      </c>
      <c r="G91" s="6" t="str">
        <f>IFERROR(__xludf.DUMMYFUNCTION("""COMPUTED_VALUE"""),"nde79@abv.bg")</f>
        <v>nde79@abv.bg</v>
      </c>
      <c r="H91" s="6" t="str">
        <f>IFERROR(__xludf.DUMMYFUNCTION("""COMPUTED_VALUE"""),"Damasstraat 305")</f>
        <v>Damasstraat 305</v>
      </c>
      <c r="I91" s="6" t="str">
        <f>IFERROR(__xludf.DUMMYFUNCTION("""COMPUTED_VALUE"""),"2522TS")</f>
        <v>2522TS</v>
      </c>
      <c r="J91" s="6" t="str">
        <f>IFERROR(__xludf.DUMMYFUNCTION("""COMPUTED_VALUE"""),"s-Gravenhage")</f>
        <v>s-Gravenhage</v>
      </c>
      <c r="K91" s="6" t="str">
        <f>IFERROR(__xludf.DUMMYFUNCTION("""COMPUTED_VALUE"""),"Nederland")</f>
        <v>Nederland</v>
      </c>
      <c r="L91" s="6" t="str">
        <f>IFERROR(__xludf.DUMMYFUNCTION("""COMPUTED_VALUE"""),"Богданов")</f>
        <v>Богданов</v>
      </c>
      <c r="M91" s="8">
        <f>IFERROR(__xludf.DUMMYFUNCTION("""COMPUTED_VALUE"""),43466.0)</f>
        <v>43466</v>
      </c>
      <c r="N91" s="6" t="str">
        <f>IFERROR(__xludf.DUMMYFUNCTION("""COMPUTED_VALUE"""),"NL515860050B01")</f>
        <v>NL515860050B01</v>
      </c>
      <c r="O91" s="6">
        <f>IFERROR(__xludf.DUMMYFUNCTION("""COMPUTED_VALUE"""),6.3264161E7)</f>
        <v>63264161</v>
      </c>
      <c r="P91" s="6" t="str">
        <f>IFERROR(__xludf.DUMMYFUNCTION("""COMPUTED_VALUE"""),"NL20INGB0006854456")</f>
        <v>NL20INGB0006854456</v>
      </c>
      <c r="Q91" s="9">
        <f>IFERROR(__xludf.DUMMYFUNCTION("""COMPUTED_VALUE"""),42131.0)</f>
        <v>42131</v>
      </c>
      <c r="R91" s="6"/>
      <c r="S91" s="6" t="str">
        <f>IFERROR(__xludf.DUMMYFUNCTION("""COMPUTED_VALUE"""),"NL002494502B11")</f>
        <v>NL002494502B11</v>
      </c>
      <c r="T91" s="6">
        <f>IFERROR(__xludf.DUMMYFUNCTION("""COMPUTED_VALUE"""),5.1586005E8)</f>
        <v>515860050</v>
      </c>
      <c r="U91" s="7" t="str">
        <f>IFERROR(__xludf.DUMMYFUNCTION("""COMPUTED_VALUE"""),"Eenmanszaak")</f>
        <v>Eenmanszaak</v>
      </c>
      <c r="V91" s="7" t="str">
        <f>IFERROR(__xludf.DUMMYFUNCTION("""COMPUTED_VALUE"""),"000032198256")</f>
        <v>000032198256</v>
      </c>
      <c r="W91" s="6" t="str">
        <f>IFERROR(__xludf.DUMMYFUNCTION("""COMPUTED_VALUE"""),"ink.bouwbedrijfnaskobogdanov.2288aa@zarabota.nl")</f>
        <v>ink.bouwbedrijfnaskobogdanov.2288aa@zarabota.nl</v>
      </c>
      <c r="X91" s="6" t="str">
        <f>IFERROR(__xludf.DUMMYFUNCTION("""COMPUTED_VALUE"""),"ver.bouwbedrijfnaskobogdanov.2288aa@zarabota.nl")</f>
        <v>ver.bouwbedrijfnaskobogdanov.2288aa@zarabota.nl</v>
      </c>
      <c r="Y91" s="6" t="str">
        <f>IFERROR(__xludf.DUMMYFUNCTION("""COMPUTED_VALUE"""),"Hr.")</f>
        <v>Hr.</v>
      </c>
      <c r="Z91" s="6" t="str">
        <f>IFERROR(__xludf.DUMMYFUNCTION("""COMPUTED_VALUE"""),"Nasko Angelov")</f>
        <v>Nasko Angelov</v>
      </c>
      <c r="AA91" s="6" t="str">
        <f>IFERROR(__xludf.DUMMYFUNCTION("""COMPUTED_VALUE"""),"Bogdanov")</f>
        <v>Bogdanov</v>
      </c>
      <c r="AB91" s="6" t="str">
        <f>IFERROR(__xludf.DUMMYFUNCTION("""COMPUTED_VALUE"""),"N.A.")</f>
        <v>N.A.</v>
      </c>
      <c r="AC91" s="6">
        <f>IFERROR(__xludf.DUMMYFUNCTION("""COMPUTED_VALUE"""),5.1586005E8)</f>
        <v>515860050</v>
      </c>
      <c r="AD91" s="9">
        <f>IFERROR(__xludf.DUMMYFUNCTION("""COMPUTED_VALUE"""),28992.0)</f>
        <v>28992</v>
      </c>
      <c r="AE91" s="6" t="str">
        <f>IFERROR(__xludf.DUMMYFUNCTION("""COMPUTED_VALUE"""),"bg")</f>
        <v>bg</v>
      </c>
      <c r="AF91" s="6" t="str">
        <f>IFERROR(__xludf.DUMMYFUNCTION("""COMPUTED_VALUE"""),"Ardino")</f>
        <v>Ardino</v>
      </c>
      <c r="AG91" s="6" t="str">
        <f>IFERROR(__xludf.DUMMYFUNCTION("""COMPUTED_VALUE"""),"Hr. N.A. Bogdanov")</f>
        <v>Hr. N.A. Bogdanov</v>
      </c>
      <c r="AH91" s="6"/>
      <c r="AI91" s="6"/>
      <c r="AJ91" s="6"/>
      <c r="AK91" s="6"/>
      <c r="AL91" s="6"/>
      <c r="AM91" s="6"/>
      <c r="AN91" s="6" t="str">
        <f>IFERROR(__xludf.DUMMYFUNCTION("""COMPUTED_VALUE"""),"Nasko Angelov Bogdanov")</f>
        <v>Nasko Angelov Bogdanov</v>
      </c>
      <c r="AO91" s="6"/>
    </row>
    <row r="92">
      <c r="A92" s="6" t="str">
        <f>IFERROR(__xludf.DUMMYFUNCTION("""COMPUTED_VALUE"""),"BouwX")</f>
        <v>BouwX</v>
      </c>
      <c r="B92" s="6" t="str">
        <f>IFERROR(__xludf.DUMMYFUNCTION("""COMPUTED_VALUE"""),"BouwX")</f>
        <v>BouwX</v>
      </c>
      <c r="C92" s="6">
        <f>IFERROR(__xludf.DUMMYFUNCTION("""COMPUTED_VALUE"""),1744.0)</f>
        <v>1744</v>
      </c>
      <c r="D92" s="7" t="str">
        <f>IFERROR(__xludf.DUMMYFUNCTION("""COMPUTED_VALUE"""),"Blagovest Radkov Ivanov")</f>
        <v>Blagovest Radkov Ivanov</v>
      </c>
      <c r="E92" s="7" t="str">
        <f>IFERROR(__xludf.DUMMYFUNCTION("""COMPUTED_VALUE"""),"SBI-code: 4120 - Algemene burgerlijke en utiliteitsbouw")</f>
        <v>SBI-code: 4120 - Algemene burgerlijke en utiliteitsbouw</v>
      </c>
      <c r="F92" s="7" t="str">
        <f>IFERROR(__xludf.DUMMYFUNCTION("""COMPUTED_VALUE"""),"0684564714")</f>
        <v>0684564714</v>
      </c>
      <c r="G92" s="6" t="str">
        <f>IFERROR(__xludf.DUMMYFUNCTION("""COMPUTED_VALUE"""),"bouwx.services@gmail.com")</f>
        <v>bouwx.services@gmail.com</v>
      </c>
      <c r="H92" s="6" t="str">
        <f>IFERROR(__xludf.DUMMYFUNCTION("""COMPUTED_VALUE"""),"Huissensestraat 50 - 3")</f>
        <v>Huissensestraat 50 - 3</v>
      </c>
      <c r="I92" s="6" t="str">
        <f>IFERROR(__xludf.DUMMYFUNCTION("""COMPUTED_VALUE"""),"6833JA")</f>
        <v>6833JA</v>
      </c>
      <c r="J92" s="6" t="str">
        <f>IFERROR(__xludf.DUMMYFUNCTION("""COMPUTED_VALUE"""),"Arnhem")</f>
        <v>Arnhem</v>
      </c>
      <c r="K92" s="6" t="str">
        <f>IFERROR(__xludf.DUMMYFUNCTION("""COMPUTED_VALUE"""),"Nederland")</f>
        <v>Nederland</v>
      </c>
      <c r="L92" s="6" t="str">
        <f>IFERROR(__xludf.DUMMYFUNCTION("""COMPUTED_VALUE"""),"Иванов")</f>
        <v>Иванов</v>
      </c>
      <c r="M92" s="8">
        <f>IFERROR(__xludf.DUMMYFUNCTION("""COMPUTED_VALUE"""),45931.0)</f>
        <v>45931</v>
      </c>
      <c r="N92" s="6" t="str">
        <f>IFERROR(__xludf.DUMMYFUNCTION("""COMPUTED_VALUE"""),"NL508111456B01")</f>
        <v>NL508111456B01</v>
      </c>
      <c r="O92" s="6">
        <f>IFERROR(__xludf.DUMMYFUNCTION("""COMPUTED_VALUE"""),9.849054E7)</f>
        <v>98490540</v>
      </c>
      <c r="P92" s="6" t="str">
        <f>IFERROR(__xludf.DUMMYFUNCTION("""COMPUTED_VALUE"""),"NL39INGB0112941656")</f>
        <v>NL39INGB0112941656</v>
      </c>
      <c r="Q92" s="9">
        <f>IFERROR(__xludf.DUMMYFUNCTION("""COMPUTED_VALUE"""),45931.0)</f>
        <v>45931</v>
      </c>
      <c r="R92" s="6"/>
      <c r="S92" s="6" t="str">
        <f>IFERROR(__xludf.DUMMYFUNCTION("""COMPUTED_VALUE"""),"NL005337002B97")</f>
        <v>NL005337002B97</v>
      </c>
      <c r="T92" s="6">
        <f>IFERROR(__xludf.DUMMYFUNCTION("""COMPUTED_VALUE"""),5.08111456E8)</f>
        <v>508111456</v>
      </c>
      <c r="U92" s="7" t="str">
        <f>IFERROR(__xludf.DUMMYFUNCTION("""COMPUTED_VALUE"""),"Eenmanszaak")</f>
        <v>Eenmanszaak</v>
      </c>
      <c r="V92" s="7" t="str">
        <f>IFERROR(__xludf.DUMMYFUNCTION("""COMPUTED_VALUE"""),"000063650665")</f>
        <v>000063650665</v>
      </c>
      <c r="W92" s="6" t="str">
        <f>IFERROR(__xludf.DUMMYFUNCTION("""COMPUTED_VALUE"""),"ink.bouwx.2288aa@zarabota.nl")</f>
        <v>ink.bouwx.2288aa@zarabota.nl</v>
      </c>
      <c r="X92" s="6" t="str">
        <f>IFERROR(__xludf.DUMMYFUNCTION("""COMPUTED_VALUE"""),"ver.bouwx.2288aa@zarabota.nl")</f>
        <v>ver.bouwx.2288aa@zarabota.nl</v>
      </c>
      <c r="Y92" s="6" t="str">
        <f>IFERROR(__xludf.DUMMYFUNCTION("""COMPUTED_VALUE"""),"Hr.")</f>
        <v>Hr.</v>
      </c>
      <c r="Z92" s="6" t="str">
        <f>IFERROR(__xludf.DUMMYFUNCTION("""COMPUTED_VALUE"""),"Blagovest Radkov")</f>
        <v>Blagovest Radkov</v>
      </c>
      <c r="AA92" s="6" t="str">
        <f>IFERROR(__xludf.DUMMYFUNCTION("""COMPUTED_VALUE"""),"Ivanov")</f>
        <v>Ivanov</v>
      </c>
      <c r="AB92" s="6" t="str">
        <f>IFERROR(__xludf.DUMMYFUNCTION("""COMPUTED_VALUE"""),"B.R.")</f>
        <v>B.R.</v>
      </c>
      <c r="AC92" s="6">
        <f>IFERROR(__xludf.DUMMYFUNCTION("""COMPUTED_VALUE"""),5.08111456E8)</f>
        <v>508111456</v>
      </c>
      <c r="AD92" s="9">
        <f>IFERROR(__xludf.DUMMYFUNCTION("""COMPUTED_VALUE"""),32029.0)</f>
        <v>32029</v>
      </c>
      <c r="AE92" s="6" t="str">
        <f>IFERROR(__xludf.DUMMYFUNCTION("""COMPUTED_VALUE"""),"bg")</f>
        <v>bg</v>
      </c>
      <c r="AF92" s="6" t="str">
        <f>IFERROR(__xludf.DUMMYFUNCTION("""COMPUTED_VALUE"""),"Dobrich")</f>
        <v>Dobrich</v>
      </c>
      <c r="AG92" s="6" t="str">
        <f>IFERROR(__xludf.DUMMYFUNCTION("""COMPUTED_VALUE"""),"Hr. B.R. Ivanov")</f>
        <v>Hr. B.R. Ivanov</v>
      </c>
      <c r="AH92" s="6"/>
      <c r="AI92" s="6"/>
      <c r="AJ92" s="6" t="str">
        <f>IFERROR(__xludf.DUMMYFUNCTION("""COMPUTED_VALUE"""),"ID Kaart")</f>
        <v>ID Kaart</v>
      </c>
      <c r="AK92" s="6">
        <f>IFERROR(__xludf.DUMMYFUNCTION("""COMPUTED_VALUE"""),6.47151587E8)</f>
        <v>647151587</v>
      </c>
      <c r="AL92" s="9">
        <f>IFERROR(__xludf.DUMMYFUNCTION("""COMPUTED_VALUE"""),46609.0)</f>
        <v>46609</v>
      </c>
      <c r="AM92" s="6" t="str">
        <f>IFERROR(__xludf.DUMMYFUNCTION("""COMPUTED_VALUE"""),"Bulgarije")</f>
        <v>Bulgarije</v>
      </c>
      <c r="AN92" s="6" t="str">
        <f>IFERROR(__xludf.DUMMYFUNCTION("""COMPUTED_VALUE"""),"Blagovest Radkov Ivanov")</f>
        <v>Blagovest Radkov Ivanov</v>
      </c>
      <c r="AO92" s="6">
        <f>IFERROR(__xludf.DUMMYFUNCTION("""COMPUTED_VALUE"""),1744.0)</f>
        <v>1744</v>
      </c>
    </row>
    <row r="93">
      <c r="A93" s="6" t="str">
        <f>IFERROR(__xludf.DUMMYFUNCTION("""COMPUTED_VALUE"""),"Bovic 2011")</f>
        <v>Bovic 2011</v>
      </c>
      <c r="B93" s="6" t="str">
        <f>IFERROR(__xludf.DUMMYFUNCTION("""COMPUTED_VALUE"""),"Bovic 2011")</f>
        <v>Bovic 2011</v>
      </c>
      <c r="C93" s="6">
        <f>IFERROR(__xludf.DUMMYFUNCTION("""COMPUTED_VALUE"""),73.0)</f>
        <v>73</v>
      </c>
      <c r="D93" s="7" t="str">
        <f>IFERROR(__xludf.DUMMYFUNCTION("""COMPUTED_VALUE"""),"Venelin Dimitrov Vakov")</f>
        <v>Venelin Dimitrov Vakov</v>
      </c>
      <c r="E93" s="7" t="str">
        <f>IFERROR(__xludf.DUMMYFUNCTION("""COMPUTED_VALUE"""),"SBI-code: 4120 - Algemene burgerlijke en utiliteitsbouw")</f>
        <v>SBI-code: 4120 - Algemene burgerlijke en utiliteitsbouw</v>
      </c>
      <c r="F93" s="7" t="str">
        <f>IFERROR(__xludf.DUMMYFUNCTION("""COMPUTED_VALUE"""),"0620862492")</f>
        <v>0620862492</v>
      </c>
      <c r="G93" s="6" t="str">
        <f>IFERROR(__xludf.DUMMYFUNCTION("""COMPUTED_VALUE"""),"venelinvakov1971@gmail.com")</f>
        <v>venelinvakov1971@gmail.com</v>
      </c>
      <c r="H93" s="6" t="str">
        <f>IFERROR(__xludf.DUMMYFUNCTION("""COMPUTED_VALUE"""),"Wolweversgaarde 8")</f>
        <v>Wolweversgaarde 8</v>
      </c>
      <c r="I93" s="6" t="str">
        <f>IFERROR(__xludf.DUMMYFUNCTION("""COMPUTED_VALUE"""),"2542AT")</f>
        <v>2542AT</v>
      </c>
      <c r="J93" s="6" t="str">
        <f>IFERROR(__xludf.DUMMYFUNCTION("""COMPUTED_VALUE"""),"s-Gravenhage")</f>
        <v>s-Gravenhage</v>
      </c>
      <c r="K93" s="6" t="str">
        <f>IFERROR(__xludf.DUMMYFUNCTION("""COMPUTED_VALUE"""),"Nederland")</f>
        <v>Nederland</v>
      </c>
      <c r="L93" s="6" t="str">
        <f>IFERROR(__xludf.DUMMYFUNCTION("""COMPUTED_VALUE"""),"Ваков")</f>
        <v>Ваков</v>
      </c>
      <c r="M93" s="8">
        <f>IFERROR(__xludf.DUMMYFUNCTION("""COMPUTED_VALUE"""),43175.0)</f>
        <v>43175</v>
      </c>
      <c r="N93" s="6" t="str">
        <f>IFERROR(__xludf.DUMMYFUNCTION("""COMPUTED_VALUE"""),"NL281556763B03")</f>
        <v>NL281556763B03</v>
      </c>
      <c r="O93" s="6">
        <f>IFERROR(__xludf.DUMMYFUNCTION("""COMPUTED_VALUE"""),6.4473511E7)</f>
        <v>64473511</v>
      </c>
      <c r="P93" s="6" t="str">
        <f>IFERROR(__xludf.DUMMYFUNCTION("""COMPUTED_VALUE"""),"NL60INGB0007114569")</f>
        <v>NL60INGB0007114569</v>
      </c>
      <c r="Q93" s="9">
        <f>IFERROR(__xludf.DUMMYFUNCTION("""COMPUTED_VALUE"""),42311.0)</f>
        <v>42311</v>
      </c>
      <c r="R93" s="6"/>
      <c r="S93" s="6" t="str">
        <f>IFERROR(__xludf.DUMMYFUNCTION("""COMPUTED_VALUE"""),"NL002462438B12")</f>
        <v>NL002462438B12</v>
      </c>
      <c r="T93" s="6">
        <f>IFERROR(__xludf.DUMMYFUNCTION("""COMPUTED_VALUE"""),2.81556763E8)</f>
        <v>281556763</v>
      </c>
      <c r="U93" s="7" t="str">
        <f>IFERROR(__xludf.DUMMYFUNCTION("""COMPUTED_VALUE"""),"Eenmanszaak")</f>
        <v>Eenmanszaak</v>
      </c>
      <c r="V93" s="7" t="str">
        <f>IFERROR(__xludf.DUMMYFUNCTION("""COMPUTED_VALUE"""),"000033294879")</f>
        <v>000033294879</v>
      </c>
      <c r="W93" s="6" t="str">
        <f>IFERROR(__xludf.DUMMYFUNCTION("""COMPUTED_VALUE"""),"ink.bovic2011.2288aa@zarabota.nl")</f>
        <v>ink.bovic2011.2288aa@zarabota.nl</v>
      </c>
      <c r="X93" s="6" t="str">
        <f>IFERROR(__xludf.DUMMYFUNCTION("""COMPUTED_VALUE"""),"ver.bovic2011.2288aa@zarabota.nl")</f>
        <v>ver.bovic2011.2288aa@zarabota.nl</v>
      </c>
      <c r="Y93" s="6" t="str">
        <f>IFERROR(__xludf.DUMMYFUNCTION("""COMPUTED_VALUE"""),"Hr.")</f>
        <v>Hr.</v>
      </c>
      <c r="Z93" s="6" t="str">
        <f>IFERROR(__xludf.DUMMYFUNCTION("""COMPUTED_VALUE"""),"Venelin Dimitrov")</f>
        <v>Venelin Dimitrov</v>
      </c>
      <c r="AA93" s="6" t="str">
        <f>IFERROR(__xludf.DUMMYFUNCTION("""COMPUTED_VALUE"""),"Vakov")</f>
        <v>Vakov</v>
      </c>
      <c r="AB93" s="6" t="str">
        <f>IFERROR(__xludf.DUMMYFUNCTION("""COMPUTED_VALUE"""),"V.D.")</f>
        <v>V.D.</v>
      </c>
      <c r="AC93" s="6">
        <f>IFERROR(__xludf.DUMMYFUNCTION("""COMPUTED_VALUE"""),2.81556763E8)</f>
        <v>281556763</v>
      </c>
      <c r="AD93" s="9">
        <f>IFERROR(__xludf.DUMMYFUNCTION("""COMPUTED_VALUE"""),26018.0)</f>
        <v>26018</v>
      </c>
      <c r="AE93" s="6" t="str">
        <f>IFERROR(__xludf.DUMMYFUNCTION("""COMPUTED_VALUE"""),"bg")</f>
        <v>bg</v>
      </c>
      <c r="AF93" s="6" t="str">
        <f>IFERROR(__xludf.DUMMYFUNCTION("""COMPUTED_VALUE"""),"Razgrad")</f>
        <v>Razgrad</v>
      </c>
      <c r="AG93" s="6" t="str">
        <f>IFERROR(__xludf.DUMMYFUNCTION("""COMPUTED_VALUE"""),"Hr. V.D. Vakov")</f>
        <v>Hr. V.D. Vakov</v>
      </c>
      <c r="AH93" s="6" t="str">
        <f>IFERROR(__xludf.DUMMYFUNCTION("""COMPUTED_VALUE"""),"NL23INGB0657583073")</f>
        <v>NL23INGB0657583073</v>
      </c>
      <c r="AI93" s="6"/>
      <c r="AJ93" s="6"/>
      <c r="AK93" s="6"/>
      <c r="AL93" s="6"/>
      <c r="AM93" s="6"/>
      <c r="AN93" s="6" t="str">
        <f>IFERROR(__xludf.DUMMYFUNCTION("""COMPUTED_VALUE"""),"Venelin Dimitrov Vakov")</f>
        <v>Venelin Dimitrov Vakov</v>
      </c>
      <c r="AO93" s="6"/>
    </row>
    <row r="94">
      <c r="A94" s="6" t="str">
        <f>IFERROR(__xludf.DUMMYFUNCTION("""COMPUTED_VALUE"""),"Boyan Boyanov")</f>
        <v>Boyan Boyanov</v>
      </c>
      <c r="B94" s="6" t="str">
        <f>IFERROR(__xludf.DUMMYFUNCTION("""COMPUTED_VALUE"""),"Boyan Boyanov")</f>
        <v>Boyan Boyanov</v>
      </c>
      <c r="C94" s="6">
        <f>IFERROR(__xludf.DUMMYFUNCTION("""COMPUTED_VALUE"""),1105.0)</f>
        <v>1105</v>
      </c>
      <c r="D94" s="7" t="str">
        <f>IFERROR(__xludf.DUMMYFUNCTION("""COMPUTED_VALUE"""),"Boyan Simeonov Boyanov")</f>
        <v>Boyan Simeonov Boyanov</v>
      </c>
      <c r="E94" s="7" t="str">
        <f>IFERROR(__xludf.DUMMYFUNCTION("""COMPUTED_VALUE"""),"SBI-code: 43992 - Vlechten van betonstaal")</f>
        <v>SBI-code: 43992 - Vlechten van betonstaal</v>
      </c>
      <c r="F94" s="7" t="str">
        <f>IFERROR(__xludf.DUMMYFUNCTION("""COMPUTED_VALUE"""),"0684228542")</f>
        <v>0684228542</v>
      </c>
      <c r="G94" s="6" t="str">
        <f>IFERROR(__xludf.DUMMYFUNCTION("""COMPUTED_VALUE"""),"boyan.boyanov.1988@gmail.com")</f>
        <v>boyan.boyanov.1988@gmail.com</v>
      </c>
      <c r="H94" s="6" t="str">
        <f>IFERROR(__xludf.DUMMYFUNCTION("""COMPUTED_VALUE"""),"Troelstrakade 97")</f>
        <v>Troelstrakade 97</v>
      </c>
      <c r="I94" s="6" t="str">
        <f>IFERROR(__xludf.DUMMYFUNCTION("""COMPUTED_VALUE"""),"2531AB")</f>
        <v>2531AB</v>
      </c>
      <c r="J94" s="6" t="str">
        <f>IFERROR(__xludf.DUMMYFUNCTION("""COMPUTED_VALUE"""),"s-Gravenhage")</f>
        <v>s-Gravenhage</v>
      </c>
      <c r="K94" s="6" t="str">
        <f>IFERROR(__xludf.DUMMYFUNCTION("""COMPUTED_VALUE"""),"Nederland")</f>
        <v>Nederland</v>
      </c>
      <c r="L94" s="6" t="str">
        <f>IFERROR(__xludf.DUMMYFUNCTION("""COMPUTED_VALUE"""),"Боянов")</f>
        <v>Боянов</v>
      </c>
      <c r="M94" s="8">
        <f>IFERROR(__xludf.DUMMYFUNCTION("""COMPUTED_VALUE"""),44235.0)</f>
        <v>44235</v>
      </c>
      <c r="N94" s="6" t="str">
        <f>IFERROR(__xludf.DUMMYFUNCTION("""COMPUTED_VALUE"""),"NL497898664B02")</f>
        <v>NL497898664B02</v>
      </c>
      <c r="O94" s="6">
        <f>IFERROR(__xludf.DUMMYFUNCTION("""COMPUTED_VALUE"""),8.1825196E7)</f>
        <v>81825196</v>
      </c>
      <c r="P94" s="6" t="str">
        <f>IFERROR(__xludf.DUMMYFUNCTION("""COMPUTED_VALUE"""),"NL98INGB0008254411")</f>
        <v>NL98INGB0008254411</v>
      </c>
      <c r="Q94" s="9">
        <f>IFERROR(__xludf.DUMMYFUNCTION("""COMPUTED_VALUE"""),44235.0)</f>
        <v>44235</v>
      </c>
      <c r="R94" s="6"/>
      <c r="S94" s="6" t="str">
        <f>IFERROR(__xludf.DUMMYFUNCTION("""COMPUTED_VALUE"""),"NL003608470B25")</f>
        <v>NL003608470B25</v>
      </c>
      <c r="T94" s="6">
        <f>IFERROR(__xludf.DUMMYFUNCTION("""COMPUTED_VALUE"""),4.97898664E8)</f>
        <v>497898664</v>
      </c>
      <c r="U94" s="7" t="str">
        <f>IFERROR(__xludf.DUMMYFUNCTION("""COMPUTED_VALUE"""),"Eenmanszaak")</f>
        <v>Eenmanszaak</v>
      </c>
      <c r="V94" s="7" t="str">
        <f>IFERROR(__xludf.DUMMYFUNCTION("""COMPUTED_VALUE"""),"000048092797")</f>
        <v>000048092797</v>
      </c>
      <c r="W94" s="6" t="str">
        <f>IFERROR(__xludf.DUMMYFUNCTION("""COMPUTED_VALUE"""),"ink.boyansimeonov.2288aa@zarabota.nl")</f>
        <v>ink.boyansimeonov.2288aa@zarabota.nl</v>
      </c>
      <c r="X94" s="6" t="str">
        <f>IFERROR(__xludf.DUMMYFUNCTION("""COMPUTED_VALUE"""),"ver.boyansimeonov.2288aa@zarabota.nl")</f>
        <v>ver.boyansimeonov.2288aa@zarabota.nl</v>
      </c>
      <c r="Y94" s="6" t="str">
        <f>IFERROR(__xludf.DUMMYFUNCTION("""COMPUTED_VALUE"""),"Hr.")</f>
        <v>Hr.</v>
      </c>
      <c r="Z94" s="6" t="str">
        <f>IFERROR(__xludf.DUMMYFUNCTION("""COMPUTED_VALUE"""),"Boyan Simeonov")</f>
        <v>Boyan Simeonov</v>
      </c>
      <c r="AA94" s="6" t="str">
        <f>IFERROR(__xludf.DUMMYFUNCTION("""COMPUTED_VALUE"""),"Boyanov")</f>
        <v>Boyanov</v>
      </c>
      <c r="AB94" s="6" t="str">
        <f>IFERROR(__xludf.DUMMYFUNCTION("""COMPUTED_VALUE"""),"B.S.")</f>
        <v>B.S.</v>
      </c>
      <c r="AC94" s="6">
        <f>IFERROR(__xludf.DUMMYFUNCTION("""COMPUTED_VALUE"""),4.97898664E8)</f>
        <v>497898664</v>
      </c>
      <c r="AD94" s="9">
        <f>IFERROR(__xludf.DUMMYFUNCTION("""COMPUTED_VALUE"""),32464.0)</f>
        <v>32464</v>
      </c>
      <c r="AE94" s="6" t="str">
        <f>IFERROR(__xludf.DUMMYFUNCTION("""COMPUTED_VALUE"""),"bg")</f>
        <v>bg</v>
      </c>
      <c r="AF94" s="6" t="str">
        <f>IFERROR(__xludf.DUMMYFUNCTION("""COMPUTED_VALUE"""),"Haskovo")</f>
        <v>Haskovo</v>
      </c>
      <c r="AG94" s="6" t="str">
        <f>IFERROR(__xludf.DUMMYFUNCTION("""COMPUTED_VALUE"""),"Hr. B.S. Boyanov")</f>
        <v>Hr. B.S. Boyanov</v>
      </c>
      <c r="AH94" s="6" t="str">
        <f>IFERROR(__xludf.DUMMYFUNCTION("""COMPUTED_VALUE"""),"NL72INGB0700061304")</f>
        <v>NL72INGB0700061304</v>
      </c>
      <c r="AI94" s="6"/>
      <c r="AJ94" s="6" t="str">
        <f>IFERROR(__xludf.DUMMYFUNCTION("""COMPUTED_VALUE"""),"ID Kaart")</f>
        <v>ID Kaart</v>
      </c>
      <c r="AK94" s="6">
        <f>IFERROR(__xludf.DUMMYFUNCTION("""COMPUTED_VALUE"""),6.4671268E8)</f>
        <v>646712680</v>
      </c>
      <c r="AL94" s="9">
        <f>IFERROR(__xludf.DUMMYFUNCTION("""COMPUTED_VALUE"""),46282.0)</f>
        <v>46282</v>
      </c>
      <c r="AM94" s="6" t="str">
        <f>IFERROR(__xludf.DUMMYFUNCTION("""COMPUTED_VALUE"""),"Bulgarije")</f>
        <v>Bulgarije</v>
      </c>
      <c r="AN94" s="6" t="str">
        <f>IFERROR(__xludf.DUMMYFUNCTION("""COMPUTED_VALUE"""),"Boyan Simeonov Boyanov")</f>
        <v>Boyan Simeonov Boyanov</v>
      </c>
      <c r="AO94" s="6">
        <f>IFERROR(__xludf.DUMMYFUNCTION("""COMPUTED_VALUE"""),1105.0)</f>
        <v>1105</v>
      </c>
    </row>
    <row r="95">
      <c r="A95" s="6" t="str">
        <f>IFERROR(__xludf.DUMMYFUNCTION("""COMPUTED_VALUE"""),"Boyanov 96")</f>
        <v>Boyanov 96</v>
      </c>
      <c r="B95" s="6" t="str">
        <f>IFERROR(__xludf.DUMMYFUNCTION("""COMPUTED_VALUE"""),"Boyanov 96")</f>
        <v>Boyanov 96</v>
      </c>
      <c r="C95" s="6">
        <f>IFERROR(__xludf.DUMMYFUNCTION("""COMPUTED_VALUE"""),1774.0)</f>
        <v>1774</v>
      </c>
      <c r="D95" s="7" t="str">
        <f>IFERROR(__xludf.DUMMYFUNCTION("""COMPUTED_VALUE"""),"Angel Boyanov Boyanov")</f>
        <v>Angel Boyanov Boyanov</v>
      </c>
      <c r="E95" s="7" t="str">
        <f>IFERROR(__xludf.DUMMYFUNCTION("""COMPUTED_VALUE"""),"SBI-code: 4120 - Algemene burgerlijke en utiliteitsbouw")</f>
        <v>SBI-code: 4120 - Algemene burgerlijke en utiliteitsbouw</v>
      </c>
      <c r="F95" s="7" t="str">
        <f>IFERROR(__xludf.DUMMYFUNCTION("""COMPUTED_VALUE"""),"0687399361")</f>
        <v>0687399361</v>
      </c>
      <c r="G95" s="6" t="str">
        <f>IFERROR(__xludf.DUMMYFUNCTION("""COMPUTED_VALUE"""),"aboqnov32@gmail.com")</f>
        <v>aboqnov32@gmail.com</v>
      </c>
      <c r="H95" s="6" t="str">
        <f>IFERROR(__xludf.DUMMYFUNCTION("""COMPUTED_VALUE"""),"Gerard Kellerstraat 49")</f>
        <v>Gerard Kellerstraat 49</v>
      </c>
      <c r="I95" s="6" t="str">
        <f>IFERROR(__xludf.DUMMYFUNCTION("""COMPUTED_VALUE"""),"2522ZT")</f>
        <v>2522ZT</v>
      </c>
      <c r="J95" s="6" t="str">
        <f>IFERROR(__xludf.DUMMYFUNCTION("""COMPUTED_VALUE"""),"s-Gravenhage")</f>
        <v>s-Gravenhage</v>
      </c>
      <c r="K95" s="6" t="str">
        <f>IFERROR(__xludf.DUMMYFUNCTION("""COMPUTED_VALUE"""),"Nederland")</f>
        <v>Nederland</v>
      </c>
      <c r="L95" s="6" t="str">
        <f>IFERROR(__xludf.DUMMYFUNCTION("""COMPUTED_VALUE"""),"Боянов")</f>
        <v>Боянов</v>
      </c>
      <c r="M95" s="8">
        <f>IFERROR(__xludf.DUMMYFUNCTION("""COMPUTED_VALUE"""),46063.0)</f>
        <v>46063</v>
      </c>
      <c r="N95" s="6" t="str">
        <f>IFERROR(__xludf.DUMMYFUNCTION("""COMPUTED_VALUE"""),"NL403659334B01")</f>
        <v>NL403659334B01</v>
      </c>
      <c r="O95" s="6">
        <f>IFERROR(__xludf.DUMMYFUNCTION("""COMPUTED_VALUE"""),9.975298E7)</f>
        <v>99752980</v>
      </c>
      <c r="P95" s="6" t="str">
        <f>IFERROR(__xludf.DUMMYFUNCTION("""COMPUTED_VALUE"""),"NL61INGB0115974644")</f>
        <v>NL61INGB0115974644</v>
      </c>
      <c r="Q95" s="9">
        <f>IFERROR(__xludf.DUMMYFUNCTION("""COMPUTED_VALUE"""),46063.0)</f>
        <v>46063</v>
      </c>
      <c r="R95" s="6"/>
      <c r="S95" s="6" t="str">
        <f>IFERROR(__xludf.DUMMYFUNCTION("""COMPUTED_VALUE"""),"NL005408293B36")</f>
        <v>NL005408293B36</v>
      </c>
      <c r="T95" s="6">
        <f>IFERROR(__xludf.DUMMYFUNCTION("""COMPUTED_VALUE"""),4.03659334E8)</f>
        <v>403659334</v>
      </c>
      <c r="U95" s="7" t="str">
        <f>IFERROR(__xludf.DUMMYFUNCTION("""COMPUTED_VALUE"""),"Eenmanszaak")</f>
        <v>Eenmanszaak</v>
      </c>
      <c r="V95" s="6"/>
      <c r="W95" s="6" t="str">
        <f>IFERROR(__xludf.DUMMYFUNCTION("""COMPUTED_VALUE"""),"ink.boyanov96.2288aa@zarabota.nl")</f>
        <v>ink.boyanov96.2288aa@zarabota.nl</v>
      </c>
      <c r="X95" s="6" t="str">
        <f>IFERROR(__xludf.DUMMYFUNCTION("""COMPUTED_VALUE"""),"ver.boyanov96.2288aa@zarabota.nl")</f>
        <v>ver.boyanov96.2288aa@zarabota.nl</v>
      </c>
      <c r="Y95" s="6" t="str">
        <f>IFERROR(__xludf.DUMMYFUNCTION("""COMPUTED_VALUE"""),"Hr.")</f>
        <v>Hr.</v>
      </c>
      <c r="Z95" s="6" t="str">
        <f>IFERROR(__xludf.DUMMYFUNCTION("""COMPUTED_VALUE"""),"Angel Boyanov")</f>
        <v>Angel Boyanov</v>
      </c>
      <c r="AA95" s="6" t="str">
        <f>IFERROR(__xludf.DUMMYFUNCTION("""COMPUTED_VALUE"""),"Boyanov")</f>
        <v>Boyanov</v>
      </c>
      <c r="AB95" s="6" t="str">
        <f>IFERROR(__xludf.DUMMYFUNCTION("""COMPUTED_VALUE"""),"A.B.")</f>
        <v>A.B.</v>
      </c>
      <c r="AC95" s="6">
        <f>IFERROR(__xludf.DUMMYFUNCTION("""COMPUTED_VALUE"""),4.03659334E8)</f>
        <v>403659334</v>
      </c>
      <c r="AD95" s="9">
        <f>IFERROR(__xludf.DUMMYFUNCTION("""COMPUTED_VALUE"""),35420.0)</f>
        <v>35420</v>
      </c>
      <c r="AE95" s="6" t="str">
        <f>IFERROR(__xludf.DUMMYFUNCTION("""COMPUTED_VALUE"""),"bg")</f>
        <v>bg</v>
      </c>
      <c r="AF95" s="6" t="str">
        <f>IFERROR(__xludf.DUMMYFUNCTION("""COMPUTED_VALUE"""),"Parvomay")</f>
        <v>Parvomay</v>
      </c>
      <c r="AG95" s="6" t="str">
        <f>IFERROR(__xludf.DUMMYFUNCTION("""COMPUTED_VALUE"""),"Hr. A.B. Boyanov")</f>
        <v>Hr. A.B. Boyanov</v>
      </c>
      <c r="AH95" s="6" t="str">
        <f>IFERROR(__xludf.DUMMYFUNCTION("""COMPUTED_VALUE"""),"NL34INGB0112675190")</f>
        <v>NL34INGB0112675190</v>
      </c>
      <c r="AI95" s="6"/>
      <c r="AJ95" s="6" t="str">
        <f>IFERROR(__xludf.DUMMYFUNCTION("""COMPUTED_VALUE"""),"ID Kaart")</f>
        <v>ID Kaart</v>
      </c>
      <c r="AK95" s="6">
        <f>IFERROR(__xludf.DUMMYFUNCTION("""COMPUTED_VALUE"""),6.5239803E8)</f>
        <v>652398030</v>
      </c>
      <c r="AL95" s="9">
        <f>IFERROR(__xludf.DUMMYFUNCTION("""COMPUTED_VALUE"""),48584.0)</f>
        <v>48584</v>
      </c>
      <c r="AM95" s="6" t="str">
        <f>IFERROR(__xludf.DUMMYFUNCTION("""COMPUTED_VALUE"""),"Bulgarije")</f>
        <v>Bulgarije</v>
      </c>
      <c r="AN95" s="6" t="str">
        <f>IFERROR(__xludf.DUMMYFUNCTION("""COMPUTED_VALUE"""),"Angel Boyanov Boyanov")</f>
        <v>Angel Boyanov Boyanov</v>
      </c>
      <c r="AO95" s="6">
        <f>IFERROR(__xludf.DUMMYFUNCTION("""COMPUTED_VALUE"""),1774.0)</f>
        <v>1774</v>
      </c>
    </row>
    <row r="96">
      <c r="A96" s="6" t="str">
        <f>IFERROR(__xludf.DUMMYFUNCTION("""COMPUTED_VALUE"""),"BSA Constructions B.V.")</f>
        <v>BSA Constructions B.V.</v>
      </c>
      <c r="B96" s="6" t="str">
        <f>IFERROR(__xludf.DUMMYFUNCTION("""COMPUTED_VALUE"""),"BSA Constructions B.V.")</f>
        <v>BSA Constructions B.V.</v>
      </c>
      <c r="C96" s="6">
        <f>IFERROR(__xludf.DUMMYFUNCTION("""COMPUTED_VALUE"""),1756.0)</f>
        <v>1756</v>
      </c>
      <c r="D96" s="7" t="str">
        <f>IFERROR(__xludf.DUMMYFUNCTION("""COMPUTED_VALUE"""),"Sergei Budoian")</f>
        <v>Sergei Budoian</v>
      </c>
      <c r="E96" s="7" t="str">
        <f>IFERROR(__xludf.DUMMYFUNCTION("""COMPUTED_VALUE"""),"SBI-code: 4120 - Algemene burgerlijke en utiliteitsbouw")</f>
        <v>SBI-code: 4120 - Algemene burgerlijke en utiliteitsbouw</v>
      </c>
      <c r="F96" s="7" t="str">
        <f>IFERROR(__xludf.DUMMYFUNCTION("""COMPUTED_VALUE"""),"0610762514")</f>
        <v>0610762514</v>
      </c>
      <c r="G96" s="6" t="str">
        <f>IFERROR(__xludf.DUMMYFUNCTION("""COMPUTED_VALUE"""),"bsaconstruction.bv@gmail.com")</f>
        <v>bsaconstruction.bv@gmail.com</v>
      </c>
      <c r="H96" s="6" t="str">
        <f>IFERROR(__xludf.DUMMYFUNCTION("""COMPUTED_VALUE"""),"Nieuwe Maasstraat 98 B")</f>
        <v>Nieuwe Maasstraat 98 B</v>
      </c>
      <c r="I96" s="6" t="str">
        <f>IFERROR(__xludf.DUMMYFUNCTION("""COMPUTED_VALUE"""),"3114 TP")</f>
        <v>3114 TP</v>
      </c>
      <c r="J96" s="6" t="str">
        <f>IFERROR(__xludf.DUMMYFUNCTION("""COMPUTED_VALUE"""),"Schiedam")</f>
        <v>Schiedam</v>
      </c>
      <c r="K96" s="6" t="str">
        <f>IFERROR(__xludf.DUMMYFUNCTION("""COMPUTED_VALUE"""),"Nederland")</f>
        <v>Nederland</v>
      </c>
      <c r="L96" s="6" t="str">
        <f>IFERROR(__xludf.DUMMYFUNCTION("""COMPUTED_VALUE"""),"Будоян")</f>
        <v>Будоян</v>
      </c>
      <c r="M96" s="8">
        <f>IFERROR(__xludf.DUMMYFUNCTION("""COMPUTED_VALUE"""),45992.0)</f>
        <v>45992</v>
      </c>
      <c r="N96" s="6" t="str">
        <f>IFERROR(__xludf.DUMMYFUNCTION("""COMPUTED_VALUE"""),"NL868775241B01")</f>
        <v>NL868775241B01</v>
      </c>
      <c r="O96" s="6">
        <f>IFERROR(__xludf.DUMMYFUNCTION("""COMPUTED_VALUE"""),9.9063492E7)</f>
        <v>99063492</v>
      </c>
      <c r="P96" s="6" t="str">
        <f>IFERROR(__xludf.DUMMYFUNCTION("""COMPUTED_VALUE"""),"NL54INGB0116916737")</f>
        <v>NL54INGB0116916737</v>
      </c>
      <c r="Q96" s="9">
        <f>IFERROR(__xludf.DUMMYFUNCTION("""COMPUTED_VALUE"""),45995.0)</f>
        <v>45995</v>
      </c>
      <c r="R96" s="6"/>
      <c r="S96" s="6" t="str">
        <f>IFERROR(__xludf.DUMMYFUNCTION("""COMPUTED_VALUE"""),"NL868775241B01")</f>
        <v>NL868775241B01</v>
      </c>
      <c r="T96" s="6">
        <f>IFERROR(__xludf.DUMMYFUNCTION("""COMPUTED_VALUE"""),8.68775241E8)</f>
        <v>868775241</v>
      </c>
      <c r="U96" s="7" t="str">
        <f>IFERROR(__xludf.DUMMYFUNCTION("""COMPUTED_VALUE"""),"Besloten Vennootschap")</f>
        <v>Besloten Vennootschap</v>
      </c>
      <c r="V96" s="7" t="str">
        <f>IFERROR(__xludf.DUMMYFUNCTION("""COMPUTED_VALUE"""),"000064181359")</f>
        <v>000064181359</v>
      </c>
      <c r="W96" s="6" t="str">
        <f>IFERROR(__xludf.DUMMYFUNCTION("""COMPUTED_VALUE"""),"ink.bsaconstruction.2288aa@zarabota.nl")</f>
        <v>ink.bsaconstruction.2288aa@zarabota.nl</v>
      </c>
      <c r="X96" s="6" t="str">
        <f>IFERROR(__xludf.DUMMYFUNCTION("""COMPUTED_VALUE"""),"ver.bsaconstruction.2288aa@zarabota.nl")</f>
        <v>ver.bsaconstruction.2288aa@zarabota.nl</v>
      </c>
      <c r="Y96" s="6" t="str">
        <f>IFERROR(__xludf.DUMMYFUNCTION("""COMPUTED_VALUE"""),"Hr.")</f>
        <v>Hr.</v>
      </c>
      <c r="Z96" s="6" t="str">
        <f>IFERROR(__xludf.DUMMYFUNCTION("""COMPUTED_VALUE"""),"Sergei")</f>
        <v>Sergei</v>
      </c>
      <c r="AA96" s="6" t="str">
        <f>IFERROR(__xludf.DUMMYFUNCTION("""COMPUTED_VALUE"""),"Budoian")</f>
        <v>Budoian</v>
      </c>
      <c r="AB96" s="6" t="str">
        <f>IFERROR(__xludf.DUMMYFUNCTION("""COMPUTED_VALUE"""),"S.")</f>
        <v>S.</v>
      </c>
      <c r="AC96" s="6">
        <f>IFERROR(__xludf.DUMMYFUNCTION("""COMPUTED_VALUE"""),3.27975313E8)</f>
        <v>327975313</v>
      </c>
      <c r="AD96" s="9">
        <f>IFERROR(__xludf.DUMMYFUNCTION("""COMPUTED_VALUE"""),32062.0)</f>
        <v>32062</v>
      </c>
      <c r="AE96" s="6" t="str">
        <f>IFERROR(__xludf.DUMMYFUNCTION("""COMPUTED_VALUE"""),"bg")</f>
        <v>bg</v>
      </c>
      <c r="AF96" s="6" t="str">
        <f>IFERROR(__xludf.DUMMYFUNCTION("""COMPUTED_VALUE"""),"Calarasi")</f>
        <v>Calarasi</v>
      </c>
      <c r="AG96" s="6" t="str">
        <f>IFERROR(__xludf.DUMMYFUNCTION("""COMPUTED_VALUE"""),"Hr. S. Budoian")</f>
        <v>Hr. S. Budoian</v>
      </c>
      <c r="AH96" s="6" t="str">
        <f>IFERROR(__xludf.DUMMYFUNCTION("""COMPUTED_VALUE"""),"NL67INGB0422644595")</f>
        <v>NL67INGB0422644595</v>
      </c>
      <c r="AI96" s="6"/>
      <c r="AJ96" s="6" t="str">
        <f>IFERROR(__xludf.DUMMYFUNCTION("""COMPUTED_VALUE"""),"ID Kaart")</f>
        <v>ID Kaart</v>
      </c>
      <c r="AK96" s="6" t="str">
        <f>IFERROR(__xludf.DUMMYFUNCTION("""COMPUTED_VALUE"""),"VS815412")</f>
        <v>VS815412</v>
      </c>
      <c r="AL96" s="9">
        <f>IFERROR(__xludf.DUMMYFUNCTION("""COMPUTED_VALUE"""),46672.0)</f>
        <v>46672</v>
      </c>
      <c r="AM96" s="6" t="str">
        <f>IFERROR(__xludf.DUMMYFUNCTION("""COMPUTED_VALUE"""),"Rusland")</f>
        <v>Rusland</v>
      </c>
      <c r="AN96" s="6" t="str">
        <f>IFERROR(__xludf.DUMMYFUNCTION("""COMPUTED_VALUE"""),"Sergei Budoian")</f>
        <v>Sergei Budoian</v>
      </c>
      <c r="AO96" s="6">
        <f>IFERROR(__xludf.DUMMYFUNCTION("""COMPUTED_VALUE"""),1755.0)</f>
        <v>1755</v>
      </c>
    </row>
    <row r="97">
      <c r="A97" s="6" t="str">
        <f>IFERROR(__xludf.DUMMYFUNCTION("""COMPUTED_VALUE"""),"BulFloor (Stoychev Grondwerk)")</f>
        <v>BulFloor (Stoychev Grondwerk)</v>
      </c>
      <c r="B97" s="6" t="str">
        <f>IFERROR(__xludf.DUMMYFUNCTION("""COMPUTED_VALUE"""),"BulFloor (Stoychev Grondwerk)")</f>
        <v>BulFloor (Stoychev Grondwerk)</v>
      </c>
      <c r="C97" s="6">
        <f>IFERROR(__xludf.DUMMYFUNCTION("""COMPUTED_VALUE"""),372.0)</f>
        <v>372</v>
      </c>
      <c r="D97" s="7" t="str">
        <f>IFERROR(__xludf.DUMMYFUNCTION("""COMPUTED_VALUE"""),"Diyan Ivanov Stoychev")</f>
        <v>Diyan Ivanov Stoychev</v>
      </c>
      <c r="E97" s="7" t="str">
        <f>IFERROR(__xludf.DUMMYFUNCTION("""COMPUTED_VALUE"""),"SBI-code: 4120 - Algemene burgerlijke en utiliteitsbouw")</f>
        <v>SBI-code: 4120 - Algemene burgerlijke en utiliteitsbouw</v>
      </c>
      <c r="F97" s="7" t="str">
        <f>IFERROR(__xludf.DUMMYFUNCTION("""COMPUTED_VALUE"""),"0611844412")</f>
        <v>0611844412</v>
      </c>
      <c r="G97" s="6" t="str">
        <f>IFERROR(__xludf.DUMMYFUNCTION("""COMPUTED_VALUE"""),"stoychevgrondwerk@gmail.com")</f>
        <v>stoychevgrondwerk@gmail.com</v>
      </c>
      <c r="H97" s="6" t="str">
        <f>IFERROR(__xludf.DUMMYFUNCTION("""COMPUTED_VALUE"""),"Sluiskreek 14")</f>
        <v>Sluiskreek 14</v>
      </c>
      <c r="I97" s="6" t="str">
        <f>IFERROR(__xludf.DUMMYFUNCTION("""COMPUTED_VALUE"""),"3079CM")</f>
        <v>3079CM</v>
      </c>
      <c r="J97" s="6" t="str">
        <f>IFERROR(__xludf.DUMMYFUNCTION("""COMPUTED_VALUE"""),"Rotterdam")</f>
        <v>Rotterdam</v>
      </c>
      <c r="K97" s="6" t="str">
        <f>IFERROR(__xludf.DUMMYFUNCTION("""COMPUTED_VALUE"""),"Nederland")</f>
        <v>Nederland</v>
      </c>
      <c r="L97" s="6" t="str">
        <f>IFERROR(__xludf.DUMMYFUNCTION("""COMPUTED_VALUE"""),"Стойчев")</f>
        <v>Стойчев</v>
      </c>
      <c r="M97" s="8">
        <f>IFERROR(__xludf.DUMMYFUNCTION("""COMPUTED_VALUE"""),43175.0)</f>
        <v>43175</v>
      </c>
      <c r="N97" s="6" t="str">
        <f>IFERROR(__xludf.DUMMYFUNCTION("""COMPUTED_VALUE"""),"NL304263345B01")</f>
        <v>NL304263345B01</v>
      </c>
      <c r="O97" s="6">
        <f>IFERROR(__xludf.DUMMYFUNCTION("""COMPUTED_VALUE"""),6.6186625E7)</f>
        <v>66186625</v>
      </c>
      <c r="P97" s="6" t="str">
        <f>IFERROR(__xludf.DUMMYFUNCTION("""COMPUTED_VALUE"""),"NL38INGB0008914412")</f>
        <v>NL38INGB0008914412</v>
      </c>
      <c r="Q97" s="9">
        <f>IFERROR(__xludf.DUMMYFUNCTION("""COMPUTED_VALUE"""),42528.0)</f>
        <v>42528</v>
      </c>
      <c r="R97" s="6"/>
      <c r="S97" s="6" t="str">
        <f>IFERROR(__xludf.DUMMYFUNCTION("""COMPUTED_VALUE"""),"NL002466018B93")</f>
        <v>NL002466018B93</v>
      </c>
      <c r="T97" s="6">
        <f>IFERROR(__xludf.DUMMYFUNCTION("""COMPUTED_VALUE"""),3.04263345E8)</f>
        <v>304263345</v>
      </c>
      <c r="U97" s="7" t="str">
        <f>IFERROR(__xludf.DUMMYFUNCTION("""COMPUTED_VALUE"""),"Eenmanszaak")</f>
        <v>Eenmanszaak</v>
      </c>
      <c r="V97" s="7" t="str">
        <f>IFERROR(__xludf.DUMMYFUNCTION("""COMPUTED_VALUE"""),"000034833234")</f>
        <v>000034833234</v>
      </c>
      <c r="W97" s="6" t="str">
        <f>IFERROR(__xludf.DUMMYFUNCTION("""COMPUTED_VALUE"""),"ink.stoychevgrondwerk.2288aa@zarabota.nl")</f>
        <v>ink.stoychevgrondwerk.2288aa@zarabota.nl</v>
      </c>
      <c r="X97" s="6" t="str">
        <f>IFERROR(__xludf.DUMMYFUNCTION("""COMPUTED_VALUE"""),"ver.stoychevgrondwerk.2288aa@zarabota.nl")</f>
        <v>ver.stoychevgrondwerk.2288aa@zarabota.nl</v>
      </c>
      <c r="Y97" s="6" t="str">
        <f>IFERROR(__xludf.DUMMYFUNCTION("""COMPUTED_VALUE"""),"Hr.")</f>
        <v>Hr.</v>
      </c>
      <c r="Z97" s="6" t="str">
        <f>IFERROR(__xludf.DUMMYFUNCTION("""COMPUTED_VALUE"""),"Diyan Ivanov")</f>
        <v>Diyan Ivanov</v>
      </c>
      <c r="AA97" s="6" t="str">
        <f>IFERROR(__xludf.DUMMYFUNCTION("""COMPUTED_VALUE"""),"Stoychev")</f>
        <v>Stoychev</v>
      </c>
      <c r="AB97" s="6" t="str">
        <f>IFERROR(__xludf.DUMMYFUNCTION("""COMPUTED_VALUE"""),"D.I.")</f>
        <v>D.I.</v>
      </c>
      <c r="AC97" s="6">
        <f>IFERROR(__xludf.DUMMYFUNCTION("""COMPUTED_VALUE"""),3.04263345E8)</f>
        <v>304263345</v>
      </c>
      <c r="AD97" s="9">
        <f>IFERROR(__xludf.DUMMYFUNCTION("""COMPUTED_VALUE"""),28204.0)</f>
        <v>28204</v>
      </c>
      <c r="AE97" s="6" t="str">
        <f>IFERROR(__xludf.DUMMYFUNCTION("""COMPUTED_VALUE"""),"bg")</f>
        <v>bg</v>
      </c>
      <c r="AF97" s="6" t="str">
        <f>IFERROR(__xludf.DUMMYFUNCTION("""COMPUTED_VALUE"""),"Elhovo")</f>
        <v>Elhovo</v>
      </c>
      <c r="AG97" s="6" t="str">
        <f>IFERROR(__xludf.DUMMYFUNCTION("""COMPUTED_VALUE"""),"Hr. D.I. Stoychev")</f>
        <v>Hr. D.I. Stoychev</v>
      </c>
      <c r="AH97" s="6"/>
      <c r="AI97" s="6"/>
      <c r="AJ97" s="6"/>
      <c r="AK97" s="6"/>
      <c r="AL97" s="6"/>
      <c r="AM97" s="6"/>
      <c r="AN97" s="6" t="str">
        <f>IFERROR(__xludf.DUMMYFUNCTION("""COMPUTED_VALUE"""),"Diyan Ivanov Stoychev")</f>
        <v>Diyan Ivanov Stoychev</v>
      </c>
      <c r="AO97" s="6"/>
    </row>
    <row r="98">
      <c r="A98" s="6" t="str">
        <f>IFERROR(__xludf.DUMMYFUNCTION("""COMPUTED_VALUE"""),"Bulgarian Ticket Center")</f>
        <v>Bulgarian Ticket Center</v>
      </c>
      <c r="B98" s="6" t="str">
        <f>IFERROR(__xludf.DUMMYFUNCTION("""COMPUTED_VALUE"""),"FF Solar (Bulgarian Ticket Center)")</f>
        <v>FF Solar (Bulgarian Ticket Center)</v>
      </c>
      <c r="C98" s="6">
        <f>IFERROR(__xludf.DUMMYFUNCTION("""COMPUTED_VALUE"""),34.0)</f>
        <v>34</v>
      </c>
      <c r="D98" s="7" t="str">
        <f>IFERROR(__xludf.DUMMYFUNCTION("""COMPUTED_VALUE"""),"Fevzi Fahriev Kehayov")</f>
        <v>Fevzi Fahriev Kehayov</v>
      </c>
      <c r="E98" s="7" t="str">
        <f>IFERROR(__xludf.DUMMYFUNCTION("""COMPUTED_VALUE"""),"SBI-code: 4120 - Algemene burgerlijke en utiliteitsbouw")</f>
        <v>SBI-code: 4120 - Algemene burgerlijke en utiliteitsbouw</v>
      </c>
      <c r="F98" s="7" t="str">
        <f>IFERROR(__xludf.DUMMYFUNCTION("""COMPUTED_VALUE"""),"0682500708")</f>
        <v>0682500708</v>
      </c>
      <c r="G98" s="6" t="str">
        <f>IFERROR(__xludf.DUMMYFUNCTION("""COMPUTED_VALUE"""),"f.kehayov@hotmail.com")</f>
        <v>f.kehayov@hotmail.com</v>
      </c>
      <c r="H98" s="6" t="str">
        <f>IFERROR(__xludf.DUMMYFUNCTION("""COMPUTED_VALUE"""),"Jan Vosstraat 78")</f>
        <v>Jan Vosstraat 78</v>
      </c>
      <c r="I98" s="6" t="str">
        <f>IFERROR(__xludf.DUMMYFUNCTION("""COMPUTED_VALUE"""),"2533TZ")</f>
        <v>2533TZ</v>
      </c>
      <c r="J98" s="6" t="str">
        <f>IFERROR(__xludf.DUMMYFUNCTION("""COMPUTED_VALUE"""),"s-Gravenhage")</f>
        <v>s-Gravenhage</v>
      </c>
      <c r="K98" s="6" t="str">
        <f>IFERROR(__xludf.DUMMYFUNCTION("""COMPUTED_VALUE"""),"Nederland")</f>
        <v>Nederland</v>
      </c>
      <c r="L98" s="6" t="str">
        <f>IFERROR(__xludf.DUMMYFUNCTION("""COMPUTED_VALUE"""),"Кехайов")</f>
        <v>Кехайов</v>
      </c>
      <c r="M98" s="8">
        <f>IFERROR(__xludf.DUMMYFUNCTION("""COMPUTED_VALUE"""),43175.0)</f>
        <v>43175</v>
      </c>
      <c r="N98" s="6" t="str">
        <f>IFERROR(__xludf.DUMMYFUNCTION("""COMPUTED_VALUE"""),"NL250920724B01")</f>
        <v>NL250920724B01</v>
      </c>
      <c r="O98" s="6">
        <f>IFERROR(__xludf.DUMMYFUNCTION("""COMPUTED_VALUE"""),5.760706E7)</f>
        <v>57607060</v>
      </c>
      <c r="P98" s="6" t="str">
        <f>IFERROR(__xludf.DUMMYFUNCTION("""COMPUTED_VALUE"""),"NL83INGB0007750281")</f>
        <v>NL83INGB0007750281</v>
      </c>
      <c r="Q98" s="9">
        <f>IFERROR(__xludf.DUMMYFUNCTION("""COMPUTED_VALUE"""),41365.0)</f>
        <v>41365</v>
      </c>
      <c r="R98" s="6"/>
      <c r="S98" s="6" t="str">
        <f>IFERROR(__xludf.DUMMYFUNCTION("""COMPUTED_VALUE"""),"NL002440760B47")</f>
        <v>NL002440760B47</v>
      </c>
      <c r="T98" s="6">
        <f>IFERROR(__xludf.DUMMYFUNCTION("""COMPUTED_VALUE"""),2.50920724E8)</f>
        <v>250920724</v>
      </c>
      <c r="U98" s="7" t="str">
        <f>IFERROR(__xludf.DUMMYFUNCTION("""COMPUTED_VALUE"""),"Eenmanszaak")</f>
        <v>Eenmanszaak</v>
      </c>
      <c r="V98" s="7" t="str">
        <f>IFERROR(__xludf.DUMMYFUNCTION("""COMPUTED_VALUE"""),"000027033953")</f>
        <v>000027033953</v>
      </c>
      <c r="W98" s="6" t="str">
        <f>IFERROR(__xludf.DUMMYFUNCTION("""COMPUTED_VALUE"""),"ink.bulgarianticketcenter.2288aa@zarabota.nl")</f>
        <v>ink.bulgarianticketcenter.2288aa@zarabota.nl</v>
      </c>
      <c r="X98" s="6" t="str">
        <f>IFERROR(__xludf.DUMMYFUNCTION("""COMPUTED_VALUE"""),"ver.bulgarianticketcenter.2288aa@zarabota.nl")</f>
        <v>ver.bulgarianticketcenter.2288aa@zarabota.nl</v>
      </c>
      <c r="Y98" s="6" t="str">
        <f>IFERROR(__xludf.DUMMYFUNCTION("""COMPUTED_VALUE"""),"Hr.")</f>
        <v>Hr.</v>
      </c>
      <c r="Z98" s="6" t="str">
        <f>IFERROR(__xludf.DUMMYFUNCTION("""COMPUTED_VALUE"""),"Fevzi Fahriev")</f>
        <v>Fevzi Fahriev</v>
      </c>
      <c r="AA98" s="6" t="str">
        <f>IFERROR(__xludf.DUMMYFUNCTION("""COMPUTED_VALUE"""),"Kehayov")</f>
        <v>Kehayov</v>
      </c>
      <c r="AB98" s="6" t="str">
        <f>IFERROR(__xludf.DUMMYFUNCTION("""COMPUTED_VALUE"""),"F.F.")</f>
        <v>F.F.</v>
      </c>
      <c r="AC98" s="6">
        <f>IFERROR(__xludf.DUMMYFUNCTION("""COMPUTED_VALUE"""),2.50920724E8)</f>
        <v>250920724</v>
      </c>
      <c r="AD98" s="9">
        <f>IFERROR(__xludf.DUMMYFUNCTION("""COMPUTED_VALUE"""),23787.0)</f>
        <v>23787</v>
      </c>
      <c r="AE98" s="6" t="str">
        <f>IFERROR(__xludf.DUMMYFUNCTION("""COMPUTED_VALUE"""),"bg")</f>
        <v>bg</v>
      </c>
      <c r="AF98" s="6" t="str">
        <f>IFERROR(__xludf.DUMMYFUNCTION("""COMPUTED_VALUE"""),"Elhovets")</f>
        <v>Elhovets</v>
      </c>
      <c r="AG98" s="6" t="str">
        <f>IFERROR(__xludf.DUMMYFUNCTION("""COMPUTED_VALUE"""),"Hr. F.F. Kehayov")</f>
        <v>Hr. F.F. Kehayov</v>
      </c>
      <c r="AH98" s="6"/>
      <c r="AI98" s="6"/>
      <c r="AJ98" s="6"/>
      <c r="AK98" s="6"/>
      <c r="AL98" s="6"/>
      <c r="AM98" s="6"/>
      <c r="AN98" s="6" t="str">
        <f>IFERROR(__xludf.DUMMYFUNCTION("""COMPUTED_VALUE"""),"Fevzi Fahriev Kehayov")</f>
        <v>Fevzi Fahriev Kehayov</v>
      </c>
      <c r="AO98" s="6"/>
    </row>
    <row r="99">
      <c r="A99" s="6" t="str">
        <f>IFERROR(__xludf.DUMMYFUNCTION("""COMPUTED_VALUE"""),"Chichi 88 VOF")</f>
        <v>Chichi 88 VOF</v>
      </c>
      <c r="B99" s="6" t="str">
        <f>IFERROR(__xludf.DUMMYFUNCTION("""COMPUTED_VALUE"""),"Chichi 88 VOF")</f>
        <v>Chichi 88 VOF</v>
      </c>
      <c r="C99" s="6">
        <f>IFERROR(__xludf.DUMMYFUNCTION("""COMPUTED_VALUE"""),1502.0)</f>
        <v>1502</v>
      </c>
      <c r="D99" s="7" t="str">
        <f>IFERROR(__xludf.DUMMYFUNCTION("""COMPUTED_VALUE"""),"Sevdi Angelov Yurukov")</f>
        <v>Sevdi Angelov Yurukov</v>
      </c>
      <c r="E99" s="7" t="str">
        <f>IFERROR(__xludf.DUMMYFUNCTION("""COMPUTED_VALUE"""),"SBI-code: 4120 - Algemene burgerlijke en utiliteitsbouw")</f>
        <v>SBI-code: 4120 - Algemene burgerlijke en utiliteitsbouw</v>
      </c>
      <c r="F99" s="7" t="str">
        <f>IFERROR(__xludf.DUMMYFUNCTION("""COMPUTED_VALUE"""),"0618330775")</f>
        <v>0618330775</v>
      </c>
      <c r="G99" s="6" t="str">
        <f>IFERROR(__xludf.DUMMYFUNCTION("""COMPUTED_VALUE"""),"sevdiyurukov@gmail.com")</f>
        <v>sevdiyurukov@gmail.com</v>
      </c>
      <c r="H99" s="6" t="str">
        <f>IFERROR(__xludf.DUMMYFUNCTION("""COMPUTED_VALUE"""),"Goeverneurlaan 247")</f>
        <v>Goeverneurlaan 247</v>
      </c>
      <c r="I99" s="6" t="str">
        <f>IFERROR(__xludf.DUMMYFUNCTION("""COMPUTED_VALUE"""),"2523BE")</f>
        <v>2523BE</v>
      </c>
      <c r="J99" s="6" t="str">
        <f>IFERROR(__xludf.DUMMYFUNCTION("""COMPUTED_VALUE"""),"s-Gravenhage")</f>
        <v>s-Gravenhage</v>
      </c>
      <c r="K99" s="6" t="str">
        <f>IFERROR(__xludf.DUMMYFUNCTION("""COMPUTED_VALUE"""),"Nederland")</f>
        <v>Nederland</v>
      </c>
      <c r="L99" s="6" t="str">
        <f>IFERROR(__xludf.DUMMYFUNCTION("""COMPUTED_VALUE"""),"Юруков")</f>
        <v>Юруков</v>
      </c>
      <c r="M99" s="8">
        <f>IFERROR(__xludf.DUMMYFUNCTION("""COMPUTED_VALUE"""),45047.0)</f>
        <v>45047</v>
      </c>
      <c r="N99" s="6" t="str">
        <f>IFERROR(__xludf.DUMMYFUNCTION("""COMPUTED_VALUE"""),"NL865338863B01")</f>
        <v>NL865338863B01</v>
      </c>
      <c r="O99" s="6">
        <f>IFERROR(__xludf.DUMMYFUNCTION("""COMPUTED_VALUE"""),9.0503295E7)</f>
        <v>90503295</v>
      </c>
      <c r="P99" s="6" t="str">
        <f>IFERROR(__xludf.DUMMYFUNCTION("""COMPUTED_VALUE"""),"NL64INGB0008277915")</f>
        <v>NL64INGB0008277915</v>
      </c>
      <c r="Q99" s="9">
        <f>IFERROR(__xludf.DUMMYFUNCTION("""COMPUTED_VALUE"""),45047.0)</f>
        <v>45047</v>
      </c>
      <c r="R99" s="6"/>
      <c r="S99" s="6" t="str">
        <f>IFERROR(__xludf.DUMMYFUNCTION("""COMPUTED_VALUE"""),"NL865338863B01")</f>
        <v>NL865338863B01</v>
      </c>
      <c r="T99" s="6">
        <f>IFERROR(__xludf.DUMMYFUNCTION("""COMPUTED_VALUE"""),8.65338863E8)</f>
        <v>865338863</v>
      </c>
      <c r="U99" s="7" t="str">
        <f>IFERROR(__xludf.DUMMYFUNCTION("""COMPUTED_VALUE"""),"Eenmanszaak")</f>
        <v>Eenmanszaak</v>
      </c>
      <c r="V99" s="7" t="str">
        <f>IFERROR(__xludf.DUMMYFUNCTION("""COMPUTED_VALUE"""),"000039016447")</f>
        <v>000039016447</v>
      </c>
      <c r="W99" s="6" t="str">
        <f>IFERROR(__xludf.DUMMYFUNCTION("""COMPUTED_VALUE"""),"ink.chichi88vof.2288aa@zarabota.nl")</f>
        <v>ink.chichi88vof.2288aa@zarabota.nl</v>
      </c>
      <c r="X99" s="6" t="str">
        <f>IFERROR(__xludf.DUMMYFUNCTION("""COMPUTED_VALUE"""),"ver.chichi88vof.2288aa@zarabota.nl")</f>
        <v>ver.chichi88vof.2288aa@zarabota.nl</v>
      </c>
      <c r="Y99" s="6" t="str">
        <f>IFERROR(__xludf.DUMMYFUNCTION("""COMPUTED_VALUE"""),"Hr.")</f>
        <v>Hr.</v>
      </c>
      <c r="Z99" s="6" t="str">
        <f>IFERROR(__xludf.DUMMYFUNCTION("""COMPUTED_VALUE"""),"Sevdi Angelov")</f>
        <v>Sevdi Angelov</v>
      </c>
      <c r="AA99" s="6" t="str">
        <f>IFERROR(__xludf.DUMMYFUNCTION("""COMPUTED_VALUE"""),"Yurukov")</f>
        <v>Yurukov</v>
      </c>
      <c r="AB99" s="6" t="str">
        <f>IFERROR(__xludf.DUMMYFUNCTION("""COMPUTED_VALUE"""),"S.A.")</f>
        <v>S.A.</v>
      </c>
      <c r="AC99" s="6">
        <f>IFERROR(__xludf.DUMMYFUNCTION("""COMPUTED_VALUE"""),4.51634044E8)</f>
        <v>451634044</v>
      </c>
      <c r="AD99" s="9">
        <f>IFERROR(__xludf.DUMMYFUNCTION("""COMPUTED_VALUE"""),32411.0)</f>
        <v>32411</v>
      </c>
      <c r="AE99" s="6" t="str">
        <f>IFERROR(__xludf.DUMMYFUNCTION("""COMPUTED_VALUE"""),"bg")</f>
        <v>bg</v>
      </c>
      <c r="AF99" s="6" t="str">
        <f>IFERROR(__xludf.DUMMYFUNCTION("""COMPUTED_VALUE"""),"Plovdiv")</f>
        <v>Plovdiv</v>
      </c>
      <c r="AG99" s="6" t="str">
        <f>IFERROR(__xludf.DUMMYFUNCTION("""COMPUTED_VALUE"""),"Hr. S.A. Yurukov")</f>
        <v>Hr. S.A. Yurukov</v>
      </c>
      <c r="AH99" s="6" t="str">
        <f>IFERROR(__xludf.DUMMYFUNCTION("""COMPUTED_VALUE"""),"NL37INGB0657651206")</f>
        <v>NL37INGB0657651206</v>
      </c>
      <c r="AI99" s="9">
        <f>IFERROR(__xludf.DUMMYFUNCTION("""COMPUTED_VALUE"""),43004.0)</f>
        <v>43004</v>
      </c>
      <c r="AJ99" s="6" t="str">
        <f>IFERROR(__xludf.DUMMYFUNCTION("""COMPUTED_VALUE"""),"ID Kaart")</f>
        <v>ID Kaart</v>
      </c>
      <c r="AK99" s="6">
        <f>IFERROR(__xludf.DUMMYFUNCTION("""COMPUTED_VALUE"""),6.428862E8)</f>
        <v>642886200</v>
      </c>
      <c r="AL99" s="9">
        <f>IFERROR(__xludf.DUMMYFUNCTION("""COMPUTED_VALUE"""),44442.0)</f>
        <v>44442</v>
      </c>
      <c r="AM99" s="6"/>
      <c r="AN99" s="6" t="str">
        <f>IFERROR(__xludf.DUMMYFUNCTION("""COMPUTED_VALUE"""),"Sevdi Angelov Yurukov")</f>
        <v>Sevdi Angelov Yurukov</v>
      </c>
      <c r="AO99" s="6"/>
    </row>
    <row r="100">
      <c r="A100" s="6" t="str">
        <f>IFERROR(__xludf.DUMMYFUNCTION("""COMPUTED_VALUE"""),"Cicko Bouw")</f>
        <v>Cicko Bouw</v>
      </c>
      <c r="B100" s="6" t="str">
        <f>IFERROR(__xludf.DUMMYFUNCTION("""COMPUTED_VALUE"""),"Cicko Bouw")</f>
        <v>Cicko Bouw</v>
      </c>
      <c r="C100" s="6">
        <f>IFERROR(__xludf.DUMMYFUNCTION("""COMPUTED_VALUE"""),1660.0)</f>
        <v>1660</v>
      </c>
      <c r="D100" s="7" t="str">
        <f>IFERROR(__xludf.DUMMYFUNCTION("""COMPUTED_VALUE"""),"Zhivko Rusev Sabev")</f>
        <v>Zhivko Rusev Sabev</v>
      </c>
      <c r="E100" s="7" t="str">
        <f>IFERROR(__xludf.DUMMYFUNCTION("""COMPUTED_VALUE"""),"SBI-code: 4120 - Algemene burgerlijke en utiliteitsbouw")</f>
        <v>SBI-code: 4120 - Algemene burgerlijke en utiliteitsbouw</v>
      </c>
      <c r="F100" s="7" t="str">
        <f>IFERROR(__xludf.DUMMYFUNCTION("""COMPUTED_VALUE"""),"+359879043098")</f>
        <v>+359879043098</v>
      </c>
      <c r="G100" s="6" t="str">
        <f>IFERROR(__xludf.DUMMYFUNCTION("""COMPUTED_VALUE"""),"cickobouw.nl@gmail.com")</f>
        <v>cickobouw.nl@gmail.com</v>
      </c>
      <c r="H100" s="6" t="str">
        <f>IFERROR(__xludf.DUMMYFUNCTION("""COMPUTED_VALUE"""),"Huissensestraat 50 3")</f>
        <v>Huissensestraat 50 3</v>
      </c>
      <c r="I100" s="6" t="str">
        <f>IFERROR(__xludf.DUMMYFUNCTION("""COMPUTED_VALUE"""),"6833JA")</f>
        <v>6833JA</v>
      </c>
      <c r="J100" s="6" t="str">
        <f>IFERROR(__xludf.DUMMYFUNCTION("""COMPUTED_VALUE"""),"s-Gravenhage")</f>
        <v>s-Gravenhage</v>
      </c>
      <c r="K100" s="6" t="str">
        <f>IFERROR(__xludf.DUMMYFUNCTION("""COMPUTED_VALUE"""),"Nederland")</f>
        <v>Nederland</v>
      </c>
      <c r="L100" s="6" t="str">
        <f>IFERROR(__xludf.DUMMYFUNCTION("""COMPUTED_VALUE"""),"Събев")</f>
        <v>Събев</v>
      </c>
      <c r="M100" s="8">
        <f>IFERROR(__xludf.DUMMYFUNCTION("""COMPUTED_VALUE"""),45547.0)</f>
        <v>45547</v>
      </c>
      <c r="N100" s="6" t="str">
        <f>IFERROR(__xludf.DUMMYFUNCTION("""COMPUTED_VALUE"""),"NL519155737B01")</f>
        <v>NL519155737B01</v>
      </c>
      <c r="O100" s="6">
        <f>IFERROR(__xludf.DUMMYFUNCTION("""COMPUTED_VALUE"""),9.4947082E7)</f>
        <v>94947082</v>
      </c>
      <c r="P100" s="6" t="str">
        <f>IFERROR(__xludf.DUMMYFUNCTION("""COMPUTED_VALUE"""),"NL54INGB0108794636")</f>
        <v>NL54INGB0108794636</v>
      </c>
      <c r="Q100" s="9">
        <f>IFERROR(__xludf.DUMMYFUNCTION("""COMPUTED_VALUE"""),45547.0)</f>
        <v>45547</v>
      </c>
      <c r="R100" s="6"/>
      <c r="S100" s="6" t="str">
        <f>IFERROR(__xludf.DUMMYFUNCTION("""COMPUTED_VALUE"""),"NL005119399B94")</f>
        <v>NL005119399B94</v>
      </c>
      <c r="T100" s="6">
        <f>IFERROR(__xludf.DUMMYFUNCTION("""COMPUTED_VALUE"""),5.19155737E8)</f>
        <v>519155737</v>
      </c>
      <c r="U100" s="7" t="str">
        <f>IFERROR(__xludf.DUMMYFUNCTION("""COMPUTED_VALUE"""),"Eenmanszaak")</f>
        <v>Eenmanszaak</v>
      </c>
      <c r="V100" s="7" t="str">
        <f>IFERROR(__xludf.DUMMYFUNCTION("""COMPUTED_VALUE"""),"000060388927")</f>
        <v>000060388927</v>
      </c>
      <c r="W100" s="6" t="str">
        <f>IFERROR(__xludf.DUMMYFUNCTION("""COMPUTED_VALUE"""),"ink.cicko.2288aa@zarabota.nl")</f>
        <v>ink.cicko.2288aa@zarabota.nl</v>
      </c>
      <c r="X100" s="6" t="str">
        <f>IFERROR(__xludf.DUMMYFUNCTION("""COMPUTED_VALUE"""),"ver.cicko.2288aa@zarabota.nl")</f>
        <v>ver.cicko.2288aa@zarabota.nl</v>
      </c>
      <c r="Y100" s="6" t="str">
        <f>IFERROR(__xludf.DUMMYFUNCTION("""COMPUTED_VALUE"""),"Hr.")</f>
        <v>Hr.</v>
      </c>
      <c r="Z100" s="6" t="str">
        <f>IFERROR(__xludf.DUMMYFUNCTION("""COMPUTED_VALUE"""),"Zhivko Rusev")</f>
        <v>Zhivko Rusev</v>
      </c>
      <c r="AA100" s="6" t="str">
        <f>IFERROR(__xludf.DUMMYFUNCTION("""COMPUTED_VALUE"""),"Sabev")</f>
        <v>Sabev</v>
      </c>
      <c r="AB100" s="6" t="str">
        <f>IFERROR(__xludf.DUMMYFUNCTION("""COMPUTED_VALUE"""),"Z.R.")</f>
        <v>Z.R.</v>
      </c>
      <c r="AC100" s="6">
        <f>IFERROR(__xludf.DUMMYFUNCTION("""COMPUTED_VALUE"""),5.19155737E8)</f>
        <v>519155737</v>
      </c>
      <c r="AD100" s="9">
        <f>IFERROR(__xludf.DUMMYFUNCTION("""COMPUTED_VALUE"""),32046.0)</f>
        <v>32046</v>
      </c>
      <c r="AE100" s="6" t="str">
        <f>IFERROR(__xludf.DUMMYFUNCTION("""COMPUTED_VALUE"""),"bg")</f>
        <v>bg</v>
      </c>
      <c r="AF100" s="6" t="str">
        <f>IFERROR(__xludf.DUMMYFUNCTION("""COMPUTED_VALUE"""),"Sliven")</f>
        <v>Sliven</v>
      </c>
      <c r="AG100" s="6" t="str">
        <f>IFERROR(__xludf.DUMMYFUNCTION("""COMPUTED_VALUE"""),"Hr. Z.R. Sabev")</f>
        <v>Hr. Z.R. Sabev</v>
      </c>
      <c r="AH100" s="6" t="str">
        <f>IFERROR(__xludf.DUMMYFUNCTION("""COMPUTED_VALUE"""),"NL98INGB0108538346")</f>
        <v>NL98INGB0108538346</v>
      </c>
      <c r="AI100" s="6"/>
      <c r="AJ100" s="6" t="str">
        <f>IFERROR(__xludf.DUMMYFUNCTION("""COMPUTED_VALUE"""),"ID Kaart")</f>
        <v>ID Kaart</v>
      </c>
      <c r="AK100" s="6">
        <f>IFERROR(__xludf.DUMMYFUNCTION("""COMPUTED_VALUE"""),6.46796033E8)</f>
        <v>646796033</v>
      </c>
      <c r="AL100" s="9">
        <f>IFERROR(__xludf.DUMMYFUNCTION("""COMPUTED_VALUE"""),46356.0)</f>
        <v>46356</v>
      </c>
      <c r="AM100" s="6" t="str">
        <f>IFERROR(__xludf.DUMMYFUNCTION("""COMPUTED_VALUE"""),"Bulgarije")</f>
        <v>Bulgarije</v>
      </c>
      <c r="AN100" s="6" t="str">
        <f>IFERROR(__xludf.DUMMYFUNCTION("""COMPUTED_VALUE"""),"Zhivko Rusev Sabev")</f>
        <v>Zhivko Rusev Sabev</v>
      </c>
      <c r="AO100" s="6">
        <f>IFERROR(__xludf.DUMMYFUNCTION("""COMPUTED_VALUE"""),1660.0)</f>
        <v>1660</v>
      </c>
    </row>
    <row r="101">
      <c r="A101" s="6" t="str">
        <f>IFERROR(__xludf.DUMMYFUNCTION("""COMPUTED_VALUE"""),"Constantin79")</f>
        <v>Constantin79</v>
      </c>
      <c r="B101" s="6" t="str">
        <f>IFERROR(__xludf.DUMMYFUNCTION("""COMPUTED_VALUE"""),"Constantin79")</f>
        <v>Constantin79</v>
      </c>
      <c r="C101" s="6">
        <f>IFERROR(__xludf.DUMMYFUNCTION("""COMPUTED_VALUE"""),1282.0)</f>
        <v>1282</v>
      </c>
      <c r="D101" s="7" t="str">
        <f>IFERROR(__xludf.DUMMYFUNCTION("""COMPUTED_VALUE"""),"Konstantin Ivanov Petkov")</f>
        <v>Konstantin Ivanov Petkov</v>
      </c>
      <c r="E101" s="7" t="str">
        <f>IFERROR(__xludf.DUMMYFUNCTION("""COMPUTED_VALUE"""),"SBI-code: 4120 - Algemene burgerlijke en utiliteitsbouw")</f>
        <v>SBI-code: 4120 - Algemene burgerlijke en utiliteitsbouw</v>
      </c>
      <c r="F101" s="7" t="str">
        <f>IFERROR(__xludf.DUMMYFUNCTION("""COMPUTED_VALUE"""),"0645524388")</f>
        <v>0645524388</v>
      </c>
      <c r="G101" s="6" t="str">
        <f>IFERROR(__xludf.DUMMYFUNCTION("""COMPUTED_VALUE"""),"kosiopetkov79@gmail.com")</f>
        <v>kosiopetkov79@gmail.com</v>
      </c>
      <c r="H101" s="6" t="str">
        <f>IFERROR(__xludf.DUMMYFUNCTION("""COMPUTED_VALUE"""),"Daltonstraat 10")</f>
        <v>Daltonstraat 10</v>
      </c>
      <c r="I101" s="6" t="str">
        <f>IFERROR(__xludf.DUMMYFUNCTION("""COMPUTED_VALUE"""),"2561ST")</f>
        <v>2561ST</v>
      </c>
      <c r="J101" s="6" t="str">
        <f>IFERROR(__xludf.DUMMYFUNCTION("""COMPUTED_VALUE"""),"s-Gravenhage")</f>
        <v>s-Gravenhage</v>
      </c>
      <c r="K101" s="6" t="str">
        <f>IFERROR(__xludf.DUMMYFUNCTION("""COMPUTED_VALUE"""),"Nederland")</f>
        <v>Nederland</v>
      </c>
      <c r="L101" s="6" t="str">
        <f>IFERROR(__xludf.DUMMYFUNCTION("""COMPUTED_VALUE"""),"Петков")</f>
        <v>Петков</v>
      </c>
      <c r="M101" s="8">
        <f>IFERROR(__xludf.DUMMYFUNCTION("""COMPUTED_VALUE"""),44562.0)</f>
        <v>44562</v>
      </c>
      <c r="N101" s="6" t="str">
        <f>IFERROR(__xludf.DUMMYFUNCTION("""COMPUTED_VALUE"""),"NL582334998")</f>
        <v>NL582334998</v>
      </c>
      <c r="O101" s="6">
        <f>IFERROR(__xludf.DUMMYFUNCTION("""COMPUTED_VALUE"""),8.3919384E7)</f>
        <v>83919384</v>
      </c>
      <c r="P101" s="6" t="str">
        <f>IFERROR(__xludf.DUMMYFUNCTION("""COMPUTED_VALUE"""),"NL27INGB0006384462")</f>
        <v>NL27INGB0006384462</v>
      </c>
      <c r="Q101" s="9">
        <f>IFERROR(__xludf.DUMMYFUNCTION("""COMPUTED_VALUE"""),44438.0)</f>
        <v>44438</v>
      </c>
      <c r="R101" s="6"/>
      <c r="S101" s="6" t="str">
        <f>IFERROR(__xludf.DUMMYFUNCTION("""COMPUTED_VALUE"""),"NL003890422B74")</f>
        <v>NL003890422B74</v>
      </c>
      <c r="T101" s="6">
        <f>IFERROR(__xludf.DUMMYFUNCTION("""COMPUTED_VALUE"""),5.82334998E8)</f>
        <v>582334998</v>
      </c>
      <c r="U101" s="7" t="str">
        <f>IFERROR(__xludf.DUMMYFUNCTION("""COMPUTED_VALUE"""),"Eenmanszaak")</f>
        <v>Eenmanszaak</v>
      </c>
      <c r="V101" s="7" t="str">
        <f>IFERROR(__xludf.DUMMYFUNCTION("""COMPUTED_VALUE"""),"000050065483")</f>
        <v>000050065483</v>
      </c>
      <c r="W101" s="6" t="str">
        <f>IFERROR(__xludf.DUMMYFUNCTION("""COMPUTED_VALUE"""),"ink.constantin79.2288aa@zarabota.nl")</f>
        <v>ink.constantin79.2288aa@zarabota.nl</v>
      </c>
      <c r="X101" s="6" t="str">
        <f>IFERROR(__xludf.DUMMYFUNCTION("""COMPUTED_VALUE"""),"ver.constantin79.2288aa@zarabota.nl")</f>
        <v>ver.constantin79.2288aa@zarabota.nl</v>
      </c>
      <c r="Y101" s="6" t="str">
        <f>IFERROR(__xludf.DUMMYFUNCTION("""COMPUTED_VALUE"""),"Hr.")</f>
        <v>Hr.</v>
      </c>
      <c r="Z101" s="6" t="str">
        <f>IFERROR(__xludf.DUMMYFUNCTION("""COMPUTED_VALUE"""),"Konstantin Ivanov")</f>
        <v>Konstantin Ivanov</v>
      </c>
      <c r="AA101" s="6" t="str">
        <f>IFERROR(__xludf.DUMMYFUNCTION("""COMPUTED_VALUE"""),"Petkov")</f>
        <v>Petkov</v>
      </c>
      <c r="AB101" s="6" t="str">
        <f>IFERROR(__xludf.DUMMYFUNCTION("""COMPUTED_VALUE"""),"K.I.")</f>
        <v>K.I.</v>
      </c>
      <c r="AC101" s="6">
        <f>IFERROR(__xludf.DUMMYFUNCTION("""COMPUTED_VALUE"""),5.82334998E8)</f>
        <v>582334998</v>
      </c>
      <c r="AD101" s="9">
        <f>IFERROR(__xludf.DUMMYFUNCTION("""COMPUTED_VALUE"""),28936.0)</f>
        <v>28936</v>
      </c>
      <c r="AE101" s="6" t="str">
        <f>IFERROR(__xludf.DUMMYFUNCTION("""COMPUTED_VALUE"""),"bg")</f>
        <v>bg</v>
      </c>
      <c r="AF101" s="6" t="str">
        <f>IFERROR(__xludf.DUMMYFUNCTION("""COMPUTED_VALUE"""),"Ruse")</f>
        <v>Ruse</v>
      </c>
      <c r="AG101" s="6" t="str">
        <f>IFERROR(__xludf.DUMMYFUNCTION("""COMPUTED_VALUE"""),"Hr. K.I. Petkov")</f>
        <v>Hr. K.I. Petkov</v>
      </c>
      <c r="AH101" s="6"/>
      <c r="AI101" s="9">
        <f>IFERROR(__xludf.DUMMYFUNCTION("""COMPUTED_VALUE"""),43727.0)</f>
        <v>43727</v>
      </c>
      <c r="AJ101" s="6" t="str">
        <f>IFERROR(__xludf.DUMMYFUNCTION("""COMPUTED_VALUE"""),"ID Kaart")</f>
        <v>ID Kaart</v>
      </c>
      <c r="AK101" s="6">
        <f>IFERROR(__xludf.DUMMYFUNCTION("""COMPUTED_VALUE"""),6.48495074E8)</f>
        <v>648495074</v>
      </c>
      <c r="AL101" s="9">
        <f>IFERROR(__xludf.DUMMYFUNCTION("""COMPUTED_VALUE"""),47373.0)</f>
        <v>47373</v>
      </c>
      <c r="AM101" s="6" t="str">
        <f>IFERROR(__xludf.DUMMYFUNCTION("""COMPUTED_VALUE"""),"Bulgarije")</f>
        <v>Bulgarije</v>
      </c>
      <c r="AN101" s="6" t="str">
        <f>IFERROR(__xludf.DUMMYFUNCTION("""COMPUTED_VALUE"""),"Konstantin Ivanov Petkov")</f>
        <v>Konstantin Ivanov Petkov</v>
      </c>
      <c r="AO101" s="6">
        <f>IFERROR(__xludf.DUMMYFUNCTION("""COMPUTED_VALUE"""),1282.0)</f>
        <v>1282</v>
      </c>
    </row>
    <row r="102">
      <c r="A102" s="6" t="str">
        <f>IFERROR(__xludf.DUMMYFUNCTION("""COMPUTED_VALUE"""),"Crafty World")</f>
        <v>Crafty World</v>
      </c>
      <c r="B102" s="6" t="str">
        <f>IFERROR(__xludf.DUMMYFUNCTION("""COMPUTED_VALUE"""),"Crafty World")</f>
        <v>Crafty World</v>
      </c>
      <c r="C102" s="6">
        <f>IFERROR(__xludf.DUMMYFUNCTION("""COMPUTED_VALUE"""),1627.0)</f>
        <v>1627</v>
      </c>
      <c r="D102" s="7" t="str">
        <f>IFERROR(__xludf.DUMMYFUNCTION("""COMPUTED_VALUE"""),"Tidzhen Erol Gyuldzhu")</f>
        <v>Tidzhen Erol Gyuldzhu</v>
      </c>
      <c r="E102" s="7" t="str">
        <f>IFERROR(__xludf.DUMMYFUNCTION("""COMPUTED_VALUE"""),"SBI-code: 4120 - Algemene burgerlijke en utiliteitsbouw")</f>
        <v>SBI-code: 4120 - Algemene burgerlijke en utiliteitsbouw</v>
      </c>
      <c r="F102" s="7" t="str">
        <f>IFERROR(__xludf.DUMMYFUNCTION("""COMPUTED_VALUE"""),"0687871841")</f>
        <v>0687871841</v>
      </c>
      <c r="G102" s="6" t="str">
        <f>IFERROR(__xludf.DUMMYFUNCTION("""COMPUTED_VALUE"""),"tidzhengyuldzhu@gmail.com")</f>
        <v>tidzhengyuldzhu@gmail.com</v>
      </c>
      <c r="H102" s="6" t="str">
        <f>IFERROR(__xludf.DUMMYFUNCTION("""COMPUTED_VALUE"""),"Rossinilaan 46")</f>
        <v>Rossinilaan 46</v>
      </c>
      <c r="I102" s="6" t="str">
        <f>IFERROR(__xludf.DUMMYFUNCTION("""COMPUTED_VALUE"""),"2551MG")</f>
        <v>2551MG</v>
      </c>
      <c r="J102" s="6" t="str">
        <f>IFERROR(__xludf.DUMMYFUNCTION("""COMPUTED_VALUE"""),"s-Gravenhage")</f>
        <v>s-Gravenhage</v>
      </c>
      <c r="K102" s="6" t="str">
        <f>IFERROR(__xludf.DUMMYFUNCTION("""COMPUTED_VALUE"""),"Nederland")</f>
        <v>Nederland</v>
      </c>
      <c r="L102" s="6" t="str">
        <f>IFERROR(__xludf.DUMMYFUNCTION("""COMPUTED_VALUE"""),"Гюлджу")</f>
        <v>Гюлджу</v>
      </c>
      <c r="M102" s="8">
        <f>IFERROR(__xludf.DUMMYFUNCTION("""COMPUTED_VALUE"""),45413.0)</f>
        <v>45413</v>
      </c>
      <c r="N102" s="6" t="str">
        <f>IFERROR(__xludf.DUMMYFUNCTION("""COMPUTED_VALUE"""),"NL348972386B01")</f>
        <v>NL348972386B01</v>
      </c>
      <c r="O102" s="6">
        <f>IFERROR(__xludf.DUMMYFUNCTION("""COMPUTED_VALUE"""),9.3767145E7)</f>
        <v>93767145</v>
      </c>
      <c r="P102" s="6" t="str">
        <f>IFERROR(__xludf.DUMMYFUNCTION("""COMPUTED_VALUE"""),"NL53INGB0105029211")</f>
        <v>NL53INGB0105029211</v>
      </c>
      <c r="Q102" s="9">
        <f>IFERROR(__xludf.DUMMYFUNCTION("""COMPUTED_VALUE"""),45413.0)</f>
        <v>45413</v>
      </c>
      <c r="R102" s="6"/>
      <c r="S102" s="6" t="str">
        <f>IFERROR(__xludf.DUMMYFUNCTION("""COMPUTED_VALUE"""),"NL005041058B70")</f>
        <v>NL005041058B70</v>
      </c>
      <c r="T102" s="6">
        <f>IFERROR(__xludf.DUMMYFUNCTION("""COMPUTED_VALUE"""),3.48972386E8)</f>
        <v>348972386</v>
      </c>
      <c r="U102" s="7" t="str">
        <f>IFERROR(__xludf.DUMMYFUNCTION("""COMPUTED_VALUE"""),"Eenmanszaak")</f>
        <v>Eenmanszaak</v>
      </c>
      <c r="V102" s="7" t="str">
        <f>IFERROR(__xludf.DUMMYFUNCTION("""COMPUTED_VALUE"""),"000059286954")</f>
        <v>000059286954</v>
      </c>
      <c r="W102" s="6" t="str">
        <f>IFERROR(__xludf.DUMMYFUNCTION("""COMPUTED_VALUE"""),"ink.craftyworld.2288aa@zarabota.nl")</f>
        <v>ink.craftyworld.2288aa@zarabota.nl</v>
      </c>
      <c r="X102" s="6" t="str">
        <f>IFERROR(__xludf.DUMMYFUNCTION("""COMPUTED_VALUE"""),"ver.craftyworld.2288aa@zarabota.nl")</f>
        <v>ver.craftyworld.2288aa@zarabota.nl</v>
      </c>
      <c r="Y102" s="6" t="str">
        <f>IFERROR(__xludf.DUMMYFUNCTION("""COMPUTED_VALUE"""),"Mw.")</f>
        <v>Mw.</v>
      </c>
      <c r="Z102" s="6" t="str">
        <f>IFERROR(__xludf.DUMMYFUNCTION("""COMPUTED_VALUE"""),"Tidzhen Erol")</f>
        <v>Tidzhen Erol</v>
      </c>
      <c r="AA102" s="6" t="str">
        <f>IFERROR(__xludf.DUMMYFUNCTION("""COMPUTED_VALUE"""),"Gyuldzhu")</f>
        <v>Gyuldzhu</v>
      </c>
      <c r="AB102" s="6" t="str">
        <f>IFERROR(__xludf.DUMMYFUNCTION("""COMPUTED_VALUE"""),"T.E.")</f>
        <v>T.E.</v>
      </c>
      <c r="AC102" s="6">
        <f>IFERROR(__xludf.DUMMYFUNCTION("""COMPUTED_VALUE"""),3.48972386E8)</f>
        <v>348972386</v>
      </c>
      <c r="AD102" s="9">
        <f>IFERROR(__xludf.DUMMYFUNCTION("""COMPUTED_VALUE"""),33689.0)</f>
        <v>33689</v>
      </c>
      <c r="AE102" s="6" t="str">
        <f>IFERROR(__xludf.DUMMYFUNCTION("""COMPUTED_VALUE"""),"bg")</f>
        <v>bg</v>
      </c>
      <c r="AF102" s="6"/>
      <c r="AG102" s="6" t="str">
        <f>IFERROR(__xludf.DUMMYFUNCTION("""COMPUTED_VALUE"""),"Mw. T.E. Gyuldzhu")</f>
        <v>Mw. T.E. Gyuldzhu</v>
      </c>
      <c r="AH102" s="6"/>
      <c r="AI102" s="6"/>
      <c r="AJ102" s="6"/>
      <c r="AK102" s="6"/>
      <c r="AL102" s="6"/>
      <c r="AM102" s="6" t="str">
        <f>IFERROR(__xludf.DUMMYFUNCTION("""COMPUTED_VALUE"""),"Bulgarije")</f>
        <v>Bulgarije</v>
      </c>
      <c r="AN102" s="6" t="str">
        <f>IFERROR(__xludf.DUMMYFUNCTION("""COMPUTED_VALUE"""),"Tidzhen Erol Gyuldzhu")</f>
        <v>Tidzhen Erol Gyuldzhu</v>
      </c>
      <c r="AO102" s="6"/>
    </row>
    <row r="103">
      <c r="A103" s="6" t="str">
        <f>IFERROR(__xludf.DUMMYFUNCTION("""COMPUTED_VALUE"""),"D Mak")</f>
        <v>D Mak</v>
      </c>
      <c r="B103" s="6" t="str">
        <f>IFERROR(__xludf.DUMMYFUNCTION("""COMPUTED_VALUE"""),"D Mak")</f>
        <v>D Mak</v>
      </c>
      <c r="C103" s="6">
        <f>IFERROR(__xludf.DUMMYFUNCTION("""COMPUTED_VALUE"""),1112.0)</f>
        <v>1112</v>
      </c>
      <c r="D103" s="7" t="str">
        <f>IFERROR(__xludf.DUMMYFUNCTION("""COMPUTED_VALUE"""),"Davorin Aleksandrovski")</f>
        <v>Davorin Aleksandrovski</v>
      </c>
      <c r="E103" s="7" t="str">
        <f>IFERROR(__xludf.DUMMYFUNCTION("""COMPUTED_VALUE"""),"SBI-code: 4120 - Algemene burgerlijke en utiliteitsbouw")</f>
        <v>SBI-code: 4120 - Algemene burgerlijke en utiliteitsbouw</v>
      </c>
      <c r="F103" s="7" t="str">
        <f>IFERROR(__xludf.DUMMYFUNCTION("""COMPUTED_VALUE"""),"0638376900")</f>
        <v>0638376900</v>
      </c>
      <c r="G103" s="6" t="str">
        <f>IFERROR(__xludf.DUMMYFUNCTION("""COMPUTED_VALUE"""),"davoraleksandrovski@yahoo.com")</f>
        <v>davoraleksandrovski@yahoo.com</v>
      </c>
      <c r="H103" s="6" t="str">
        <f>IFERROR(__xludf.DUMMYFUNCTION("""COMPUTED_VALUE"""),"Ocarinalaan 516")</f>
        <v>Ocarinalaan 516</v>
      </c>
      <c r="I103" s="6" t="str">
        <f>IFERROR(__xludf.DUMMYFUNCTION("""COMPUTED_VALUE"""),"2287 SH")</f>
        <v>2287 SH</v>
      </c>
      <c r="J103" s="6" t="str">
        <f>IFERROR(__xludf.DUMMYFUNCTION("""COMPUTED_VALUE"""),"Rijswijk")</f>
        <v>Rijswijk</v>
      </c>
      <c r="K103" s="6" t="str">
        <f>IFERROR(__xludf.DUMMYFUNCTION("""COMPUTED_VALUE"""),"Nederland")</f>
        <v>Nederland</v>
      </c>
      <c r="L103" s="6" t="str">
        <f>IFERROR(__xludf.DUMMYFUNCTION("""COMPUTED_VALUE"""),"Александровски")</f>
        <v>Александровски</v>
      </c>
      <c r="M103" s="8">
        <f>IFERROR(__xludf.DUMMYFUNCTION("""COMPUTED_VALUE"""),44197.0)</f>
        <v>44197</v>
      </c>
      <c r="N103" s="6" t="str">
        <f>IFERROR(__xludf.DUMMYFUNCTION("""COMPUTED_VALUE"""),"NL318483683B01")</f>
        <v>NL318483683B01</v>
      </c>
      <c r="O103" s="6">
        <f>IFERROR(__xludf.DUMMYFUNCTION("""COMPUTED_VALUE"""),7.2312084E7)</f>
        <v>72312084</v>
      </c>
      <c r="P103" s="6" t="str">
        <f>IFERROR(__xludf.DUMMYFUNCTION("""COMPUTED_VALUE"""),"NL03INGB0008848403")</f>
        <v>NL03INGB0008848403</v>
      </c>
      <c r="Q103" s="9">
        <f>IFERROR(__xludf.DUMMYFUNCTION("""COMPUTED_VALUE"""),43320.0)</f>
        <v>43320</v>
      </c>
      <c r="R103" s="6"/>
      <c r="S103" s="6" t="str">
        <f>IFERROR(__xludf.DUMMYFUNCTION("""COMPUTED_VALUE"""),"NL002468168B46")</f>
        <v>NL002468168B46</v>
      </c>
      <c r="T103" s="6">
        <f>IFERROR(__xludf.DUMMYFUNCTION("""COMPUTED_VALUE"""),3.18483683E8)</f>
        <v>318483683</v>
      </c>
      <c r="U103" s="7" t="str">
        <f>IFERROR(__xludf.DUMMYFUNCTION("""COMPUTED_VALUE"""),"Eenmanszaak")</f>
        <v>Eenmanszaak</v>
      </c>
      <c r="V103" s="7" t="str">
        <f>IFERROR(__xludf.DUMMYFUNCTION("""COMPUTED_VALUE"""),"000040428222")</f>
        <v>000040428222</v>
      </c>
      <c r="W103" s="6" t="str">
        <f>IFERROR(__xludf.DUMMYFUNCTION("""COMPUTED_VALUE"""),"ink.dmak.2288aa@zarabota.nl")</f>
        <v>ink.dmak.2288aa@zarabota.nl</v>
      </c>
      <c r="X103" s="6" t="str">
        <f>IFERROR(__xludf.DUMMYFUNCTION("""COMPUTED_VALUE"""),"ver.dmak.2288aa@zarabota.nl")</f>
        <v>ver.dmak.2288aa@zarabota.nl</v>
      </c>
      <c r="Y103" s="6" t="str">
        <f>IFERROR(__xludf.DUMMYFUNCTION("""COMPUTED_VALUE"""),"Hr.")</f>
        <v>Hr.</v>
      </c>
      <c r="Z103" s="6" t="str">
        <f>IFERROR(__xludf.DUMMYFUNCTION("""COMPUTED_VALUE"""),"Davorin")</f>
        <v>Davorin</v>
      </c>
      <c r="AA103" s="6" t="str">
        <f>IFERROR(__xludf.DUMMYFUNCTION("""COMPUTED_VALUE"""),"Aleksandrovski")</f>
        <v>Aleksandrovski</v>
      </c>
      <c r="AB103" s="6" t="str">
        <f>IFERROR(__xludf.DUMMYFUNCTION("""COMPUTED_VALUE"""),"D.")</f>
        <v>D.</v>
      </c>
      <c r="AC103" s="6">
        <f>IFERROR(__xludf.DUMMYFUNCTION("""COMPUTED_VALUE"""),3.18483683E8)</f>
        <v>318483683</v>
      </c>
      <c r="AD103" s="9">
        <f>IFERROR(__xludf.DUMMYFUNCTION("""COMPUTED_VALUE"""),30180.0)</f>
        <v>30180</v>
      </c>
      <c r="AE103" s="6" t="str">
        <f>IFERROR(__xludf.DUMMYFUNCTION("""COMPUTED_VALUE"""),"bg")</f>
        <v>bg</v>
      </c>
      <c r="AF103" s="6" t="str">
        <f>IFERROR(__xludf.DUMMYFUNCTION("""COMPUTED_VALUE"""),"Kumanovo")</f>
        <v>Kumanovo</v>
      </c>
      <c r="AG103" s="6" t="str">
        <f>IFERROR(__xludf.DUMMYFUNCTION("""COMPUTED_VALUE"""),"Hr. D. Aleksandrovski")</f>
        <v>Hr. D. Aleksandrovski</v>
      </c>
      <c r="AH103" s="6"/>
      <c r="AI103" s="9">
        <f>IFERROR(__xludf.DUMMYFUNCTION("""COMPUTED_VALUE"""),43318.0)</f>
        <v>43318</v>
      </c>
      <c r="AJ103" s="6" t="str">
        <f>IFERROR(__xludf.DUMMYFUNCTION("""COMPUTED_VALUE"""),"ID Kaart")</f>
        <v>ID Kaart</v>
      </c>
      <c r="AK103" s="6">
        <f>IFERROR(__xludf.DUMMYFUNCTION("""COMPUTED_VALUE"""),6.48348154E8)</f>
        <v>648348154</v>
      </c>
      <c r="AL103" s="9">
        <f>IFERROR(__xludf.DUMMYFUNCTION("""COMPUTED_VALUE"""),47282.0)</f>
        <v>47282</v>
      </c>
      <c r="AM103" s="6" t="str">
        <f>IFERROR(__xludf.DUMMYFUNCTION("""COMPUTED_VALUE"""),"Noord-Macedonië")</f>
        <v>Noord-Macedonië</v>
      </c>
      <c r="AN103" s="6" t="str">
        <f>IFERROR(__xludf.DUMMYFUNCTION("""COMPUTED_VALUE"""),"Davorin Aleksandrovski")</f>
        <v>Davorin Aleksandrovski</v>
      </c>
      <c r="AO103" s="6">
        <f>IFERROR(__xludf.DUMMYFUNCTION("""COMPUTED_VALUE"""),1112.0)</f>
        <v>1112</v>
      </c>
    </row>
    <row r="104">
      <c r="A104" s="6" t="str">
        <f>IFERROR(__xludf.DUMMYFUNCTION("""COMPUTED_VALUE"""),"D&amp;AGOV2011")</f>
        <v>D&amp;AGOV2011</v>
      </c>
      <c r="B104" s="6" t="str">
        <f>IFERROR(__xludf.DUMMYFUNCTION("""COMPUTED_VALUE"""),"D&amp;AGOV2011")</f>
        <v>D&amp;AGOV2011</v>
      </c>
      <c r="C104" s="6">
        <f>IFERROR(__xludf.DUMMYFUNCTION("""COMPUTED_VALUE"""),1132.0)</f>
        <v>1132</v>
      </c>
      <c r="D104" s="7" t="str">
        <f>IFERROR(__xludf.DUMMYFUNCTION("""COMPUTED_VALUE"""),"Ayhan Ahmedov Agov")</f>
        <v>Ayhan Ahmedov Agov</v>
      </c>
      <c r="E104" s="7" t="str">
        <f>IFERROR(__xludf.DUMMYFUNCTION("""COMPUTED_VALUE"""),"SBI-code: 4120 - Algemene burgerlijke en utiliteitsbouw")</f>
        <v>SBI-code: 4120 - Algemene burgerlijke en utiliteitsbouw</v>
      </c>
      <c r="F104" s="7" t="str">
        <f>IFERROR(__xludf.DUMMYFUNCTION("""COMPUTED_VALUE"""),"0685214252")</f>
        <v>0685214252</v>
      </c>
      <c r="G104" s="6" t="str">
        <f>IFERROR(__xludf.DUMMYFUNCTION("""COMPUTED_VALUE"""),"ayhan87duygu@outlook.com")</f>
        <v>ayhan87duygu@outlook.com</v>
      </c>
      <c r="H104" s="6" t="str">
        <f>IFERROR(__xludf.DUMMYFUNCTION("""COMPUTED_VALUE"""),"Wolweversgaarde 579")</f>
        <v>Wolweversgaarde 579</v>
      </c>
      <c r="I104" s="6" t="str">
        <f>IFERROR(__xludf.DUMMYFUNCTION("""COMPUTED_VALUE"""),"2542BB")</f>
        <v>2542BB</v>
      </c>
      <c r="J104" s="6" t="str">
        <f>IFERROR(__xludf.DUMMYFUNCTION("""COMPUTED_VALUE"""),"s-Gravenhage")</f>
        <v>s-Gravenhage</v>
      </c>
      <c r="K104" s="6" t="str">
        <f>IFERROR(__xludf.DUMMYFUNCTION("""COMPUTED_VALUE"""),"Nederland")</f>
        <v>Nederland</v>
      </c>
      <c r="L104" s="6" t="str">
        <f>IFERROR(__xludf.DUMMYFUNCTION("""COMPUTED_VALUE"""),"Агов")</f>
        <v>Агов</v>
      </c>
      <c r="M104" s="8">
        <f>IFERROR(__xludf.DUMMYFUNCTION("""COMPUTED_VALUE"""),44245.0)</f>
        <v>44245</v>
      </c>
      <c r="N104" s="6" t="str">
        <f>IFERROR(__xludf.DUMMYFUNCTION("""COMPUTED_VALUE"""),"NL323066859B02")</f>
        <v>NL323066859B02</v>
      </c>
      <c r="O104" s="6">
        <f>IFERROR(__xludf.DUMMYFUNCTION("""COMPUTED_VALUE"""),8.1934769E7)</f>
        <v>81934769</v>
      </c>
      <c r="P104" s="6" t="str">
        <f>IFERROR(__xludf.DUMMYFUNCTION("""COMPUTED_VALUE"""),"NL81INGB0006791957")</f>
        <v>NL81INGB0006791957</v>
      </c>
      <c r="Q104" s="9">
        <f>IFERROR(__xludf.DUMMYFUNCTION("""COMPUTED_VALUE"""),44245.0)</f>
        <v>44245</v>
      </c>
      <c r="R104" s="6"/>
      <c r="S104" s="6" t="str">
        <f>IFERROR(__xludf.DUMMYFUNCTION("""COMPUTED_VALUE"""),"NL003620841B42")</f>
        <v>NL003620841B42</v>
      </c>
      <c r="T104" s="6">
        <f>IFERROR(__xludf.DUMMYFUNCTION("""COMPUTED_VALUE"""),3.23066859E8)</f>
        <v>323066859</v>
      </c>
      <c r="U104" s="7" t="str">
        <f>IFERROR(__xludf.DUMMYFUNCTION("""COMPUTED_VALUE"""),"Eenmanszaak")</f>
        <v>Eenmanszaak</v>
      </c>
      <c r="V104" s="7" t="str">
        <f>IFERROR(__xludf.DUMMYFUNCTION("""COMPUTED_VALUE"""),"000048195766")</f>
        <v>000048195766</v>
      </c>
      <c r="W104" s="6" t="str">
        <f>IFERROR(__xludf.DUMMYFUNCTION("""COMPUTED_VALUE"""),"ink.denagov.2288aa@zarabota.nl")</f>
        <v>ink.denagov.2288aa@zarabota.nl</v>
      </c>
      <c r="X104" s="6" t="str">
        <f>IFERROR(__xludf.DUMMYFUNCTION("""COMPUTED_VALUE"""),"ver.denagov.2288aa@zarabota.nl")</f>
        <v>ver.denagov.2288aa@zarabota.nl</v>
      </c>
      <c r="Y104" s="6" t="str">
        <f>IFERROR(__xludf.DUMMYFUNCTION("""COMPUTED_VALUE"""),"Hr.")</f>
        <v>Hr.</v>
      </c>
      <c r="Z104" s="6" t="str">
        <f>IFERROR(__xludf.DUMMYFUNCTION("""COMPUTED_VALUE"""),"Ayhan Ahmedov")</f>
        <v>Ayhan Ahmedov</v>
      </c>
      <c r="AA104" s="6" t="str">
        <f>IFERROR(__xludf.DUMMYFUNCTION("""COMPUTED_VALUE"""),"Agov")</f>
        <v>Agov</v>
      </c>
      <c r="AB104" s="6" t="str">
        <f>IFERROR(__xludf.DUMMYFUNCTION("""COMPUTED_VALUE"""),"A.A.")</f>
        <v>A.A.</v>
      </c>
      <c r="AC104" s="6">
        <f>IFERROR(__xludf.DUMMYFUNCTION("""COMPUTED_VALUE"""),3.23066859E8)</f>
        <v>323066859</v>
      </c>
      <c r="AD104" s="9">
        <f>IFERROR(__xludf.DUMMYFUNCTION("""COMPUTED_VALUE"""),31896.0)</f>
        <v>31896</v>
      </c>
      <c r="AE104" s="6" t="str">
        <f>IFERROR(__xludf.DUMMYFUNCTION("""COMPUTED_VALUE"""),"bg")</f>
        <v>bg</v>
      </c>
      <c r="AF104" s="6" t="str">
        <f>IFERROR(__xludf.DUMMYFUNCTION("""COMPUTED_VALUE"""),"Plovdiv")</f>
        <v>Plovdiv</v>
      </c>
      <c r="AG104" s="6" t="str">
        <f>IFERROR(__xludf.DUMMYFUNCTION("""COMPUTED_VALUE"""),"Hr. A.A. Agov")</f>
        <v>Hr. A.A. Agov</v>
      </c>
      <c r="AH104" s="6" t="str">
        <f>IFERROR(__xludf.DUMMYFUNCTION("""COMPUTED_VALUE"""),"NL90INGB0657651222")</f>
        <v>NL90INGB0657651222</v>
      </c>
      <c r="AI104" s="6"/>
      <c r="AJ104" s="6" t="str">
        <f>IFERROR(__xludf.DUMMYFUNCTION("""COMPUTED_VALUE"""),"ID Kaart")</f>
        <v>ID Kaart</v>
      </c>
      <c r="AK104" s="6">
        <f>IFERROR(__xludf.DUMMYFUNCTION("""COMPUTED_VALUE"""),6.42135219E8)</f>
        <v>642135219</v>
      </c>
      <c r="AL104" s="9">
        <f>IFERROR(__xludf.DUMMYFUNCTION("""COMPUTED_VALUE"""),44264.0)</f>
        <v>44264</v>
      </c>
      <c r="AM104" s="6" t="str">
        <f>IFERROR(__xludf.DUMMYFUNCTION("""COMPUTED_VALUE"""),"Bulgarije")</f>
        <v>Bulgarije</v>
      </c>
      <c r="AN104" s="6" t="str">
        <f>IFERROR(__xludf.DUMMYFUNCTION("""COMPUTED_VALUE"""),"Ayhan Ahmedov Agov")</f>
        <v>Ayhan Ahmedov Agov</v>
      </c>
      <c r="AO104" s="6">
        <f>IFERROR(__xludf.DUMMYFUNCTION("""COMPUTED_VALUE"""),1132.0)</f>
        <v>1132</v>
      </c>
    </row>
    <row r="105">
      <c r="A105" s="6" t="str">
        <f>IFERROR(__xludf.DUMMYFUNCTION("""COMPUTED_VALUE"""),"D-STROY")</f>
        <v>D-STROY</v>
      </c>
      <c r="B105" s="6" t="str">
        <f>IFERROR(__xludf.DUMMYFUNCTION("""COMPUTED_VALUE"""),"D-STROY")</f>
        <v>D-STROY</v>
      </c>
      <c r="C105" s="6">
        <f>IFERROR(__xludf.DUMMYFUNCTION("""COMPUTED_VALUE"""),1772.0)</f>
        <v>1772</v>
      </c>
      <c r="D105" s="7" t="str">
        <f>IFERROR(__xludf.DUMMYFUNCTION("""COMPUTED_VALUE"""),"Dorin Urecheanu")</f>
        <v>Dorin Urecheanu</v>
      </c>
      <c r="E105" s="7" t="str">
        <f>IFERROR(__xludf.DUMMYFUNCTION("""COMPUTED_VALUE"""),"SBI-code: 4120 - Algemene burgerlijke en utiliteitsbouw")</f>
        <v>SBI-code: 4120 - Algemene burgerlijke en utiliteitsbouw</v>
      </c>
      <c r="F105" s="7" t="str">
        <f>IFERROR(__xludf.DUMMYFUNCTION("""COMPUTED_VALUE"""),"0645577033")</f>
        <v>0645577033</v>
      </c>
      <c r="G105" s="6" t="str">
        <f>IFERROR(__xludf.DUMMYFUNCTION("""COMPUTED_VALUE"""),"urecheanudorin88@gmail.com")</f>
        <v>urecheanudorin88@gmail.com</v>
      </c>
      <c r="H105" s="6" t="str">
        <f>IFERROR(__xludf.DUMMYFUNCTION("""COMPUTED_VALUE"""),"Meijelseweg 2")</f>
        <v>Meijelseweg 2</v>
      </c>
      <c r="I105" s="6" t="str">
        <f>IFERROR(__xludf.DUMMYFUNCTION("""COMPUTED_VALUE"""),"6089ND")</f>
        <v>6089ND</v>
      </c>
      <c r="J105" s="6" t="str">
        <f>IFERROR(__xludf.DUMMYFUNCTION("""COMPUTED_VALUE"""),"Heilbloem")</f>
        <v>Heilbloem</v>
      </c>
      <c r="K105" s="6" t="str">
        <f>IFERROR(__xludf.DUMMYFUNCTION("""COMPUTED_VALUE"""),"Nederland")</f>
        <v>Nederland</v>
      </c>
      <c r="L105" s="6" t="str">
        <f>IFERROR(__xludf.DUMMYFUNCTION("""COMPUTED_VALUE"""),"Urecheanu")</f>
        <v>Urecheanu</v>
      </c>
      <c r="M105" s="8">
        <f>IFERROR(__xludf.DUMMYFUNCTION("""COMPUTED_VALUE"""),46055.0)</f>
        <v>46055</v>
      </c>
      <c r="N105" s="6" t="str">
        <f>IFERROR(__xludf.DUMMYFUNCTION("""COMPUTED_VALUE"""),"NL404940250B02")</f>
        <v>NL404940250B02</v>
      </c>
      <c r="O105" s="6">
        <f>IFERROR(__xludf.DUMMYFUNCTION("""COMPUTED_VALUE"""),9.9788756E7)</f>
        <v>99788756</v>
      </c>
      <c r="P105" s="6" t="str">
        <f>IFERROR(__xludf.DUMMYFUNCTION("""COMPUTED_VALUE"""),"NL50INGB0116183489")</f>
        <v>NL50INGB0116183489</v>
      </c>
      <c r="Q105" s="9">
        <f>IFERROR(__xludf.DUMMYFUNCTION("""COMPUTED_VALUE"""),46055.0)</f>
        <v>46055</v>
      </c>
      <c r="R105" s="6"/>
      <c r="S105" s="6" t="str">
        <f>IFERROR(__xludf.DUMMYFUNCTION("""COMPUTED_VALUE"""),"NL005410933B41")</f>
        <v>NL005410933B41</v>
      </c>
      <c r="T105" s="6">
        <f>IFERROR(__xludf.DUMMYFUNCTION("""COMPUTED_VALUE"""),4.0494025E8)</f>
        <v>404940250</v>
      </c>
      <c r="U105" s="7" t="str">
        <f>IFERROR(__xludf.DUMMYFUNCTION("""COMPUTED_VALUE"""),"Eenmanszaak")</f>
        <v>Eenmanszaak</v>
      </c>
      <c r="V105" s="6"/>
      <c r="W105" s="6" t="str">
        <f>IFERROR(__xludf.DUMMYFUNCTION("""COMPUTED_VALUE"""),"ink.dstroy.2288aa@zarabota.nl")</f>
        <v>ink.dstroy.2288aa@zarabota.nl</v>
      </c>
      <c r="X105" s="6" t="str">
        <f>IFERROR(__xludf.DUMMYFUNCTION("""COMPUTED_VALUE"""),"ver.dstroy.2288aa@zarabota.nl")</f>
        <v>ver.dstroy.2288aa@zarabota.nl</v>
      </c>
      <c r="Y105" s="6" t="str">
        <f>IFERROR(__xludf.DUMMYFUNCTION("""COMPUTED_VALUE"""),"Hr.")</f>
        <v>Hr.</v>
      </c>
      <c r="Z105" s="6" t="str">
        <f>IFERROR(__xludf.DUMMYFUNCTION("""COMPUTED_VALUE"""),"Dorin")</f>
        <v>Dorin</v>
      </c>
      <c r="AA105" s="6" t="str">
        <f>IFERROR(__xludf.DUMMYFUNCTION("""COMPUTED_VALUE"""),"Urecheanu")</f>
        <v>Urecheanu</v>
      </c>
      <c r="AB105" s="6" t="str">
        <f>IFERROR(__xludf.DUMMYFUNCTION("""COMPUTED_VALUE"""),"D.")</f>
        <v>D.</v>
      </c>
      <c r="AC105" s="6">
        <f>IFERROR(__xludf.DUMMYFUNCTION("""COMPUTED_VALUE"""),4.0494025E8)</f>
        <v>404940250</v>
      </c>
      <c r="AD105" s="9">
        <f>IFERROR(__xludf.DUMMYFUNCTION("""COMPUTED_VALUE"""),32233.0)</f>
        <v>32233</v>
      </c>
      <c r="AE105" s="6" t="str">
        <f>IFERROR(__xludf.DUMMYFUNCTION("""COMPUTED_VALUE"""),"ru")</f>
        <v>ru</v>
      </c>
      <c r="AF105" s="6" t="str">
        <f>IFERROR(__xludf.DUMMYFUNCTION("""COMPUTED_VALUE"""),"Lazovsk")</f>
        <v>Lazovsk</v>
      </c>
      <c r="AG105" s="6" t="str">
        <f>IFERROR(__xludf.DUMMYFUNCTION("""COMPUTED_VALUE"""),"Hr. D. Urecheanu")</f>
        <v>Hr. D. Urecheanu</v>
      </c>
      <c r="AH105" s="6"/>
      <c r="AI105" s="6"/>
      <c r="AJ105" s="6" t="str">
        <f>IFERROR(__xludf.DUMMYFUNCTION("""COMPUTED_VALUE"""),"ID Kaart")</f>
        <v>ID Kaart</v>
      </c>
      <c r="AK105" s="6">
        <f>IFERROR(__xludf.DUMMYFUNCTION("""COMPUTED_VALUE"""),200801.0)</f>
        <v>200801</v>
      </c>
      <c r="AL105" s="9">
        <f>IFERROR(__xludf.DUMMYFUNCTION("""COMPUTED_VALUE"""),45016.0)</f>
        <v>45016</v>
      </c>
      <c r="AM105" s="6" t="str">
        <f>IFERROR(__xludf.DUMMYFUNCTION("""COMPUTED_VALUE"""),"Bulgarije")</f>
        <v>Bulgarije</v>
      </c>
      <c r="AN105" s="6" t="str">
        <f>IFERROR(__xludf.DUMMYFUNCTION("""COMPUTED_VALUE"""),"Dorin Urecheanu")</f>
        <v>Dorin Urecheanu</v>
      </c>
      <c r="AO105" s="6">
        <f>IFERROR(__xludf.DUMMYFUNCTION("""COMPUTED_VALUE"""),1772.0)</f>
        <v>1772</v>
      </c>
    </row>
    <row r="106">
      <c r="A106" s="6" t="str">
        <f>IFERROR(__xludf.DUMMYFUNCTION("""COMPUTED_VALUE"""),"D. Danchev Services VOF")</f>
        <v>D. Danchev Services VOF</v>
      </c>
      <c r="B106" s="6" t="str">
        <f>IFERROR(__xludf.DUMMYFUNCTION("""COMPUTED_VALUE"""),"D. Danchev Services VOF")</f>
        <v>D. Danchev Services VOF</v>
      </c>
      <c r="C106" s="6">
        <f>IFERROR(__xludf.DUMMYFUNCTION("""COMPUTED_VALUE"""),1270.0)</f>
        <v>1270</v>
      </c>
      <c r="D106" s="7" t="str">
        <f>IFERROR(__xludf.DUMMYFUNCTION("""COMPUTED_VALUE"""),"Dancho Goshev Danchev")</f>
        <v>Dancho Goshev Danchev</v>
      </c>
      <c r="E106" s="7" t="str">
        <f>IFERROR(__xludf.DUMMYFUNCTION("""COMPUTED_VALUE"""),"SBI-code: 4120 - Algemene burgerlijke en utiliteitsbouw")</f>
        <v>SBI-code: 4120 - Algemene burgerlijke en utiliteitsbouw</v>
      </c>
      <c r="F106" s="7" t="str">
        <f>IFERROR(__xludf.DUMMYFUNCTION("""COMPUTED_VALUE"""),"0639149225")</f>
        <v>0639149225</v>
      </c>
      <c r="G106" s="6" t="str">
        <f>IFERROR(__xludf.DUMMYFUNCTION("""COMPUTED_VALUE"""),"daysklant576@gmail.com")</f>
        <v>daysklant576@gmail.com</v>
      </c>
      <c r="H106" s="6" t="str">
        <f>IFERROR(__xludf.DUMMYFUNCTION("""COMPUTED_VALUE"""),"Springfonteinstraat 52")</f>
        <v>Springfonteinstraat 52</v>
      </c>
      <c r="I106" s="6" t="str">
        <f>IFERROR(__xludf.DUMMYFUNCTION("""COMPUTED_VALUE"""),"2572PM")</f>
        <v>2572PM</v>
      </c>
      <c r="J106" s="6" t="str">
        <f>IFERROR(__xludf.DUMMYFUNCTION("""COMPUTED_VALUE"""),"s-Gravenhage")</f>
        <v>s-Gravenhage</v>
      </c>
      <c r="K106" s="6" t="str">
        <f>IFERROR(__xludf.DUMMYFUNCTION("""COMPUTED_VALUE"""),"Nederland")</f>
        <v>Nederland</v>
      </c>
      <c r="L106" s="6" t="str">
        <f>IFERROR(__xludf.DUMMYFUNCTION("""COMPUTED_VALUE"""),"Данчев")</f>
        <v>Данчев</v>
      </c>
      <c r="M106" s="8">
        <f>IFERROR(__xludf.DUMMYFUNCTION("""COMPUTED_VALUE"""),45748.0)</f>
        <v>45748</v>
      </c>
      <c r="N106" s="6" t="str">
        <f>IFERROR(__xludf.DUMMYFUNCTION("""COMPUTED_VALUE"""),"NL867997576B01")</f>
        <v>NL867997576B01</v>
      </c>
      <c r="O106" s="6">
        <f>IFERROR(__xludf.DUMMYFUNCTION("""COMPUTED_VALUE"""),9.731215E7)</f>
        <v>97312150</v>
      </c>
      <c r="P106" s="6" t="str">
        <f>IFERROR(__xludf.DUMMYFUNCTION("""COMPUTED_VALUE"""),"NL68INGB0103159169")</f>
        <v>NL68INGB0103159169</v>
      </c>
      <c r="Q106" s="9">
        <f>IFERROR(__xludf.DUMMYFUNCTION("""COMPUTED_VALUE"""),44592.0)</f>
        <v>44592</v>
      </c>
      <c r="R106" s="6"/>
      <c r="S106" s="6" t="str">
        <f>IFERROR(__xludf.DUMMYFUNCTION("""COMPUTED_VALUE"""),"NL867997576B01")</f>
        <v>NL867997576B01</v>
      </c>
      <c r="T106" s="6">
        <f>IFERROR(__xludf.DUMMYFUNCTION("""COMPUTED_VALUE"""),8.67997576E8)</f>
        <v>867997576</v>
      </c>
      <c r="U106" s="7" t="str">
        <f>IFERROR(__xludf.DUMMYFUNCTION("""COMPUTED_VALUE"""),"Vennootschap Onder Firma")</f>
        <v>Vennootschap Onder Firma</v>
      </c>
      <c r="V106" s="7" t="str">
        <f>IFERROR(__xludf.DUMMYFUNCTION("""COMPUTED_VALUE"""),"000051387573")</f>
        <v>000051387573</v>
      </c>
      <c r="W106" s="6" t="str">
        <f>IFERROR(__xludf.DUMMYFUNCTION("""COMPUTED_VALUE"""),"ink.ddanchevvof.2288aa@zarabota.nl")</f>
        <v>ink.ddanchevvof.2288aa@zarabota.nl</v>
      </c>
      <c r="X106" s="6" t="str">
        <f>IFERROR(__xludf.DUMMYFUNCTION("""COMPUTED_VALUE"""),"ver.ddanchevvof.2288aa@zarabota.nl")</f>
        <v>ver.ddanchevvof.2288aa@zarabota.nl</v>
      </c>
      <c r="Y106" s="6" t="str">
        <f>IFERROR(__xludf.DUMMYFUNCTION("""COMPUTED_VALUE"""),"Hr.")</f>
        <v>Hr.</v>
      </c>
      <c r="Z106" s="6" t="str">
        <f>IFERROR(__xludf.DUMMYFUNCTION("""COMPUTED_VALUE"""),"Dancho Goshev")</f>
        <v>Dancho Goshev</v>
      </c>
      <c r="AA106" s="6" t="str">
        <f>IFERROR(__xludf.DUMMYFUNCTION("""COMPUTED_VALUE"""),"Danchev")</f>
        <v>Danchev</v>
      </c>
      <c r="AB106" s="6" t="str">
        <f>IFERROR(__xludf.DUMMYFUNCTION("""COMPUTED_VALUE"""),"D.G.")</f>
        <v>D.G.</v>
      </c>
      <c r="AC106" s="6">
        <f>IFERROR(__xludf.DUMMYFUNCTION("""COMPUTED_VALUE"""),4.19066627E8)</f>
        <v>419066627</v>
      </c>
      <c r="AD106" s="9">
        <f>IFERROR(__xludf.DUMMYFUNCTION("""COMPUTED_VALUE"""),32943.0)</f>
        <v>32943</v>
      </c>
      <c r="AE106" s="6" t="str">
        <f>IFERROR(__xludf.DUMMYFUNCTION("""COMPUTED_VALUE"""),"bg")</f>
        <v>bg</v>
      </c>
      <c r="AF106" s="6" t="str">
        <f>IFERROR(__xludf.DUMMYFUNCTION("""COMPUTED_VALUE"""),"Dimitrovgrad")</f>
        <v>Dimitrovgrad</v>
      </c>
      <c r="AG106" s="6" t="str">
        <f>IFERROR(__xludf.DUMMYFUNCTION("""COMPUTED_VALUE"""),"Hr. D.G. Danchev")</f>
        <v>Hr. D.G. Danchev</v>
      </c>
      <c r="AH106" s="6" t="str">
        <f>IFERROR(__xludf.DUMMYFUNCTION("""COMPUTED_VALUE"""),"NL73INGB0675379830")</f>
        <v>NL73INGB0675379830</v>
      </c>
      <c r="AI106" s="6"/>
      <c r="AJ106" s="6" t="str">
        <f>IFERROR(__xludf.DUMMYFUNCTION("""COMPUTED_VALUE"""),"ID Kaart")</f>
        <v>ID Kaart</v>
      </c>
      <c r="AK106" s="6"/>
      <c r="AL106" s="6"/>
      <c r="AM106" s="6" t="str">
        <f>IFERROR(__xludf.DUMMYFUNCTION("""COMPUTED_VALUE"""),"Bulgarije")</f>
        <v>Bulgarije</v>
      </c>
      <c r="AN106" s="6" t="str">
        <f>IFERROR(__xludf.DUMMYFUNCTION("""COMPUTED_VALUE"""),"Dancho Goshev Danchev")</f>
        <v>Dancho Goshev Danchev</v>
      </c>
      <c r="AO106" s="6">
        <f>IFERROR(__xludf.DUMMYFUNCTION("""COMPUTED_VALUE"""),1270.0)</f>
        <v>1270</v>
      </c>
    </row>
    <row r="107">
      <c r="A107" s="6" t="str">
        <f>IFERROR(__xludf.DUMMYFUNCTION("""COMPUTED_VALUE"""),"D.V. Dimitrov")</f>
        <v>D.V. Dimitrov</v>
      </c>
      <c r="B107" s="6" t="str">
        <f>IFERROR(__xludf.DUMMYFUNCTION("""COMPUTED_VALUE"""),"D.V. Dimitrov")</f>
        <v>D.V. Dimitrov</v>
      </c>
      <c r="C107" s="6">
        <f>IFERROR(__xludf.DUMMYFUNCTION("""COMPUTED_VALUE"""),1604.0)</f>
        <v>1604</v>
      </c>
      <c r="D107" s="7" t="str">
        <f>IFERROR(__xludf.DUMMYFUNCTION("""COMPUTED_VALUE"""),"Dimitar Vladimirov Dimitrov")</f>
        <v>Dimitar Vladimirov Dimitrov</v>
      </c>
      <c r="E107" s="7" t="str">
        <f>IFERROR(__xludf.DUMMYFUNCTION("""COMPUTED_VALUE"""),"SBI-code: 4120 - Algemene burgerlijke en utiliteitsbouw")</f>
        <v>SBI-code: 4120 - Algemene burgerlijke en utiliteitsbouw</v>
      </c>
      <c r="F107" s="7" t="str">
        <f>IFERROR(__xludf.DUMMYFUNCTION("""COMPUTED_VALUE"""),"0629828214")</f>
        <v>0629828214</v>
      </c>
      <c r="G107" s="6" t="str">
        <f>IFERROR(__xludf.DUMMYFUNCTION("""COMPUTED_VALUE"""),"dimitar930819@gmail.com")</f>
        <v>dimitar930819@gmail.com</v>
      </c>
      <c r="H107" s="6" t="str">
        <f>IFERROR(__xludf.DUMMYFUNCTION("""COMPUTED_VALUE"""),"Bernardusplein 19")</f>
        <v>Bernardusplein 19</v>
      </c>
      <c r="I107" s="6" t="str">
        <f>IFERROR(__xludf.DUMMYFUNCTION("""COMPUTED_VALUE"""),"5042HP")</f>
        <v>5042HP</v>
      </c>
      <c r="J107" s="6" t="str">
        <f>IFERROR(__xludf.DUMMYFUNCTION("""COMPUTED_VALUE"""),"Tilburg")</f>
        <v>Tilburg</v>
      </c>
      <c r="K107" s="6" t="str">
        <f>IFERROR(__xludf.DUMMYFUNCTION("""COMPUTED_VALUE"""),"Nederland")</f>
        <v>Nederland</v>
      </c>
      <c r="L107" s="6" t="str">
        <f>IFERROR(__xludf.DUMMYFUNCTION("""COMPUTED_VALUE"""),"Димитров")</f>
        <v>Димитров</v>
      </c>
      <c r="M107" s="8">
        <f>IFERROR(__xludf.DUMMYFUNCTION("""COMPUTED_VALUE"""),45313.0)</f>
        <v>45313</v>
      </c>
      <c r="N107" s="6" t="str">
        <f>IFERROR(__xludf.DUMMYFUNCTION("""COMPUTED_VALUE"""),"NL386004079B01")</f>
        <v>NL386004079B01</v>
      </c>
      <c r="O107" s="6">
        <f>IFERROR(__xludf.DUMMYFUNCTION("""COMPUTED_VALUE"""),9.2720986E7)</f>
        <v>92720986</v>
      </c>
      <c r="P107" s="6" t="str">
        <f>IFERROR(__xludf.DUMMYFUNCTION("""COMPUTED_VALUE"""),"NL62INGB0104517956")</f>
        <v>NL62INGB0104517956</v>
      </c>
      <c r="Q107" s="9">
        <f>IFERROR(__xludf.DUMMYFUNCTION("""COMPUTED_VALUE"""),45313.0)</f>
        <v>45313</v>
      </c>
      <c r="R107" s="6"/>
      <c r="S107" s="6" t="str">
        <f>IFERROR(__xludf.DUMMYFUNCTION("""COMPUTED_VALUE"""),"NL004972651B74")</f>
        <v>NL004972651B74</v>
      </c>
      <c r="T107" s="6">
        <f>IFERROR(__xludf.DUMMYFUNCTION("""COMPUTED_VALUE"""),3.86004079E8)</f>
        <v>386004079</v>
      </c>
      <c r="U107" s="7" t="str">
        <f>IFERROR(__xludf.DUMMYFUNCTION("""COMPUTED_VALUE"""),"Eenmanszaak")</f>
        <v>Eenmanszaak</v>
      </c>
      <c r="V107" s="7" t="str">
        <f>IFERROR(__xludf.DUMMYFUNCTION("""COMPUTED_VALUE"""),"000058306382")</f>
        <v>000058306382</v>
      </c>
      <c r="W107" s="6" t="str">
        <f>IFERROR(__xludf.DUMMYFUNCTION("""COMPUTED_VALUE"""),"ink.dvdimitrov.2288aa@zarabota.nl")</f>
        <v>ink.dvdimitrov.2288aa@zarabota.nl</v>
      </c>
      <c r="X107" s="6" t="str">
        <f>IFERROR(__xludf.DUMMYFUNCTION("""COMPUTED_VALUE"""),"ver.dvdimitrov.2288aa@zarabota.nl")</f>
        <v>ver.dvdimitrov.2288aa@zarabota.nl</v>
      </c>
      <c r="Y107" s="6" t="str">
        <f>IFERROR(__xludf.DUMMYFUNCTION("""COMPUTED_VALUE"""),"Hr.")</f>
        <v>Hr.</v>
      </c>
      <c r="Z107" s="6" t="str">
        <f>IFERROR(__xludf.DUMMYFUNCTION("""COMPUTED_VALUE"""),"Dimitar Vladimirov")</f>
        <v>Dimitar Vladimirov</v>
      </c>
      <c r="AA107" s="6" t="str">
        <f>IFERROR(__xludf.DUMMYFUNCTION("""COMPUTED_VALUE"""),"Dimitrov")</f>
        <v>Dimitrov</v>
      </c>
      <c r="AB107" s="6" t="str">
        <f>IFERROR(__xludf.DUMMYFUNCTION("""COMPUTED_VALUE"""),"D.V.")</f>
        <v>D.V.</v>
      </c>
      <c r="AC107" s="6">
        <f>IFERROR(__xludf.DUMMYFUNCTION("""COMPUTED_VALUE"""),3.86004079E8)</f>
        <v>386004079</v>
      </c>
      <c r="AD107" s="9">
        <f>IFERROR(__xludf.DUMMYFUNCTION("""COMPUTED_VALUE"""),34200.0)</f>
        <v>34200</v>
      </c>
      <c r="AE107" s="6" t="str">
        <f>IFERROR(__xludf.DUMMYFUNCTION("""COMPUTED_VALUE"""),"bg")</f>
        <v>bg</v>
      </c>
      <c r="AF107" s="6" t="str">
        <f>IFERROR(__xludf.DUMMYFUNCTION("""COMPUTED_VALUE"""),"Haskovo")</f>
        <v>Haskovo</v>
      </c>
      <c r="AG107" s="6" t="str">
        <f>IFERROR(__xludf.DUMMYFUNCTION("""COMPUTED_VALUE"""),"Hr. D.V. Dimitrov")</f>
        <v>Hr. D.V. Dimitrov</v>
      </c>
      <c r="AH107" s="6"/>
      <c r="AI107" s="6"/>
      <c r="AJ107" s="6" t="str">
        <f>IFERROR(__xludf.DUMMYFUNCTION("""COMPUTED_VALUE"""),"ID Kaart")</f>
        <v>ID Kaart</v>
      </c>
      <c r="AK107" s="6"/>
      <c r="AL107" s="6"/>
      <c r="AM107" s="6" t="str">
        <f>IFERROR(__xludf.DUMMYFUNCTION("""COMPUTED_VALUE"""),"Bulgarije")</f>
        <v>Bulgarije</v>
      </c>
      <c r="AN107" s="6" t="str">
        <f>IFERROR(__xludf.DUMMYFUNCTION("""COMPUTED_VALUE"""),"Dimitar Vladimirov Dimitrov")</f>
        <v>Dimitar Vladimirov Dimitrov</v>
      </c>
      <c r="AO107" s="6">
        <f>IFERROR(__xludf.DUMMYFUNCTION("""COMPUTED_VALUE"""),1604.0)</f>
        <v>1604</v>
      </c>
    </row>
    <row r="108">
      <c r="A108" s="6" t="str">
        <f>IFERROR(__xludf.DUMMYFUNCTION("""COMPUTED_VALUE"""),"Dainicral 82")</f>
        <v>Dainicral 82</v>
      </c>
      <c r="B108" s="6" t="str">
        <f>IFERROR(__xludf.DUMMYFUNCTION("""COMPUTED_VALUE"""),"Dainicral 82")</f>
        <v>Dainicral 82</v>
      </c>
      <c r="C108" s="6">
        <f>IFERROR(__xludf.DUMMYFUNCTION("""COMPUTED_VALUE"""),581.0)</f>
        <v>581</v>
      </c>
      <c r="D108" s="7" t="str">
        <f>IFERROR(__xludf.DUMMYFUNCTION("""COMPUTED_VALUE"""),"Stanislav Danchev Kirev")</f>
        <v>Stanislav Danchev Kirev</v>
      </c>
      <c r="E108" s="7" t="str">
        <f>IFERROR(__xludf.DUMMYFUNCTION("""COMPUTED_VALUE"""),"SBI-code: 4120 - Algemene burgerlijke en utiliteitsbouw")</f>
        <v>SBI-code: 4120 - Algemene burgerlijke en utiliteitsbouw</v>
      </c>
      <c r="F108" s="7" t="str">
        <f>IFERROR(__xludf.DUMMYFUNCTION("""COMPUTED_VALUE"""),"0687643783")</f>
        <v>0687643783</v>
      </c>
      <c r="G108" s="6" t="str">
        <f>IFERROR(__xludf.DUMMYFUNCTION("""COMPUTED_VALUE"""),"stanislavkirev82@abv.bg")</f>
        <v>stanislavkirev82@abv.bg</v>
      </c>
      <c r="H108" s="6" t="str">
        <f>IFERROR(__xludf.DUMMYFUNCTION("""COMPUTED_VALUE"""),"Troelstrakade 97")</f>
        <v>Troelstrakade 97</v>
      </c>
      <c r="I108" s="6" t="str">
        <f>IFERROR(__xludf.DUMMYFUNCTION("""COMPUTED_VALUE"""),"2531AB")</f>
        <v>2531AB</v>
      </c>
      <c r="J108" s="6" t="str">
        <f>IFERROR(__xludf.DUMMYFUNCTION("""COMPUTED_VALUE"""),"s-Gravenhage")</f>
        <v>s-Gravenhage</v>
      </c>
      <c r="K108" s="6" t="str">
        <f>IFERROR(__xludf.DUMMYFUNCTION("""COMPUTED_VALUE"""),"Nederland")</f>
        <v>Nederland</v>
      </c>
      <c r="L108" s="6" t="str">
        <f>IFERROR(__xludf.DUMMYFUNCTION("""COMPUTED_VALUE"""),"Кирев")</f>
        <v>Кирев</v>
      </c>
      <c r="M108" s="8">
        <f>IFERROR(__xludf.DUMMYFUNCTION("""COMPUTED_VALUE"""),43234.0)</f>
        <v>43234</v>
      </c>
      <c r="N108" s="6" t="str">
        <f>IFERROR(__xludf.DUMMYFUNCTION("""COMPUTED_VALUE"""),"NL295549579B01")</f>
        <v>NL295549579B01</v>
      </c>
      <c r="O108" s="6">
        <f>IFERROR(__xludf.DUMMYFUNCTION("""COMPUTED_VALUE"""),7.1631119E7)</f>
        <v>71631119</v>
      </c>
      <c r="P108" s="6" t="str">
        <f>IFERROR(__xludf.DUMMYFUNCTION("""COMPUTED_VALUE"""),"NL39INGB0008513202")</f>
        <v>NL39INGB0008513202</v>
      </c>
      <c r="Q108" s="9">
        <f>IFERROR(__xludf.DUMMYFUNCTION("""COMPUTED_VALUE"""),43234.0)</f>
        <v>43234</v>
      </c>
      <c r="R108" s="6"/>
      <c r="S108" s="6" t="str">
        <f>IFERROR(__xludf.DUMMYFUNCTION("""COMPUTED_VALUE"""),"NL002465107B47")</f>
        <v>NL002465107B47</v>
      </c>
      <c r="T108" s="6">
        <f>IFERROR(__xludf.DUMMYFUNCTION("""COMPUTED_VALUE"""),2.95549579E8)</f>
        <v>295549579</v>
      </c>
      <c r="U108" s="7" t="str">
        <f>IFERROR(__xludf.DUMMYFUNCTION("""COMPUTED_VALUE"""),"Eenmanszaak")</f>
        <v>Eenmanszaak</v>
      </c>
      <c r="V108" s="7" t="str">
        <f>IFERROR(__xludf.DUMMYFUNCTION("""COMPUTED_VALUE"""),"000039804100")</f>
        <v>000039804100</v>
      </c>
      <c r="W108" s="6" t="str">
        <f>IFERROR(__xludf.DUMMYFUNCTION("""COMPUTED_VALUE"""),"ink.dainicral82.2288aa@zarabota.nl")</f>
        <v>ink.dainicral82.2288aa@zarabota.nl</v>
      </c>
      <c r="X108" s="6" t="str">
        <f>IFERROR(__xludf.DUMMYFUNCTION("""COMPUTED_VALUE"""),"ver.dainicral82.2288aa@zarabota.nl")</f>
        <v>ver.dainicral82.2288aa@zarabota.nl</v>
      </c>
      <c r="Y108" s="6" t="str">
        <f>IFERROR(__xludf.DUMMYFUNCTION("""COMPUTED_VALUE"""),"Hr.")</f>
        <v>Hr.</v>
      </c>
      <c r="Z108" s="6" t="str">
        <f>IFERROR(__xludf.DUMMYFUNCTION("""COMPUTED_VALUE"""),"Stanislav Danchev")</f>
        <v>Stanislav Danchev</v>
      </c>
      <c r="AA108" s="6" t="str">
        <f>IFERROR(__xludf.DUMMYFUNCTION("""COMPUTED_VALUE"""),"Kirev")</f>
        <v>Kirev</v>
      </c>
      <c r="AB108" s="6" t="str">
        <f>IFERROR(__xludf.DUMMYFUNCTION("""COMPUTED_VALUE"""),"S.D.")</f>
        <v>S.D.</v>
      </c>
      <c r="AC108" s="6">
        <f>IFERROR(__xludf.DUMMYFUNCTION("""COMPUTED_VALUE"""),2.95549579E8)</f>
        <v>295549579</v>
      </c>
      <c r="AD108" s="9">
        <f>IFERROR(__xludf.DUMMYFUNCTION("""COMPUTED_VALUE"""),29999.0)</f>
        <v>29999</v>
      </c>
      <c r="AE108" s="6" t="str">
        <f>IFERROR(__xludf.DUMMYFUNCTION("""COMPUTED_VALUE"""),"bg")</f>
        <v>bg</v>
      </c>
      <c r="AF108" s="6" t="str">
        <f>IFERROR(__xludf.DUMMYFUNCTION("""COMPUTED_VALUE"""),"Dimitrovgrad")</f>
        <v>Dimitrovgrad</v>
      </c>
      <c r="AG108" s="6" t="str">
        <f>IFERROR(__xludf.DUMMYFUNCTION("""COMPUTED_VALUE"""),"Hr. S.D. Kirev")</f>
        <v>Hr. S.D. Kirev</v>
      </c>
      <c r="AH108" s="6" t="str">
        <f>IFERROR(__xludf.DUMMYFUNCTION("""COMPUTED_VALUE"""),"NL92INGB0653011288")</f>
        <v>NL92INGB0653011288</v>
      </c>
      <c r="AI108" s="6"/>
      <c r="AJ108" s="6" t="str">
        <f>IFERROR(__xludf.DUMMYFUNCTION("""COMPUTED_VALUE"""),"ID Kaart")</f>
        <v>ID Kaart</v>
      </c>
      <c r="AK108" s="6"/>
      <c r="AL108" s="6"/>
      <c r="AM108" s="6"/>
      <c r="AN108" s="6" t="str">
        <f>IFERROR(__xludf.DUMMYFUNCTION("""COMPUTED_VALUE"""),"Stanislav Danchev Kirev")</f>
        <v>Stanislav Danchev Kirev</v>
      </c>
      <c r="AO108" s="6"/>
    </row>
    <row r="109">
      <c r="A109" s="6" t="str">
        <f>IFERROR(__xludf.DUMMYFUNCTION("""COMPUTED_VALUE"""),"DamMar Bouw")</f>
        <v>DamMar Bouw</v>
      </c>
      <c r="B109" s="6" t="str">
        <f>IFERROR(__xludf.DUMMYFUNCTION("""COMPUTED_VALUE"""),"DamMar Bouw")</f>
        <v>DamMar Bouw</v>
      </c>
      <c r="C109" s="6">
        <f>IFERROR(__xludf.DUMMYFUNCTION("""COMPUTED_VALUE"""),1542.0)</f>
        <v>1542</v>
      </c>
      <c r="D109" s="7" t="str">
        <f>IFERROR(__xludf.DUMMYFUNCTION("""COMPUTED_VALUE"""),"Damian Marcinczyk")</f>
        <v>Damian Marcinczyk</v>
      </c>
      <c r="E109" s="7" t="str">
        <f>IFERROR(__xludf.DUMMYFUNCTION("""COMPUTED_VALUE"""),"SBI-code: 4120 - Algemene burgerlijke en utiliteitsbouw")</f>
        <v>SBI-code: 4120 - Algemene burgerlijke en utiliteitsbouw</v>
      </c>
      <c r="F109" s="7" t="str">
        <f>IFERROR(__xludf.DUMMYFUNCTION("""COMPUTED_VALUE"""),"0684973788")</f>
        <v>0684973788</v>
      </c>
      <c r="G109" s="6" t="str">
        <f>IFERROR(__xludf.DUMMYFUNCTION("""COMPUTED_VALUE"""),"damianmarcinczyk0@gmail.com")</f>
        <v>damianmarcinczyk0@gmail.com</v>
      </c>
      <c r="H109" s="6" t="str">
        <f>IFERROR(__xludf.DUMMYFUNCTION("""COMPUTED_VALUE"""),"Obrecht 46")</f>
        <v>Obrecht 46</v>
      </c>
      <c r="I109" s="6" t="str">
        <f>IFERROR(__xludf.DUMMYFUNCTION("""COMPUTED_VALUE"""),"2681JM")</f>
        <v>2681JM</v>
      </c>
      <c r="J109" s="6" t="str">
        <f>IFERROR(__xludf.DUMMYFUNCTION("""COMPUTED_VALUE"""),"s-Gravenhage")</f>
        <v>s-Gravenhage</v>
      </c>
      <c r="K109" s="6" t="str">
        <f>IFERROR(__xludf.DUMMYFUNCTION("""COMPUTED_VALUE"""),"Nederland")</f>
        <v>Nederland</v>
      </c>
      <c r="L109" s="6" t="str">
        <f>IFERROR(__xludf.DUMMYFUNCTION("""COMPUTED_VALUE"""),"Marcinczyk")</f>
        <v>Marcinczyk</v>
      </c>
      <c r="M109" s="8">
        <f>IFERROR(__xludf.DUMMYFUNCTION("""COMPUTED_VALUE"""),45180.0)</f>
        <v>45180</v>
      </c>
      <c r="N109" s="6" t="str">
        <f>IFERROR(__xludf.DUMMYFUNCTION("""COMPUTED_VALUE"""),"NL641602972B01")</f>
        <v>NL641602972B01</v>
      </c>
      <c r="O109" s="6">
        <f>IFERROR(__xludf.DUMMYFUNCTION("""COMPUTED_VALUE"""),9.1673801E7)</f>
        <v>91673801</v>
      </c>
      <c r="P109" s="6" t="str">
        <f>IFERROR(__xludf.DUMMYFUNCTION("""COMPUTED_VALUE"""),"NL42INGB0102659893")</f>
        <v>NL42INGB0102659893</v>
      </c>
      <c r="Q109" s="9">
        <f>IFERROR(__xludf.DUMMYFUNCTION("""COMPUTED_VALUE"""),45215.0)</f>
        <v>45215</v>
      </c>
      <c r="R109" s="6"/>
      <c r="S109" s="6" t="str">
        <f>IFERROR(__xludf.DUMMYFUNCTION("""COMPUTED_VALUE"""),"NL004907857B56")</f>
        <v>NL004907857B56</v>
      </c>
      <c r="T109" s="6">
        <f>IFERROR(__xludf.DUMMYFUNCTION("""COMPUTED_VALUE"""),6.41602972E8)</f>
        <v>641602972</v>
      </c>
      <c r="U109" s="7" t="str">
        <f>IFERROR(__xludf.DUMMYFUNCTION("""COMPUTED_VALUE"""),"Eenmanszaak")</f>
        <v>Eenmanszaak</v>
      </c>
      <c r="V109" s="7" t="str">
        <f>IFERROR(__xludf.DUMMYFUNCTION("""COMPUTED_VALUE"""),"000057337659")</f>
        <v>000057337659</v>
      </c>
      <c r="W109" s="6" t="str">
        <f>IFERROR(__xludf.DUMMYFUNCTION("""COMPUTED_VALUE"""),"ink.dammar.2288aa@zarabota.nl")</f>
        <v>ink.dammar.2288aa@zarabota.nl</v>
      </c>
      <c r="X109" s="6" t="str">
        <f>IFERROR(__xludf.DUMMYFUNCTION("""COMPUTED_VALUE"""),"ver.dammar.2288aa@zarabota.nl")</f>
        <v>ver.dammar.2288aa@zarabota.nl</v>
      </c>
      <c r="Y109" s="6" t="str">
        <f>IFERROR(__xludf.DUMMYFUNCTION("""COMPUTED_VALUE"""),"Hr.")</f>
        <v>Hr.</v>
      </c>
      <c r="Z109" s="6" t="str">
        <f>IFERROR(__xludf.DUMMYFUNCTION("""COMPUTED_VALUE"""),"Damian")</f>
        <v>Damian</v>
      </c>
      <c r="AA109" s="6" t="str">
        <f>IFERROR(__xludf.DUMMYFUNCTION("""COMPUTED_VALUE"""),"Marcinczyk")</f>
        <v>Marcinczyk</v>
      </c>
      <c r="AB109" s="6" t="str">
        <f>IFERROR(__xludf.DUMMYFUNCTION("""COMPUTED_VALUE"""),"D.")</f>
        <v>D.</v>
      </c>
      <c r="AC109" s="6">
        <f>IFERROR(__xludf.DUMMYFUNCTION("""COMPUTED_VALUE"""),6.41602972E8)</f>
        <v>641602972</v>
      </c>
      <c r="AD109" s="9">
        <f>IFERROR(__xludf.DUMMYFUNCTION("""COMPUTED_VALUE"""),37883.0)</f>
        <v>37883</v>
      </c>
      <c r="AE109" s="6" t="str">
        <f>IFERROR(__xludf.DUMMYFUNCTION("""COMPUTED_VALUE"""),"pl")</f>
        <v>pl</v>
      </c>
      <c r="AF109" s="6" t="str">
        <f>IFERROR(__xludf.DUMMYFUNCTION("""COMPUTED_VALUE"""),"Bialystok")</f>
        <v>Bialystok</v>
      </c>
      <c r="AG109" s="6" t="str">
        <f>IFERROR(__xludf.DUMMYFUNCTION("""COMPUTED_VALUE"""),"Hr. D. Marcinczyk")</f>
        <v>Hr. D. Marcinczyk</v>
      </c>
      <c r="AH109" s="6" t="str">
        <f>IFERROR(__xludf.DUMMYFUNCTION("""COMPUTED_VALUE"""),"NL39INGB0102659656")</f>
        <v>NL39INGB0102659656</v>
      </c>
      <c r="AI109" s="6"/>
      <c r="AJ109" s="6" t="str">
        <f>IFERROR(__xludf.DUMMYFUNCTION("""COMPUTED_VALUE"""),"ID Kaart")</f>
        <v>ID Kaart</v>
      </c>
      <c r="AK109" s="6" t="str">
        <f>IFERROR(__xludf.DUMMYFUNCTION("""COMPUTED_VALUE"""),"DCV293152")</f>
        <v>DCV293152</v>
      </c>
      <c r="AL109" s="9">
        <f>IFERROR(__xludf.DUMMYFUNCTION("""COMPUTED_VALUE"""),48063.0)</f>
        <v>48063</v>
      </c>
      <c r="AM109" s="6" t="str">
        <f>IFERROR(__xludf.DUMMYFUNCTION("""COMPUTED_VALUE"""),"Polen")</f>
        <v>Polen</v>
      </c>
      <c r="AN109" s="6" t="str">
        <f>IFERROR(__xludf.DUMMYFUNCTION("""COMPUTED_VALUE"""),"Damian Marcinczyk")</f>
        <v>Damian Marcinczyk</v>
      </c>
      <c r="AO109" s="6">
        <f>IFERROR(__xludf.DUMMYFUNCTION("""COMPUTED_VALUE"""),1542.0)</f>
        <v>1542</v>
      </c>
    </row>
    <row r="110">
      <c r="A110" s="6" t="str">
        <f>IFERROR(__xludf.DUMMYFUNCTION("""COMPUTED_VALUE"""),"Danchiv Bouw")</f>
        <v>Danchiv Bouw</v>
      </c>
      <c r="B110" s="6" t="str">
        <f>IFERROR(__xludf.DUMMYFUNCTION("""COMPUTED_VALUE"""),"Danchiv Bouw")</f>
        <v>Danchiv Bouw</v>
      </c>
      <c r="C110" s="6">
        <f>IFERROR(__xludf.DUMMYFUNCTION("""COMPUTED_VALUE"""),712.0)</f>
        <v>712</v>
      </c>
      <c r="D110" s="7" t="str">
        <f>IFERROR(__xludf.DUMMYFUNCTION("""COMPUTED_VALUE"""),"Vasile Danchiv")</f>
        <v>Vasile Danchiv</v>
      </c>
      <c r="E110" s="7" t="str">
        <f>IFERROR(__xludf.DUMMYFUNCTION("""COMPUTED_VALUE"""),"SBI-code: 4120 - Algemene burgerlijke en utiliteitsbouw")</f>
        <v>SBI-code: 4120 - Algemene burgerlijke en utiliteitsbouw</v>
      </c>
      <c r="F110" s="7" t="str">
        <f>IFERROR(__xludf.DUMMYFUNCTION("""COMPUTED_VALUE"""),"0642246140")</f>
        <v>0642246140</v>
      </c>
      <c r="G110" s="6" t="str">
        <f>IFERROR(__xludf.DUMMYFUNCTION("""COMPUTED_VALUE"""),"wesli120182@gmail.com")</f>
        <v>wesli120182@gmail.com</v>
      </c>
      <c r="H110" s="6" t="str">
        <f>IFERROR(__xludf.DUMMYFUNCTION("""COMPUTED_VALUE"""),"Hulshorststraat 4")</f>
        <v>Hulshorststraat 4</v>
      </c>
      <c r="I110" s="6" t="str">
        <f>IFERROR(__xludf.DUMMYFUNCTION("""COMPUTED_VALUE"""),"2573EK")</f>
        <v>2573EK</v>
      </c>
      <c r="J110" s="6" t="str">
        <f>IFERROR(__xludf.DUMMYFUNCTION("""COMPUTED_VALUE"""),"s-Gravenhage")</f>
        <v>s-Gravenhage</v>
      </c>
      <c r="K110" s="6" t="str">
        <f>IFERROR(__xludf.DUMMYFUNCTION("""COMPUTED_VALUE"""),"Nederland")</f>
        <v>Nederland</v>
      </c>
      <c r="L110" s="6" t="str">
        <f>IFERROR(__xludf.DUMMYFUNCTION("""COMPUTED_VALUE"""),"Данчив")</f>
        <v>Данчив</v>
      </c>
      <c r="M110" s="8">
        <f>IFERROR(__xludf.DUMMYFUNCTION("""COMPUTED_VALUE"""),43497.0)</f>
        <v>43497</v>
      </c>
      <c r="N110" s="6" t="str">
        <f>IFERROR(__xludf.DUMMYFUNCTION("""COMPUTED_VALUE"""),"NL549436789B01")</f>
        <v>NL549436789B01</v>
      </c>
      <c r="O110" s="6">
        <f>IFERROR(__xludf.DUMMYFUNCTION("""COMPUTED_VALUE"""),7.3844462E7)</f>
        <v>73844462</v>
      </c>
      <c r="P110" s="6" t="str">
        <f>IFERROR(__xludf.DUMMYFUNCTION("""COMPUTED_VALUE"""),"NL60INGB0008883364")</f>
        <v>NL60INGB0008883364</v>
      </c>
      <c r="Q110" s="9">
        <f>IFERROR(__xludf.DUMMYFUNCTION("""COMPUTED_VALUE"""),43497.0)</f>
        <v>43497</v>
      </c>
      <c r="R110" s="6"/>
      <c r="S110" s="6" t="str">
        <f>IFERROR(__xludf.DUMMYFUNCTION("""COMPUTED_VALUE"""),"NL002498951B31")</f>
        <v>NL002498951B31</v>
      </c>
      <c r="T110" s="6">
        <f>IFERROR(__xludf.DUMMYFUNCTION("""COMPUTED_VALUE"""),5.49436789E8)</f>
        <v>549436789</v>
      </c>
      <c r="U110" s="7" t="str">
        <f>IFERROR(__xludf.DUMMYFUNCTION("""COMPUTED_VALUE"""),"Eenmanszaak")</f>
        <v>Eenmanszaak</v>
      </c>
      <c r="V110" s="7" t="str">
        <f>IFERROR(__xludf.DUMMYFUNCTION("""COMPUTED_VALUE"""),"000041845358")</f>
        <v>000041845358</v>
      </c>
      <c r="W110" s="6" t="str">
        <f>IFERROR(__xludf.DUMMYFUNCTION("""COMPUTED_VALUE"""),"ink.danchivbouw.2288aa@zarabota.nl")</f>
        <v>ink.danchivbouw.2288aa@zarabota.nl</v>
      </c>
      <c r="X110" s="6" t="str">
        <f>IFERROR(__xludf.DUMMYFUNCTION("""COMPUTED_VALUE"""),"ver.danchivbouw.2288aa@zarabota.nl")</f>
        <v>ver.danchivbouw.2288aa@zarabota.nl</v>
      </c>
      <c r="Y110" s="6" t="str">
        <f>IFERROR(__xludf.DUMMYFUNCTION("""COMPUTED_VALUE"""),"Hr.")</f>
        <v>Hr.</v>
      </c>
      <c r="Z110" s="6" t="str">
        <f>IFERROR(__xludf.DUMMYFUNCTION("""COMPUTED_VALUE"""),"Vasile")</f>
        <v>Vasile</v>
      </c>
      <c r="AA110" s="6" t="str">
        <f>IFERROR(__xludf.DUMMYFUNCTION("""COMPUTED_VALUE"""),"Danchiv")</f>
        <v>Danchiv</v>
      </c>
      <c r="AB110" s="6" t="str">
        <f>IFERROR(__xludf.DUMMYFUNCTION("""COMPUTED_VALUE"""),"V.")</f>
        <v>V.</v>
      </c>
      <c r="AC110" s="6">
        <f>IFERROR(__xludf.DUMMYFUNCTION("""COMPUTED_VALUE"""),5.49436789E8)</f>
        <v>549436789</v>
      </c>
      <c r="AD110" s="9">
        <f>IFERROR(__xludf.DUMMYFUNCTION("""COMPUTED_VALUE"""),29963.0)</f>
        <v>29963</v>
      </c>
      <c r="AE110" s="6" t="str">
        <f>IFERROR(__xludf.DUMMYFUNCTION("""COMPUTED_VALUE"""),"ru")</f>
        <v>ru</v>
      </c>
      <c r="AF110" s="6" t="str">
        <f>IFERROR(__xludf.DUMMYFUNCTION("""COMPUTED_VALUE"""),"Suceava")</f>
        <v>Suceava</v>
      </c>
      <c r="AG110" s="6" t="str">
        <f>IFERROR(__xludf.DUMMYFUNCTION("""COMPUTED_VALUE"""),"Hr. V. Danchiv")</f>
        <v>Hr. V. Danchiv</v>
      </c>
      <c r="AH110" s="6"/>
      <c r="AI110" s="6"/>
      <c r="AJ110" s="6" t="str">
        <f>IFERROR(__xludf.DUMMYFUNCTION("""COMPUTED_VALUE"""),"Paspoort")</f>
        <v>Paspoort</v>
      </c>
      <c r="AK110" s="6">
        <f>IFERROR(__xludf.DUMMYFUNCTION("""COMPUTED_VALUE"""),5.6555664E7)</f>
        <v>56555664</v>
      </c>
      <c r="AL110" s="9">
        <f>IFERROR(__xludf.DUMMYFUNCTION("""COMPUTED_VALUE"""),47028.0)</f>
        <v>47028</v>
      </c>
      <c r="AM110" s="6"/>
      <c r="AN110" s="6" t="str">
        <f>IFERROR(__xludf.DUMMYFUNCTION("""COMPUTED_VALUE"""),"Vasile Danchiv")</f>
        <v>Vasile Danchiv</v>
      </c>
      <c r="AO110" s="6"/>
    </row>
    <row r="111">
      <c r="A111" s="6" t="str">
        <f>IFERROR(__xludf.DUMMYFUNCTION("""COMPUTED_VALUE"""),"Danev Services")</f>
        <v>Danev Services</v>
      </c>
      <c r="B111" s="6" t="str">
        <f>IFERROR(__xludf.DUMMYFUNCTION("""COMPUTED_VALUE"""),"Danev Services")</f>
        <v>Danev Services</v>
      </c>
      <c r="C111" s="6">
        <f>IFERROR(__xludf.DUMMYFUNCTION("""COMPUTED_VALUE"""),1598.0)</f>
        <v>1598</v>
      </c>
      <c r="D111" s="7" t="str">
        <f>IFERROR(__xludf.DUMMYFUNCTION("""COMPUTED_VALUE"""),"Nikolay Yordanov Danev")</f>
        <v>Nikolay Yordanov Danev</v>
      </c>
      <c r="E111" s="7" t="str">
        <f>IFERROR(__xludf.DUMMYFUNCTION("""COMPUTED_VALUE"""),"SBI-code: 4120 - Algemene burgerlijke en utiliteitsbouw")</f>
        <v>SBI-code: 4120 - Algemene burgerlijke en utiliteitsbouw</v>
      </c>
      <c r="F111" s="7" t="str">
        <f>IFERROR(__xludf.DUMMYFUNCTION("""COMPUTED_VALUE"""),"0610632903")</f>
        <v>0610632903</v>
      </c>
      <c r="G111" s="6" t="str">
        <f>IFERROR(__xludf.DUMMYFUNCTION("""COMPUTED_VALUE"""),"danev2013niki@gmail.com")</f>
        <v>danev2013niki@gmail.com</v>
      </c>
      <c r="H111" s="6" t="str">
        <f>IFERROR(__xludf.DUMMYFUNCTION("""COMPUTED_VALUE"""),"Boele van Hensbroekstraat 55")</f>
        <v>Boele van Hensbroekstraat 55</v>
      </c>
      <c r="I111" s="6" t="str">
        <f>IFERROR(__xludf.DUMMYFUNCTION("""COMPUTED_VALUE"""),"2522HK")</f>
        <v>2522HK</v>
      </c>
      <c r="J111" s="6" t="str">
        <f>IFERROR(__xludf.DUMMYFUNCTION("""COMPUTED_VALUE"""),"s-Gravenhage")</f>
        <v>s-Gravenhage</v>
      </c>
      <c r="K111" s="6" t="str">
        <f>IFERROR(__xludf.DUMMYFUNCTION("""COMPUTED_VALUE"""),"Nederland")</f>
        <v>Nederland</v>
      </c>
      <c r="L111" s="6" t="str">
        <f>IFERROR(__xludf.DUMMYFUNCTION("""COMPUTED_VALUE"""),"Данев")</f>
        <v>Данев</v>
      </c>
      <c r="M111" s="8">
        <f>IFERROR(__xludf.DUMMYFUNCTION("""COMPUTED_VALUE"""),45358.0)</f>
        <v>45358</v>
      </c>
      <c r="N111" s="6" t="str">
        <f>IFERROR(__xludf.DUMMYFUNCTION("""COMPUTED_VALUE"""),"NL511424851B01")</f>
        <v>NL511424851B01</v>
      </c>
      <c r="O111" s="6">
        <f>IFERROR(__xludf.DUMMYFUNCTION("""COMPUTED_VALUE"""),9.3184387E7)</f>
        <v>93184387</v>
      </c>
      <c r="P111" s="6" t="str">
        <f>IFERROR(__xludf.DUMMYFUNCTION("""COMPUTED_VALUE"""),"NL08INGB0105749567")</f>
        <v>NL08INGB0105749567</v>
      </c>
      <c r="Q111" s="9">
        <f>IFERROR(__xludf.DUMMYFUNCTION("""COMPUTED_VALUE"""),45358.0)</f>
        <v>45358</v>
      </c>
      <c r="R111" s="6"/>
      <c r="S111" s="6" t="str">
        <f>IFERROR(__xludf.DUMMYFUNCTION("""COMPUTED_VALUE"""),"NL005004355B15")</f>
        <v>NL005004355B15</v>
      </c>
      <c r="T111" s="6">
        <f>IFERROR(__xludf.DUMMYFUNCTION("""COMPUTED_VALUE"""),5.11424851E8)</f>
        <v>511424851</v>
      </c>
      <c r="U111" s="7" t="str">
        <f>IFERROR(__xludf.DUMMYFUNCTION("""COMPUTED_VALUE"""),"Eenmanszaak")</f>
        <v>Eenmanszaak</v>
      </c>
      <c r="V111" s="7" t="str">
        <f>IFERROR(__xludf.DUMMYFUNCTION("""COMPUTED_VALUE"""),"000058746102")</f>
        <v>000058746102</v>
      </c>
      <c r="W111" s="6" t="str">
        <f>IFERROR(__xludf.DUMMYFUNCTION("""COMPUTED_VALUE"""),"ink.danevservices.2288aa@zarabota.nl")</f>
        <v>ink.danevservices.2288aa@zarabota.nl</v>
      </c>
      <c r="X111" s="6" t="str">
        <f>IFERROR(__xludf.DUMMYFUNCTION("""COMPUTED_VALUE"""),"ver.danevservices.2288aa@zarabota.nl")</f>
        <v>ver.danevservices.2288aa@zarabota.nl</v>
      </c>
      <c r="Y111" s="6" t="str">
        <f>IFERROR(__xludf.DUMMYFUNCTION("""COMPUTED_VALUE"""),"Hr.")</f>
        <v>Hr.</v>
      </c>
      <c r="Z111" s="6" t="str">
        <f>IFERROR(__xludf.DUMMYFUNCTION("""COMPUTED_VALUE"""),"Nikolay Yordanov")</f>
        <v>Nikolay Yordanov</v>
      </c>
      <c r="AA111" s="6" t="str">
        <f>IFERROR(__xludf.DUMMYFUNCTION("""COMPUTED_VALUE"""),"Danev")</f>
        <v>Danev</v>
      </c>
      <c r="AB111" s="6" t="str">
        <f>IFERROR(__xludf.DUMMYFUNCTION("""COMPUTED_VALUE"""),"N.Y.")</f>
        <v>N.Y.</v>
      </c>
      <c r="AC111" s="6">
        <f>IFERROR(__xludf.DUMMYFUNCTION("""COMPUTED_VALUE"""),5.11424851E8)</f>
        <v>511424851</v>
      </c>
      <c r="AD111" s="9">
        <f>IFERROR(__xludf.DUMMYFUNCTION("""COMPUTED_VALUE"""),33074.0)</f>
        <v>33074</v>
      </c>
      <c r="AE111" s="6" t="str">
        <f>IFERROR(__xludf.DUMMYFUNCTION("""COMPUTED_VALUE"""),"bg")</f>
        <v>bg</v>
      </c>
      <c r="AF111" s="6" t="str">
        <f>IFERROR(__xludf.DUMMYFUNCTION("""COMPUTED_VALUE"""),"Plovdiv")</f>
        <v>Plovdiv</v>
      </c>
      <c r="AG111" s="6" t="str">
        <f>IFERROR(__xludf.DUMMYFUNCTION("""COMPUTED_VALUE"""),"Hr. N.Y. Danev")</f>
        <v>Hr. N.Y. Danev</v>
      </c>
      <c r="AH111" s="6" t="str">
        <f>IFERROR(__xludf.DUMMYFUNCTION("""COMPUTED_VALUE"""),"NL76INGB0667027106")</f>
        <v>NL76INGB0667027106</v>
      </c>
      <c r="AI111" s="9">
        <f>IFERROR(__xludf.DUMMYFUNCTION("""COMPUTED_VALUE"""),43613.0)</f>
        <v>43613</v>
      </c>
      <c r="AJ111" s="6" t="str">
        <f>IFERROR(__xludf.DUMMYFUNCTION("""COMPUTED_VALUE"""),"ID Kaart")</f>
        <v>ID Kaart</v>
      </c>
      <c r="AK111" s="6">
        <f>IFERROR(__xludf.DUMMYFUNCTION("""COMPUTED_VALUE"""),6.48583806E8)</f>
        <v>648583806</v>
      </c>
      <c r="AL111" s="9">
        <f>IFERROR(__xludf.DUMMYFUNCTION("""COMPUTED_VALUE"""),47436.0)</f>
        <v>47436</v>
      </c>
      <c r="AM111" s="6" t="str">
        <f>IFERROR(__xludf.DUMMYFUNCTION("""COMPUTED_VALUE"""),"Bulgarije")</f>
        <v>Bulgarije</v>
      </c>
      <c r="AN111" s="6" t="str">
        <f>IFERROR(__xludf.DUMMYFUNCTION("""COMPUTED_VALUE"""),"Nikolay Yordanov Danev")</f>
        <v>Nikolay Yordanov Danev</v>
      </c>
      <c r="AO111" s="6">
        <f>IFERROR(__xludf.DUMMYFUNCTION("""COMPUTED_VALUE"""),1598.0)</f>
        <v>1598</v>
      </c>
    </row>
    <row r="112">
      <c r="A112" s="6" t="str">
        <f>IFERROR(__xludf.DUMMYFUNCTION("""COMPUTED_VALUE"""),"DANGO Klussenbedrijf")</f>
        <v>DANGO Klussenbedrijf</v>
      </c>
      <c r="B112" s="6" t="str">
        <f>IFERROR(__xludf.DUMMYFUNCTION("""COMPUTED_VALUE"""),"DANGO Klussenbedrijf")</f>
        <v>DANGO Klussenbedrijf</v>
      </c>
      <c r="C112" s="6">
        <f>IFERROR(__xludf.DUMMYFUNCTION("""COMPUTED_VALUE"""),1437.0)</f>
        <v>1437</v>
      </c>
      <c r="D112" s="7" t="str">
        <f>IFERROR(__xludf.DUMMYFUNCTION("""COMPUTED_VALUE"""),"Aksidan Denisov Yusenagov")</f>
        <v>Aksidan Denisov Yusenagov</v>
      </c>
      <c r="E112" s="7" t="str">
        <f>IFERROR(__xludf.DUMMYFUNCTION("""COMPUTED_VALUE"""),"SBI-code: 4120 - Algemene burgerlijke en utiliteitsbouw")</f>
        <v>SBI-code: 4120 - Algemene burgerlijke en utiliteitsbouw</v>
      </c>
      <c r="F112" s="7" t="str">
        <f>IFERROR(__xludf.DUMMYFUNCTION("""COMPUTED_VALUE"""),"0645854672")</f>
        <v>0645854672</v>
      </c>
      <c r="G112" s="6" t="str">
        <f>IFERROR(__xludf.DUMMYFUNCTION("""COMPUTED_VALUE"""),"daniyusenagov@gmail.com")</f>
        <v>daniyusenagov@gmail.com</v>
      </c>
      <c r="H112" s="6" t="str">
        <f>IFERROR(__xludf.DUMMYFUNCTION("""COMPUTED_VALUE"""),"Miamihof 32")</f>
        <v>Miamihof 32</v>
      </c>
      <c r="I112" s="6" t="str">
        <f>IFERROR(__xludf.DUMMYFUNCTION("""COMPUTED_VALUE"""),"2548JB")</f>
        <v>2548JB</v>
      </c>
      <c r="J112" s="6" t="str">
        <f>IFERROR(__xludf.DUMMYFUNCTION("""COMPUTED_VALUE"""),"s-Gravenhage")</f>
        <v>s-Gravenhage</v>
      </c>
      <c r="K112" s="6" t="str">
        <f>IFERROR(__xludf.DUMMYFUNCTION("""COMPUTED_VALUE"""),"Nederland")</f>
        <v>Nederland</v>
      </c>
      <c r="L112" s="6" t="str">
        <f>IFERROR(__xludf.DUMMYFUNCTION("""COMPUTED_VALUE"""),"Юсенагов")</f>
        <v>Юсенагов</v>
      </c>
      <c r="M112" s="8">
        <f>IFERROR(__xludf.DUMMYFUNCTION("""COMPUTED_VALUE"""),44839.0)</f>
        <v>44839</v>
      </c>
      <c r="N112" s="6" t="str">
        <f>IFERROR(__xludf.DUMMYFUNCTION("""COMPUTED_VALUE"""),"NL499804211B01")</f>
        <v>NL499804211B01</v>
      </c>
      <c r="O112" s="6">
        <f>IFERROR(__xludf.DUMMYFUNCTION("""COMPUTED_VALUE"""),8.8351602E7)</f>
        <v>88351602</v>
      </c>
      <c r="P112" s="6" t="str">
        <f>IFERROR(__xludf.DUMMYFUNCTION("""COMPUTED_VALUE"""),"NL25INGB0718096487")</f>
        <v>NL25INGB0718096487</v>
      </c>
      <c r="Q112" s="9">
        <f>IFERROR(__xludf.DUMMYFUNCTION("""COMPUTED_VALUE"""),44839.0)</f>
        <v>44839</v>
      </c>
      <c r="R112" s="6"/>
      <c r="S112" s="6" t="str">
        <f>IFERROR(__xludf.DUMMYFUNCTION("""COMPUTED_VALUE"""),"NL004587131B64")</f>
        <v>NL004587131B64</v>
      </c>
      <c r="T112" s="6">
        <f>IFERROR(__xludf.DUMMYFUNCTION("""COMPUTED_VALUE"""),4.99804211E8)</f>
        <v>499804211</v>
      </c>
      <c r="U112" s="7" t="str">
        <f>IFERROR(__xludf.DUMMYFUNCTION("""COMPUTED_VALUE"""),"Eenmanszaak")</f>
        <v>Eenmanszaak</v>
      </c>
      <c r="V112" s="7" t="str">
        <f>IFERROR(__xludf.DUMMYFUNCTION("""COMPUTED_VALUE"""),"000054222710")</f>
        <v>000054222710</v>
      </c>
      <c r="W112" s="6" t="str">
        <f>IFERROR(__xludf.DUMMYFUNCTION("""COMPUTED_VALUE"""),"ink.dango.2288aa@zarabota.nl")</f>
        <v>ink.dango.2288aa@zarabota.nl</v>
      </c>
      <c r="X112" s="6" t="str">
        <f>IFERROR(__xludf.DUMMYFUNCTION("""COMPUTED_VALUE"""),"ver.dango.2288aa@zarabota.nl")</f>
        <v>ver.dango.2288aa@zarabota.nl</v>
      </c>
      <c r="Y112" s="6" t="str">
        <f>IFERROR(__xludf.DUMMYFUNCTION("""COMPUTED_VALUE"""),"Hr.")</f>
        <v>Hr.</v>
      </c>
      <c r="Z112" s="6" t="str">
        <f>IFERROR(__xludf.DUMMYFUNCTION("""COMPUTED_VALUE"""),"Aksidan Denisov")</f>
        <v>Aksidan Denisov</v>
      </c>
      <c r="AA112" s="6" t="str">
        <f>IFERROR(__xludf.DUMMYFUNCTION("""COMPUTED_VALUE"""),"Yusenagov")</f>
        <v>Yusenagov</v>
      </c>
      <c r="AB112" s="6" t="str">
        <f>IFERROR(__xludf.DUMMYFUNCTION("""COMPUTED_VALUE"""),"A.D.")</f>
        <v>A.D.</v>
      </c>
      <c r="AC112" s="6">
        <f>IFERROR(__xludf.DUMMYFUNCTION("""COMPUTED_VALUE"""),4.99804211E8)</f>
        <v>499804211</v>
      </c>
      <c r="AD112" s="9">
        <f>IFERROR(__xludf.DUMMYFUNCTION("""COMPUTED_VALUE"""),37374.0)</f>
        <v>37374</v>
      </c>
      <c r="AE112" s="6" t="str">
        <f>IFERROR(__xludf.DUMMYFUNCTION("""COMPUTED_VALUE"""),"bg")</f>
        <v>bg</v>
      </c>
      <c r="AF112" s="6"/>
      <c r="AG112" s="6" t="str">
        <f>IFERROR(__xludf.DUMMYFUNCTION("""COMPUTED_VALUE"""),"Hr. A.D. Yusenagov")</f>
        <v>Hr. A.D. Yusenagov</v>
      </c>
      <c r="AH112" s="6"/>
      <c r="AI112" s="6"/>
      <c r="AJ112" s="6" t="str">
        <f>IFERROR(__xludf.DUMMYFUNCTION("""COMPUTED_VALUE"""),"ID Kaart")</f>
        <v>ID Kaart</v>
      </c>
      <c r="AK112" s="6">
        <f>IFERROR(__xludf.DUMMYFUNCTION("""COMPUTED_VALUE"""),6.47486811E8)</f>
        <v>647486811</v>
      </c>
      <c r="AL112" s="9">
        <f>IFERROR(__xludf.DUMMYFUNCTION("""COMPUTED_VALUE"""),46831.0)</f>
        <v>46831</v>
      </c>
      <c r="AM112" s="6" t="str">
        <f>IFERROR(__xludf.DUMMYFUNCTION("""COMPUTED_VALUE"""),"Bulgarije")</f>
        <v>Bulgarije</v>
      </c>
      <c r="AN112" s="6" t="str">
        <f>IFERROR(__xludf.DUMMYFUNCTION("""COMPUTED_VALUE"""),"Aksidan Denisov Yusenagov")</f>
        <v>Aksidan Denisov Yusenagov</v>
      </c>
      <c r="AO112" s="6"/>
    </row>
    <row r="113">
      <c r="A113" s="6" t="str">
        <f>IFERROR(__xludf.DUMMYFUNCTION("""COMPUTED_VALUE"""),"Danial Angelov Klussenbedrijf VOF")</f>
        <v>Danial Angelov Klussenbedrijf VOF</v>
      </c>
      <c r="B113" s="6" t="str">
        <f>IFERROR(__xludf.DUMMYFUNCTION("""COMPUTED_VALUE"""),"Danial Angelov Klussenbedrijf VOF")</f>
        <v>Danial Angelov Klussenbedrijf VOF</v>
      </c>
      <c r="C113" s="6">
        <f>IFERROR(__xludf.DUMMYFUNCTION("""COMPUTED_VALUE"""),615.0)</f>
        <v>615</v>
      </c>
      <c r="D113" s="7" t="str">
        <f>IFERROR(__xludf.DUMMYFUNCTION("""COMPUTED_VALUE"""),"Danail Asenov Angelov")</f>
        <v>Danail Asenov Angelov</v>
      </c>
      <c r="E113" s="7" t="str">
        <f>IFERROR(__xludf.DUMMYFUNCTION("""COMPUTED_VALUE"""),"SBI-code: 4120 - Algemene burgerlijke en utiliteitsbouw")</f>
        <v>SBI-code: 4120 - Algemene burgerlijke en utiliteitsbouw</v>
      </c>
      <c r="F113" s="7" t="str">
        <f>IFERROR(__xludf.DUMMYFUNCTION("""COMPUTED_VALUE"""),"0681831251")</f>
        <v>0681831251</v>
      </c>
      <c r="G113" s="6" t="str">
        <f>IFERROR(__xludf.DUMMYFUNCTION("""COMPUTED_VALUE"""),"danail.angelow@abv.bg")</f>
        <v>danail.angelow@abv.bg</v>
      </c>
      <c r="H113" s="6" t="str">
        <f>IFERROR(__xludf.DUMMYFUNCTION("""COMPUTED_VALUE"""),"Fazantstraat 74-A")</f>
        <v>Fazantstraat 74-A</v>
      </c>
      <c r="I113" s="6" t="str">
        <f>IFERROR(__xludf.DUMMYFUNCTION("""COMPUTED_VALUE"""),"3083ZL")</f>
        <v>3083ZL</v>
      </c>
      <c r="J113" s="6" t="str">
        <f>IFERROR(__xludf.DUMMYFUNCTION("""COMPUTED_VALUE"""),"s-Gravenhage")</f>
        <v>s-Gravenhage</v>
      </c>
      <c r="K113" s="6" t="str">
        <f>IFERROR(__xludf.DUMMYFUNCTION("""COMPUTED_VALUE"""),"Nederland")</f>
        <v>Nederland</v>
      </c>
      <c r="L113" s="6" t="str">
        <f>IFERROR(__xludf.DUMMYFUNCTION("""COMPUTED_VALUE"""),"Ангелов")</f>
        <v>Ангелов</v>
      </c>
      <c r="M113" s="8">
        <f>IFERROR(__xludf.DUMMYFUNCTION("""COMPUTED_VALUE"""),42552.0)</f>
        <v>42552</v>
      </c>
      <c r="N113" s="6" t="str">
        <f>IFERROR(__xludf.DUMMYFUNCTION("""COMPUTED_VALUE"""),"NL859050610B01")</f>
        <v>NL859050610B01</v>
      </c>
      <c r="O113" s="6">
        <f>IFERROR(__xludf.DUMMYFUNCTION("""COMPUTED_VALUE"""),7.2261196E7)</f>
        <v>72261196</v>
      </c>
      <c r="P113" s="6" t="str">
        <f>IFERROR(__xludf.DUMMYFUNCTION("""COMPUTED_VALUE"""),"NL96INGB0004856343")</f>
        <v>NL96INGB0004856343</v>
      </c>
      <c r="Q113" s="9">
        <f>IFERROR(__xludf.DUMMYFUNCTION("""COMPUTED_VALUE"""),43312.0)</f>
        <v>43312</v>
      </c>
      <c r="R113" s="6"/>
      <c r="S113" s="6" t="str">
        <f>IFERROR(__xludf.DUMMYFUNCTION("""COMPUTED_VALUE"""),"NL859050610B01")</f>
        <v>NL859050610B01</v>
      </c>
      <c r="T113" s="6">
        <f>IFERROR(__xludf.DUMMYFUNCTION("""COMPUTED_VALUE"""),8.5905061E8)</f>
        <v>859050610</v>
      </c>
      <c r="U113" s="7" t="str">
        <f>IFERROR(__xludf.DUMMYFUNCTION("""COMPUTED_VALUE"""),"Eenmanszaak")</f>
        <v>Eenmanszaak</v>
      </c>
      <c r="V113" s="7" t="str">
        <f>IFERROR(__xludf.DUMMYFUNCTION("""COMPUTED_VALUE"""),"000023432349")</f>
        <v>000023432349</v>
      </c>
      <c r="W113" s="6" t="str">
        <f>IFERROR(__xludf.DUMMYFUNCTION("""COMPUTED_VALUE"""),"ink.danialangelovklussenbedrijfvof.2288aa@zarabota")</f>
        <v>ink.danialangelovklussenbedrijfvof.2288aa@zarabota</v>
      </c>
      <c r="X113" s="6" t="str">
        <f>IFERROR(__xludf.DUMMYFUNCTION("""COMPUTED_VALUE"""),"ver.danialangelovklussenbedrijfvof.2288aa@zarabota")</f>
        <v>ver.danialangelovklussenbedrijfvof.2288aa@zarabota</v>
      </c>
      <c r="Y113" s="6" t="str">
        <f>IFERROR(__xludf.DUMMYFUNCTION("""COMPUTED_VALUE"""),"Hr.")</f>
        <v>Hr.</v>
      </c>
      <c r="Z113" s="6" t="str">
        <f>IFERROR(__xludf.DUMMYFUNCTION("""COMPUTED_VALUE"""),"Danail Asenov")</f>
        <v>Danail Asenov</v>
      </c>
      <c r="AA113" s="6" t="str">
        <f>IFERROR(__xludf.DUMMYFUNCTION("""COMPUTED_VALUE"""),"Angelov")</f>
        <v>Angelov</v>
      </c>
      <c r="AB113" s="6" t="str">
        <f>IFERROR(__xludf.DUMMYFUNCTION("""COMPUTED_VALUE"""),"D.A.")</f>
        <v>D.A.</v>
      </c>
      <c r="AC113" s="6">
        <f>IFERROR(__xludf.DUMMYFUNCTION("""COMPUTED_VALUE"""),4.08874016E8)</f>
        <v>408874016</v>
      </c>
      <c r="AD113" s="9">
        <f>IFERROR(__xludf.DUMMYFUNCTION("""COMPUTED_VALUE"""),29851.0)</f>
        <v>29851</v>
      </c>
      <c r="AE113" s="6" t="str">
        <f>IFERROR(__xludf.DUMMYFUNCTION("""COMPUTED_VALUE"""),"bg")</f>
        <v>bg</v>
      </c>
      <c r="AF113" s="6" t="str">
        <f>IFERROR(__xludf.DUMMYFUNCTION("""COMPUTED_VALUE"""),"Montana")</f>
        <v>Montana</v>
      </c>
      <c r="AG113" s="6" t="str">
        <f>IFERROR(__xludf.DUMMYFUNCTION("""COMPUTED_VALUE"""),"Hr. D.A. Angelov")</f>
        <v>Hr. D.A. Angelov</v>
      </c>
      <c r="AH113" s="6"/>
      <c r="AI113" s="6"/>
      <c r="AJ113" s="6"/>
      <c r="AK113" s="6"/>
      <c r="AL113" s="6"/>
      <c r="AM113" s="6"/>
      <c r="AN113" s="6" t="str">
        <f>IFERROR(__xludf.DUMMYFUNCTION("""COMPUTED_VALUE"""),"Danail Asenov Angelov")</f>
        <v>Danail Asenov Angelov</v>
      </c>
      <c r="AO113" s="6"/>
    </row>
    <row r="114">
      <c r="A114" s="6" t="str">
        <f>IFERROR(__xludf.DUMMYFUNCTION("""COMPUTED_VALUE"""),"Danial Mitev VOF")</f>
        <v>Danial Mitev VOF</v>
      </c>
      <c r="B114" s="6" t="str">
        <f>IFERROR(__xludf.DUMMYFUNCTION("""COMPUTED_VALUE"""),"Danial Mitev VOF")</f>
        <v>Danial Mitev VOF</v>
      </c>
      <c r="C114" s="6">
        <f>IFERROR(__xludf.DUMMYFUNCTION("""COMPUTED_VALUE"""),1107.0)</f>
        <v>1107</v>
      </c>
      <c r="D114" s="7" t="str">
        <f>IFERROR(__xludf.DUMMYFUNCTION("""COMPUTED_VALUE"""),"Danail Asenov Mitev")</f>
        <v>Danail Asenov Mitev</v>
      </c>
      <c r="E114" s="7" t="str">
        <f>IFERROR(__xludf.DUMMYFUNCTION("""COMPUTED_VALUE"""),"SBI-code: 4120 - Algemene burgerlijke en utiliteitsbouw")</f>
        <v>SBI-code: 4120 - Algemene burgerlijke en utiliteitsbouw</v>
      </c>
      <c r="F114" s="7" t="str">
        <f>IFERROR(__xludf.DUMMYFUNCTION("""COMPUTED_VALUE"""),"0685101340")</f>
        <v>0685101340</v>
      </c>
      <c r="G114" s="6" t="str">
        <f>IFERROR(__xludf.DUMMYFUNCTION("""COMPUTED_VALUE"""),"danailmitev097@gmail.com")</f>
        <v>danailmitev097@gmail.com</v>
      </c>
      <c r="H114" s="6" t="str">
        <f>IFERROR(__xludf.DUMMYFUNCTION("""COMPUTED_VALUE"""),"Hulshorststraat 40")</f>
        <v>Hulshorststraat 40</v>
      </c>
      <c r="I114" s="6" t="str">
        <f>IFERROR(__xludf.DUMMYFUNCTION("""COMPUTED_VALUE"""),"2573EK")</f>
        <v>2573EK</v>
      </c>
      <c r="J114" s="6" t="str">
        <f>IFERROR(__xludf.DUMMYFUNCTION("""COMPUTED_VALUE"""),"s-Gravenhage")</f>
        <v>s-Gravenhage</v>
      </c>
      <c r="K114" s="6" t="str">
        <f>IFERROR(__xludf.DUMMYFUNCTION("""COMPUTED_VALUE"""),"Nederland")</f>
        <v>Nederland</v>
      </c>
      <c r="L114" s="6" t="str">
        <f>IFERROR(__xludf.DUMMYFUNCTION("""COMPUTED_VALUE"""),"Митев")</f>
        <v>Митев</v>
      </c>
      <c r="M114" s="8">
        <f>IFERROR(__xludf.DUMMYFUNCTION("""COMPUTED_VALUE"""),44197.0)</f>
        <v>44197</v>
      </c>
      <c r="N114" s="6" t="str">
        <f>IFERROR(__xludf.DUMMYFUNCTION("""COMPUTED_VALUE"""),"NL862320252B01")</f>
        <v>NL862320252B01</v>
      </c>
      <c r="O114" s="6">
        <f>IFERROR(__xludf.DUMMYFUNCTION("""COMPUTED_VALUE"""),8.2057095E7)</f>
        <v>82057095</v>
      </c>
      <c r="P114" s="6" t="str">
        <f>IFERROR(__xludf.DUMMYFUNCTION("""COMPUTED_VALUE"""),"NL21INGB0007437214")</f>
        <v>NL21INGB0007437214</v>
      </c>
      <c r="Q114" s="9">
        <f>IFERROR(__xludf.DUMMYFUNCTION("""COMPUTED_VALUE"""),44235.0)</f>
        <v>44235</v>
      </c>
      <c r="R114" s="6"/>
      <c r="S114" s="6" t="str">
        <f>IFERROR(__xludf.DUMMYFUNCTION("""COMPUTED_VALUE"""),"NL862320252B01")</f>
        <v>NL862320252B01</v>
      </c>
      <c r="T114" s="6">
        <f>IFERROR(__xludf.DUMMYFUNCTION("""COMPUTED_VALUE"""),8.62320252E8)</f>
        <v>862320252</v>
      </c>
      <c r="U114" s="7" t="str">
        <f>IFERROR(__xludf.DUMMYFUNCTION("""COMPUTED_VALUE"""),"Eenmanszaak")</f>
        <v>Eenmanszaak</v>
      </c>
      <c r="V114" s="7" t="str">
        <f>IFERROR(__xludf.DUMMYFUNCTION("""COMPUTED_VALUE"""),"000044758375")</f>
        <v>000044758375</v>
      </c>
      <c r="W114" s="6" t="str">
        <f>IFERROR(__xludf.DUMMYFUNCTION("""COMPUTED_VALUE"""),"ink.danialmitevvof.2288aa@zarabota.nl")</f>
        <v>ink.danialmitevvof.2288aa@zarabota.nl</v>
      </c>
      <c r="X114" s="6" t="str">
        <f>IFERROR(__xludf.DUMMYFUNCTION("""COMPUTED_VALUE"""),"ver.danialmitevvof.2288aa@zarabota.nl")</f>
        <v>ver.danialmitevvof.2288aa@zarabota.nl</v>
      </c>
      <c r="Y114" s="6" t="str">
        <f>IFERROR(__xludf.DUMMYFUNCTION("""COMPUTED_VALUE"""),"Hr.")</f>
        <v>Hr.</v>
      </c>
      <c r="Z114" s="6" t="str">
        <f>IFERROR(__xludf.DUMMYFUNCTION("""COMPUTED_VALUE"""),"Danail Asenov")</f>
        <v>Danail Asenov</v>
      </c>
      <c r="AA114" s="6" t="str">
        <f>IFERROR(__xludf.DUMMYFUNCTION("""COMPUTED_VALUE"""),"Mitev")</f>
        <v>Mitev</v>
      </c>
      <c r="AB114" s="6" t="str">
        <f>IFERROR(__xludf.DUMMYFUNCTION("""COMPUTED_VALUE"""),"D.A.")</f>
        <v>D.A.</v>
      </c>
      <c r="AC114" s="6">
        <f>IFERROR(__xludf.DUMMYFUNCTION("""COMPUTED_VALUE"""),3.3278401E8)</f>
        <v>332784010</v>
      </c>
      <c r="AD114" s="9">
        <f>IFERROR(__xludf.DUMMYFUNCTION("""COMPUTED_VALUE"""),29482.0)</f>
        <v>29482</v>
      </c>
      <c r="AE114" s="6" t="str">
        <f>IFERROR(__xludf.DUMMYFUNCTION("""COMPUTED_VALUE"""),"bg")</f>
        <v>bg</v>
      </c>
      <c r="AF114" s="6"/>
      <c r="AG114" s="6" t="str">
        <f>IFERROR(__xludf.DUMMYFUNCTION("""COMPUTED_VALUE"""),"Hr. D.A. Mitev")</f>
        <v>Hr. D.A. Mitev</v>
      </c>
      <c r="AH114" s="6" t="str">
        <f>IFERROR(__xludf.DUMMYFUNCTION("""COMPUTED_VALUE"""),"NL34INGB0703091298")</f>
        <v>NL34INGB0703091298</v>
      </c>
      <c r="AI114" s="6"/>
      <c r="AJ114" s="6"/>
      <c r="AK114" s="6"/>
      <c r="AL114" s="6"/>
      <c r="AM114" s="6"/>
      <c r="AN114" s="6" t="str">
        <f>IFERROR(__xludf.DUMMYFUNCTION("""COMPUTED_VALUE"""),"Danail Asenov Mitev")</f>
        <v>Danail Asenov Mitev</v>
      </c>
      <c r="AO114" s="6"/>
    </row>
    <row r="115">
      <c r="A115" s="6" t="str">
        <f>IFERROR(__xludf.DUMMYFUNCTION("""COMPUTED_VALUE"""),"Dar2020")</f>
        <v>Dar2020</v>
      </c>
      <c r="B115" s="6" t="str">
        <f>IFERROR(__xludf.DUMMYFUNCTION("""COMPUTED_VALUE"""),"Dar2020")</f>
        <v>Dar2020</v>
      </c>
      <c r="C115" s="6">
        <f>IFERROR(__xludf.DUMMYFUNCTION("""COMPUTED_VALUE"""),1010.0)</f>
        <v>1010</v>
      </c>
      <c r="D115" s="7" t="str">
        <f>IFERROR(__xludf.DUMMYFUNCTION("""COMPUTED_VALUE"""),"Rosen Atanasov Angelov")</f>
        <v>Rosen Atanasov Angelov</v>
      </c>
      <c r="E115" s="7" t="str">
        <f>IFERROR(__xludf.DUMMYFUNCTION("""COMPUTED_VALUE"""),"SBI-code: 4120 - Algemene burgerlijke en utiliteitsbouw")</f>
        <v>SBI-code: 4120 - Algemene burgerlijke en utiliteitsbouw</v>
      </c>
      <c r="F115" s="7" t="str">
        <f>IFERROR(__xludf.DUMMYFUNCTION("""COMPUTED_VALUE"""),"0687035118")</f>
        <v>0687035118</v>
      </c>
      <c r="G115" s="6" t="str">
        <f>IFERROR(__xludf.DUMMYFUNCTION("""COMPUTED_VALUE"""),"ekorenhold@gmail.com")</f>
        <v>ekorenhold@gmail.com</v>
      </c>
      <c r="H115" s="6" t="str">
        <f>IFERROR(__xludf.DUMMYFUNCTION("""COMPUTED_VALUE"""),"Huissensestraat 50+3")</f>
        <v>Huissensestraat 50+3</v>
      </c>
      <c r="I115" s="6" t="str">
        <f>IFERROR(__xludf.DUMMYFUNCTION("""COMPUTED_VALUE"""),"6833JA")</f>
        <v>6833JA</v>
      </c>
      <c r="J115" s="6" t="str">
        <f>IFERROR(__xludf.DUMMYFUNCTION("""COMPUTED_VALUE"""),"Arnhem")</f>
        <v>Arnhem</v>
      </c>
      <c r="K115" s="6" t="str">
        <f>IFERROR(__xludf.DUMMYFUNCTION("""COMPUTED_VALUE"""),"Nederland")</f>
        <v>Nederland</v>
      </c>
      <c r="L115" s="6" t="str">
        <f>IFERROR(__xludf.DUMMYFUNCTION("""COMPUTED_VALUE"""),"Ангелов")</f>
        <v>Ангелов</v>
      </c>
      <c r="M115" s="8">
        <f>IFERROR(__xludf.DUMMYFUNCTION("""COMPUTED_VALUE"""),43482.0)</f>
        <v>43482</v>
      </c>
      <c r="N115" s="6" t="str">
        <f>IFERROR(__xludf.DUMMYFUNCTION("""COMPUTED_VALUE"""),"NL587602004B02")</f>
        <v>NL587602004B02</v>
      </c>
      <c r="O115" s="6">
        <f>IFERROR(__xludf.DUMMYFUNCTION("""COMPUTED_VALUE"""),7.8609216E7)</f>
        <v>78609216</v>
      </c>
      <c r="P115" s="6" t="str">
        <f>IFERROR(__xludf.DUMMYFUNCTION("""COMPUTED_VALUE"""),"NL29KNAB0500072310")</f>
        <v>NL29KNAB0500072310</v>
      </c>
      <c r="Q115" s="9">
        <f>IFERROR(__xludf.DUMMYFUNCTION("""COMPUTED_VALUE"""),44029.0)</f>
        <v>44029</v>
      </c>
      <c r="R115" s="6"/>
      <c r="S115" s="6" t="str">
        <f>IFERROR(__xludf.DUMMYFUNCTION("""COMPUTED_VALUE"""),"NL003362865B34")</f>
        <v>NL003362865B34</v>
      </c>
      <c r="T115" s="6">
        <f>IFERROR(__xludf.DUMMYFUNCTION("""COMPUTED_VALUE"""),5.87602004E8)</f>
        <v>587602004</v>
      </c>
      <c r="U115" s="7" t="str">
        <f>IFERROR(__xludf.DUMMYFUNCTION("""COMPUTED_VALUE"""),"Eenmanszaak")</f>
        <v>Eenmanszaak</v>
      </c>
      <c r="V115" s="7" t="str">
        <f>IFERROR(__xludf.DUMMYFUNCTION("""COMPUTED_VALUE"""),"000046222367")</f>
        <v>000046222367</v>
      </c>
      <c r="W115" s="6" t="str">
        <f>IFERROR(__xludf.DUMMYFUNCTION("""COMPUTED_VALUE"""),"ink.dar2020.2288aa@zarabota.nl")</f>
        <v>ink.dar2020.2288aa@zarabota.nl</v>
      </c>
      <c r="X115" s="6" t="str">
        <f>IFERROR(__xludf.DUMMYFUNCTION("""COMPUTED_VALUE"""),"ver.dar2020.2288aa@zarabota.nl")</f>
        <v>ver.dar2020.2288aa@zarabota.nl</v>
      </c>
      <c r="Y115" s="6" t="str">
        <f>IFERROR(__xludf.DUMMYFUNCTION("""COMPUTED_VALUE"""),"Hr.")</f>
        <v>Hr.</v>
      </c>
      <c r="Z115" s="6" t="str">
        <f>IFERROR(__xludf.DUMMYFUNCTION("""COMPUTED_VALUE"""),"Rosen Atanasov")</f>
        <v>Rosen Atanasov</v>
      </c>
      <c r="AA115" s="6" t="str">
        <f>IFERROR(__xludf.DUMMYFUNCTION("""COMPUTED_VALUE"""),"Angelov")</f>
        <v>Angelov</v>
      </c>
      <c r="AB115" s="6" t="str">
        <f>IFERROR(__xludf.DUMMYFUNCTION("""COMPUTED_VALUE"""),"R.A.")</f>
        <v>R.A.</v>
      </c>
      <c r="AC115" s="6">
        <f>IFERROR(__xludf.DUMMYFUNCTION("""COMPUTED_VALUE"""),5.87602004E8)</f>
        <v>587602004</v>
      </c>
      <c r="AD115" s="9">
        <f>IFERROR(__xludf.DUMMYFUNCTION("""COMPUTED_VALUE"""),28715.0)</f>
        <v>28715</v>
      </c>
      <c r="AE115" s="6" t="str">
        <f>IFERROR(__xludf.DUMMYFUNCTION("""COMPUTED_VALUE"""),"bg")</f>
        <v>bg</v>
      </c>
      <c r="AF115" s="6" t="str">
        <f>IFERROR(__xludf.DUMMYFUNCTION("""COMPUTED_VALUE"""),"Shumen")</f>
        <v>Shumen</v>
      </c>
      <c r="AG115" s="6" t="str">
        <f>IFERROR(__xludf.DUMMYFUNCTION("""COMPUTED_VALUE"""),"Hr. R.A. Angelov")</f>
        <v>Hr. R.A. Angelov</v>
      </c>
      <c r="AH115" s="6" t="str">
        <f>IFERROR(__xludf.DUMMYFUNCTION("""COMPUTED_VALUE"""),"NL68SNSB0773232591")</f>
        <v>NL68SNSB0773232591</v>
      </c>
      <c r="AI115" s="6"/>
      <c r="AJ115" s="6"/>
      <c r="AK115" s="6"/>
      <c r="AL115" s="6"/>
      <c r="AM115" s="6" t="str">
        <f>IFERROR(__xludf.DUMMYFUNCTION("""COMPUTED_VALUE"""),"Bulgarije")</f>
        <v>Bulgarije</v>
      </c>
      <c r="AN115" s="6" t="str">
        <f>IFERROR(__xludf.DUMMYFUNCTION("""COMPUTED_VALUE"""),"Rosen Atanasov Angelov")</f>
        <v>Rosen Atanasov Angelov</v>
      </c>
      <c r="AO115" s="6">
        <f>IFERROR(__xludf.DUMMYFUNCTION("""COMPUTED_VALUE"""),1004.0)</f>
        <v>1004</v>
      </c>
    </row>
    <row r="116">
      <c r="A116" s="6" t="str">
        <f>IFERROR(__xludf.DUMMYFUNCTION("""COMPUTED_VALUE"""),"Darebiba-afbouw")</f>
        <v>Darebiba-afbouw</v>
      </c>
      <c r="B116" s="6" t="str">
        <f>IFERROR(__xludf.DUMMYFUNCTION("""COMPUTED_VALUE"""),"Darebiba-afbouw")</f>
        <v>Darebiba-afbouw</v>
      </c>
      <c r="C116" s="6">
        <f>IFERROR(__xludf.DUMMYFUNCTION("""COMPUTED_VALUE"""),1461.0)</f>
        <v>1461</v>
      </c>
      <c r="D116" s="7" t="str">
        <f>IFERROR(__xludf.DUMMYFUNCTION("""COMPUTED_VALUE"""),"Dalibor Sazdov")</f>
        <v>Dalibor Sazdov</v>
      </c>
      <c r="E116" s="7" t="str">
        <f>IFERROR(__xludf.DUMMYFUNCTION("""COMPUTED_VALUE"""),"SBI-code: 4120 - Algemene burgerlijke en utiliteitsbouw")</f>
        <v>SBI-code: 4120 - Algemene burgerlijke en utiliteitsbouw</v>
      </c>
      <c r="F116" s="7" t="str">
        <f>IFERROR(__xludf.DUMMYFUNCTION("""COMPUTED_VALUE"""),"0634544672")</f>
        <v>0634544672</v>
      </c>
      <c r="G116" s="6" t="str">
        <f>IFERROR(__xludf.DUMMYFUNCTION("""COMPUTED_VALUE"""),"daresazdov12@gmail.com")</f>
        <v>daresazdov12@gmail.com</v>
      </c>
      <c r="H116" s="6" t="str">
        <f>IFERROR(__xludf.DUMMYFUNCTION("""COMPUTED_VALUE"""),"Stellendamstraat 207")</f>
        <v>Stellendamstraat 207</v>
      </c>
      <c r="I116" s="6" t="str">
        <f>IFERROR(__xludf.DUMMYFUNCTION("""COMPUTED_VALUE"""),"2729LJ")</f>
        <v>2729LJ</v>
      </c>
      <c r="J116" s="6" t="str">
        <f>IFERROR(__xludf.DUMMYFUNCTION("""COMPUTED_VALUE"""),"s-Gravenhage")</f>
        <v>s-Gravenhage</v>
      </c>
      <c r="K116" s="6" t="str">
        <f>IFERROR(__xludf.DUMMYFUNCTION("""COMPUTED_VALUE"""),"Nederland")</f>
        <v>Nederland</v>
      </c>
      <c r="L116" s="6" t="str">
        <f>IFERROR(__xludf.DUMMYFUNCTION("""COMPUTED_VALUE"""),"Саздов")</f>
        <v>Саздов</v>
      </c>
      <c r="M116" s="8">
        <f>IFERROR(__xludf.DUMMYFUNCTION("""COMPUTED_VALUE"""),44927.0)</f>
        <v>44927</v>
      </c>
      <c r="N116" s="6" t="str">
        <f>IFERROR(__xludf.DUMMYFUNCTION("""COMPUTED_VALUE"""),"NL443657592B01")</f>
        <v>NL443657592B01</v>
      </c>
      <c r="O116" s="6">
        <f>IFERROR(__xludf.DUMMYFUNCTION("""COMPUTED_VALUE"""),8.8639673E7)</f>
        <v>88639673</v>
      </c>
      <c r="P116" s="6" t="str">
        <f>IFERROR(__xludf.DUMMYFUNCTION("""COMPUTED_VALUE"""),"NL95INGB0101554139")</f>
        <v>NL95INGB0101554139</v>
      </c>
      <c r="Q116" s="9">
        <f>IFERROR(__xludf.DUMMYFUNCTION("""COMPUTED_VALUE"""),44927.0)</f>
        <v>44927</v>
      </c>
      <c r="R116" s="6"/>
      <c r="S116" s="6" t="str">
        <f>IFERROR(__xludf.DUMMYFUNCTION("""COMPUTED_VALUE"""),"NL004636676B68")</f>
        <v>NL004636676B68</v>
      </c>
      <c r="T116" s="6">
        <f>IFERROR(__xludf.DUMMYFUNCTION("""COMPUTED_VALUE"""),4.43657592E8)</f>
        <v>443657592</v>
      </c>
      <c r="U116" s="7" t="str">
        <f>IFERROR(__xludf.DUMMYFUNCTION("""COMPUTED_VALUE"""),"Eenmanszaak")</f>
        <v>Eenmanszaak</v>
      </c>
      <c r="V116" s="7" t="str">
        <f>IFERROR(__xludf.DUMMYFUNCTION("""COMPUTED_VALUE"""),"000054488370")</f>
        <v>000054488370</v>
      </c>
      <c r="W116" s="6" t="str">
        <f>IFERROR(__xludf.DUMMYFUNCTION("""COMPUTED_VALUE"""),"ink.darebiba.2288aa@zarabota.nl")</f>
        <v>ink.darebiba.2288aa@zarabota.nl</v>
      </c>
      <c r="X116" s="6" t="str">
        <f>IFERROR(__xludf.DUMMYFUNCTION("""COMPUTED_VALUE"""),"ver.darebiba.2288aa@zarabota.nl")</f>
        <v>ver.darebiba.2288aa@zarabota.nl</v>
      </c>
      <c r="Y116" s="6" t="str">
        <f>IFERROR(__xludf.DUMMYFUNCTION("""COMPUTED_VALUE"""),"Hr.")</f>
        <v>Hr.</v>
      </c>
      <c r="Z116" s="6" t="str">
        <f>IFERROR(__xludf.DUMMYFUNCTION("""COMPUTED_VALUE"""),"Dalibor")</f>
        <v>Dalibor</v>
      </c>
      <c r="AA116" s="6" t="str">
        <f>IFERROR(__xludf.DUMMYFUNCTION("""COMPUTED_VALUE"""),"Sazdov")</f>
        <v>Sazdov</v>
      </c>
      <c r="AB116" s="6" t="str">
        <f>IFERROR(__xludf.DUMMYFUNCTION("""COMPUTED_VALUE"""),"D.")</f>
        <v>D.</v>
      </c>
      <c r="AC116" s="6">
        <f>IFERROR(__xludf.DUMMYFUNCTION("""COMPUTED_VALUE"""),4.43657592E8)</f>
        <v>443657592</v>
      </c>
      <c r="AD116" s="9">
        <f>IFERROR(__xludf.DUMMYFUNCTION("""COMPUTED_VALUE"""),36170.0)</f>
        <v>36170</v>
      </c>
      <c r="AE116" s="6" t="str">
        <f>IFERROR(__xludf.DUMMYFUNCTION("""COMPUTED_VALUE"""),"bg")</f>
        <v>bg</v>
      </c>
      <c r="AF116" s="6"/>
      <c r="AG116" s="6" t="str">
        <f>IFERROR(__xludf.DUMMYFUNCTION("""COMPUTED_VALUE"""),"Hr. D. Sazdov")</f>
        <v>Hr. D. Sazdov</v>
      </c>
      <c r="AH116" s="6"/>
      <c r="AI116" s="6"/>
      <c r="AJ116" s="6" t="str">
        <f>IFERROR(__xludf.DUMMYFUNCTION("""COMPUTED_VALUE"""),"ID Kaart")</f>
        <v>ID Kaart</v>
      </c>
      <c r="AK116" s="6">
        <f>IFERROR(__xludf.DUMMYFUNCTION("""COMPUTED_VALUE"""),6.52339539E8)</f>
        <v>652339539</v>
      </c>
      <c r="AL116" s="9">
        <f>IFERROR(__xludf.DUMMYFUNCTION("""COMPUTED_VALUE"""),48504.0)</f>
        <v>48504</v>
      </c>
      <c r="AM116" s="6" t="str">
        <f>IFERROR(__xludf.DUMMYFUNCTION("""COMPUTED_VALUE"""),"Noord-Macedonië")</f>
        <v>Noord-Macedonië</v>
      </c>
      <c r="AN116" s="6" t="str">
        <f>IFERROR(__xludf.DUMMYFUNCTION("""COMPUTED_VALUE"""),"Dalibor Sazdov")</f>
        <v>Dalibor Sazdov</v>
      </c>
      <c r="AO116" s="6"/>
    </row>
    <row r="117">
      <c r="A117" s="6" t="str">
        <f>IFERROR(__xludf.DUMMYFUNCTION("""COMPUTED_VALUE"""),"Dari 1521")</f>
        <v>Dari 1521</v>
      </c>
      <c r="B117" s="6" t="str">
        <f>IFERROR(__xludf.DUMMYFUNCTION("""COMPUTED_VALUE"""),"Dari 1521")</f>
        <v>Dari 1521</v>
      </c>
      <c r="C117" s="6">
        <f>IFERROR(__xludf.DUMMYFUNCTION("""COMPUTED_VALUE"""),1521.0)</f>
        <v>1521</v>
      </c>
      <c r="D117" s="7" t="str">
        <f>IFERROR(__xludf.DUMMYFUNCTION("""COMPUTED_VALUE"""),"Valentin Raykov Nikolov")</f>
        <v>Valentin Raykov Nikolov</v>
      </c>
      <c r="E117" s="7" t="str">
        <f>IFERROR(__xludf.DUMMYFUNCTION("""COMPUTED_VALUE"""),"SBI-code: 4120 - Algemene burgerlijke en utiliteitsbouw")</f>
        <v>SBI-code: 4120 - Algemene burgerlijke en utiliteitsbouw</v>
      </c>
      <c r="F117" s="7" t="str">
        <f>IFERROR(__xludf.DUMMYFUNCTION("""COMPUTED_VALUE"""),"0634663858")</f>
        <v>0634663858</v>
      </c>
      <c r="G117" s="6" t="str">
        <f>IFERROR(__xludf.DUMMYFUNCTION("""COMPUTED_VALUE"""),"valio.e36@gmail.com")</f>
        <v>valio.e36@gmail.com</v>
      </c>
      <c r="H117" s="6" t="str">
        <f>IFERROR(__xludf.DUMMYFUNCTION("""COMPUTED_VALUE"""),"Kempenaar 01 48")</f>
        <v>Kempenaar 01 48</v>
      </c>
      <c r="I117" s="6" t="str">
        <f>IFERROR(__xludf.DUMMYFUNCTION("""COMPUTED_VALUE"""),"8242BA")</f>
        <v>8242BA</v>
      </c>
      <c r="J117" s="6" t="str">
        <f>IFERROR(__xludf.DUMMYFUNCTION("""COMPUTED_VALUE"""),"Lelystad")</f>
        <v>Lelystad</v>
      </c>
      <c r="K117" s="6" t="str">
        <f>IFERROR(__xludf.DUMMYFUNCTION("""COMPUTED_VALUE"""),"Nederland")</f>
        <v>Nederland</v>
      </c>
      <c r="L117" s="6" t="str">
        <f>IFERROR(__xludf.DUMMYFUNCTION("""COMPUTED_VALUE"""),"Николов")</f>
        <v>Николов</v>
      </c>
      <c r="M117" s="8">
        <f>IFERROR(__xludf.DUMMYFUNCTION("""COMPUTED_VALUE"""),45108.0)</f>
        <v>45108</v>
      </c>
      <c r="N117" s="6" t="str">
        <f>IFERROR(__xludf.DUMMYFUNCTION("""COMPUTED_VALUE"""),"NL391947679B01")</f>
        <v>NL391947679B01</v>
      </c>
      <c r="O117" s="6">
        <f>IFERROR(__xludf.DUMMYFUNCTION("""COMPUTED_VALUE"""),9.0761065E7)</f>
        <v>90761065</v>
      </c>
      <c r="P117" s="6" t="str">
        <f>IFERROR(__xludf.DUMMYFUNCTION("""COMPUTED_VALUE"""),"NL32INGB0103761314")</f>
        <v>NL32INGB0103761314</v>
      </c>
      <c r="Q117" s="9">
        <f>IFERROR(__xludf.DUMMYFUNCTION("""COMPUTED_VALUE"""),45108.0)</f>
        <v>45108</v>
      </c>
      <c r="R117" s="6"/>
      <c r="S117" s="6" t="str">
        <f>IFERROR(__xludf.DUMMYFUNCTION("""COMPUTED_VALUE"""),"NL004840050B92")</f>
        <v>NL004840050B92</v>
      </c>
      <c r="T117" s="6">
        <f>IFERROR(__xludf.DUMMYFUNCTION("""COMPUTED_VALUE"""),3.91947679E8)</f>
        <v>391947679</v>
      </c>
      <c r="U117" s="7" t="str">
        <f>IFERROR(__xludf.DUMMYFUNCTION("""COMPUTED_VALUE"""),"Eenmanszaak")</f>
        <v>Eenmanszaak</v>
      </c>
      <c r="V117" s="7" t="str">
        <f>IFERROR(__xludf.DUMMYFUNCTION("""COMPUTED_VALUE"""),"000056464150")</f>
        <v>000056464150</v>
      </c>
      <c r="W117" s="6" t="str">
        <f>IFERROR(__xludf.DUMMYFUNCTION("""COMPUTED_VALUE"""),"ink.dari1521.2288aa@zarabota.nl")</f>
        <v>ink.dari1521.2288aa@zarabota.nl</v>
      </c>
      <c r="X117" s="6" t="str">
        <f>IFERROR(__xludf.DUMMYFUNCTION("""COMPUTED_VALUE"""),"ver.dari1521.2288aa@zarabota.nl")</f>
        <v>ver.dari1521.2288aa@zarabota.nl</v>
      </c>
      <c r="Y117" s="6" t="str">
        <f>IFERROR(__xludf.DUMMYFUNCTION("""COMPUTED_VALUE"""),"Hr.")</f>
        <v>Hr.</v>
      </c>
      <c r="Z117" s="6" t="str">
        <f>IFERROR(__xludf.DUMMYFUNCTION("""COMPUTED_VALUE"""),"Valentin Raykov")</f>
        <v>Valentin Raykov</v>
      </c>
      <c r="AA117" s="6" t="str">
        <f>IFERROR(__xludf.DUMMYFUNCTION("""COMPUTED_VALUE"""),"Nikolov")</f>
        <v>Nikolov</v>
      </c>
      <c r="AB117" s="6" t="str">
        <f>IFERROR(__xludf.DUMMYFUNCTION("""COMPUTED_VALUE"""),"V.R.")</f>
        <v>V.R.</v>
      </c>
      <c r="AC117" s="6">
        <f>IFERROR(__xludf.DUMMYFUNCTION("""COMPUTED_VALUE"""),3.91947679E8)</f>
        <v>391947679</v>
      </c>
      <c r="AD117" s="9">
        <f>IFERROR(__xludf.DUMMYFUNCTION("""COMPUTED_VALUE"""),34822.0)</f>
        <v>34822</v>
      </c>
      <c r="AE117" s="6" t="str">
        <f>IFERROR(__xludf.DUMMYFUNCTION("""COMPUTED_VALUE"""),"bg")</f>
        <v>bg</v>
      </c>
      <c r="AF117" s="6" t="str">
        <f>IFERROR(__xludf.DUMMYFUNCTION("""COMPUTED_VALUE"""),"Knezha")</f>
        <v>Knezha</v>
      </c>
      <c r="AG117" s="6" t="str">
        <f>IFERROR(__xludf.DUMMYFUNCTION("""COMPUTED_VALUE"""),"Hr. V.R. Nikolov")</f>
        <v>Hr. V.R. Nikolov</v>
      </c>
      <c r="AH117" s="6" t="str">
        <f>IFERROR(__xludf.DUMMYFUNCTION("""COMPUTED_VALUE"""),"NL81INGB0100361552")</f>
        <v>NL81INGB0100361552</v>
      </c>
      <c r="AI117" s="6"/>
      <c r="AJ117" s="6" t="str">
        <f>IFERROR(__xludf.DUMMYFUNCTION("""COMPUTED_VALUE"""),"ID Kaart")</f>
        <v>ID Kaart</v>
      </c>
      <c r="AK117" s="6">
        <f>IFERROR(__xludf.DUMMYFUNCTION("""COMPUTED_VALUE"""),6.46371657E8)</f>
        <v>646371657</v>
      </c>
      <c r="AL117" s="9">
        <f>IFERROR(__xludf.DUMMYFUNCTION("""COMPUTED_VALUE"""),46138.0)</f>
        <v>46138</v>
      </c>
      <c r="AM117" s="6" t="str">
        <f>IFERROR(__xludf.DUMMYFUNCTION("""COMPUTED_VALUE"""),"Bulgarije")</f>
        <v>Bulgarije</v>
      </c>
      <c r="AN117" s="6" t="str">
        <f>IFERROR(__xludf.DUMMYFUNCTION("""COMPUTED_VALUE"""),"Valentin Raykov Nikolov")</f>
        <v>Valentin Raykov Nikolov</v>
      </c>
      <c r="AO117" s="6">
        <f>IFERROR(__xludf.DUMMYFUNCTION("""COMPUTED_VALUE"""),1521.0)</f>
        <v>1521</v>
      </c>
    </row>
    <row r="118">
      <c r="A118" s="6" t="str">
        <f>IFERROR(__xludf.DUMMYFUNCTION("""COMPUTED_VALUE"""),"Darina 90 VOF (2)")</f>
        <v>Darina 90 VOF (2)</v>
      </c>
      <c r="B118" s="6" t="str">
        <f>IFERROR(__xludf.DUMMYFUNCTION("""COMPUTED_VALUE"""),"Darina 90 VOF (2)")</f>
        <v>Darina 90 VOF (2)</v>
      </c>
      <c r="C118" s="6">
        <f>IFERROR(__xludf.DUMMYFUNCTION("""COMPUTED_VALUE"""),853.0)</f>
        <v>853</v>
      </c>
      <c r="D118" s="7" t="str">
        <f>IFERROR(__xludf.DUMMYFUNCTION("""COMPUTED_VALUE"""),"Darinka Radoslavova Tatarova")</f>
        <v>Darinka Radoslavova Tatarova</v>
      </c>
      <c r="E118" s="7" t="str">
        <f>IFERROR(__xludf.DUMMYFUNCTION("""COMPUTED_VALUE"""),"SBI-code: 4120 - Algemene burgerlijke en utiliteitsbouw")</f>
        <v>SBI-code: 4120 - Algemene burgerlijke en utiliteitsbouw</v>
      </c>
      <c r="F118" s="7" t="str">
        <f>IFERROR(__xludf.DUMMYFUNCTION("""COMPUTED_VALUE"""),"0636501534")</f>
        <v>0636501534</v>
      </c>
      <c r="G118" s="6" t="str">
        <f>IFERROR(__xludf.DUMMYFUNCTION("""COMPUTED_VALUE"""),"darina.tatarova90@gmail.com")</f>
        <v>darina.tatarova90@gmail.com</v>
      </c>
      <c r="H118" s="6" t="str">
        <f>IFERROR(__xludf.DUMMYFUNCTION("""COMPUTED_VALUE"""),"Linnaeusstraat 9")</f>
        <v>Linnaeusstraat 9</v>
      </c>
      <c r="I118" s="6" t="str">
        <f>IFERROR(__xludf.DUMMYFUNCTION("""COMPUTED_VALUE"""),"2522GA")</f>
        <v>2522GA</v>
      </c>
      <c r="J118" s="6" t="str">
        <f>IFERROR(__xludf.DUMMYFUNCTION("""COMPUTED_VALUE"""),"s-Gravenhage")</f>
        <v>s-Gravenhage</v>
      </c>
      <c r="K118" s="6" t="str">
        <f>IFERROR(__xludf.DUMMYFUNCTION("""COMPUTED_VALUE"""),"Nederland")</f>
        <v>Nederland</v>
      </c>
      <c r="L118" s="6" t="str">
        <f>IFERROR(__xludf.DUMMYFUNCTION("""COMPUTED_VALUE"""),"Татарова")</f>
        <v>Татарова</v>
      </c>
      <c r="M118" s="8">
        <f>IFERROR(__xludf.DUMMYFUNCTION("""COMPUTED_VALUE"""),43709.0)</f>
        <v>43709</v>
      </c>
      <c r="N118" s="6" t="str">
        <f>IFERROR(__xludf.DUMMYFUNCTION("""COMPUTED_VALUE"""),"NL860380439B01")</f>
        <v>NL860380439B01</v>
      </c>
      <c r="O118" s="6">
        <f>IFERROR(__xludf.DUMMYFUNCTION("""COMPUTED_VALUE"""),7.5740192E7)</f>
        <v>75740192</v>
      </c>
      <c r="P118" s="6" t="str">
        <f>IFERROR(__xludf.DUMMYFUNCTION("""COMPUTED_VALUE"""),"NL60INGB0009616781")</f>
        <v>NL60INGB0009616781</v>
      </c>
      <c r="Q118" s="9">
        <f>IFERROR(__xludf.DUMMYFUNCTION("""COMPUTED_VALUE"""),43709.0)</f>
        <v>43709</v>
      </c>
      <c r="R118" s="6"/>
      <c r="S118" s="6" t="str">
        <f>IFERROR(__xludf.DUMMYFUNCTION("""COMPUTED_VALUE"""),"NL860380439B01")</f>
        <v>NL860380439B01</v>
      </c>
      <c r="T118" s="6">
        <f>IFERROR(__xludf.DUMMYFUNCTION("""COMPUTED_VALUE"""),8.60380439E8)</f>
        <v>860380439</v>
      </c>
      <c r="U118" s="7" t="str">
        <f>IFERROR(__xludf.DUMMYFUNCTION("""COMPUTED_VALUE"""),"Eenmanszaak")</f>
        <v>Eenmanszaak</v>
      </c>
      <c r="V118" s="7" t="str">
        <f>IFERROR(__xludf.DUMMYFUNCTION("""COMPUTED_VALUE"""),"000027053555")</f>
        <v>000027053555</v>
      </c>
      <c r="W118" s="6" t="str">
        <f>IFERROR(__xludf.DUMMYFUNCTION("""COMPUTED_VALUE"""),"ink.darina90vof2.2288aa@zarabota.nl")</f>
        <v>ink.darina90vof2.2288aa@zarabota.nl</v>
      </c>
      <c r="X118" s="6" t="str">
        <f>IFERROR(__xludf.DUMMYFUNCTION("""COMPUTED_VALUE"""),"ver.darina90vof2.2288aa@zarabota.nl")</f>
        <v>ver.darina90vof2.2288aa@zarabota.nl</v>
      </c>
      <c r="Y118" s="6" t="str">
        <f>IFERROR(__xludf.DUMMYFUNCTION("""COMPUTED_VALUE"""),"Mw.")</f>
        <v>Mw.</v>
      </c>
      <c r="Z118" s="6" t="str">
        <f>IFERROR(__xludf.DUMMYFUNCTION("""COMPUTED_VALUE"""),"Darinka Radoslavova")</f>
        <v>Darinka Radoslavova</v>
      </c>
      <c r="AA118" s="6" t="str">
        <f>IFERROR(__xludf.DUMMYFUNCTION("""COMPUTED_VALUE"""),"Tatarova")</f>
        <v>Tatarova</v>
      </c>
      <c r="AB118" s="6" t="str">
        <f>IFERROR(__xludf.DUMMYFUNCTION("""COMPUTED_VALUE"""),"D.R.")</f>
        <v>D.R.</v>
      </c>
      <c r="AC118" s="6">
        <f>IFERROR(__xludf.DUMMYFUNCTION("""COMPUTED_VALUE"""),2.64470849E8)</f>
        <v>264470849</v>
      </c>
      <c r="AD118" s="9">
        <f>IFERROR(__xludf.DUMMYFUNCTION("""COMPUTED_VALUE"""),26815.0)</f>
        <v>26815</v>
      </c>
      <c r="AE118" s="6" t="str">
        <f>IFERROR(__xludf.DUMMYFUNCTION("""COMPUTED_VALUE"""),"bg")</f>
        <v>bg</v>
      </c>
      <c r="AF118" s="6" t="str">
        <f>IFERROR(__xludf.DUMMYFUNCTION("""COMPUTED_VALUE"""),"Banite")</f>
        <v>Banite</v>
      </c>
      <c r="AG118" s="6" t="str">
        <f>IFERROR(__xludf.DUMMYFUNCTION("""COMPUTED_VALUE"""),"Mw. D.R. Tatarova")</f>
        <v>Mw. D.R. Tatarova</v>
      </c>
      <c r="AH118" s="6"/>
      <c r="AI118" s="6"/>
      <c r="AJ118" s="6"/>
      <c r="AK118" s="6"/>
      <c r="AL118" s="6"/>
      <c r="AM118" s="6"/>
      <c r="AN118" s="6" t="str">
        <f>IFERROR(__xludf.DUMMYFUNCTION("""COMPUTED_VALUE"""),"Darinka Radoslavova Tatarova")</f>
        <v>Darinka Radoslavova Tatarova</v>
      </c>
      <c r="AO118" s="6"/>
    </row>
    <row r="119">
      <c r="A119" s="6" t="str">
        <f>IFERROR(__xludf.DUMMYFUNCTION("""COMPUTED_VALUE"""),"Davex Bouw VOF")</f>
        <v>Davex Bouw VOF</v>
      </c>
      <c r="B119" s="6" t="str">
        <f>IFERROR(__xludf.DUMMYFUNCTION("""COMPUTED_VALUE"""),"Davex Bouw VOF")</f>
        <v>Davex Bouw VOF</v>
      </c>
      <c r="C119" s="6">
        <f>IFERROR(__xludf.DUMMYFUNCTION("""COMPUTED_VALUE"""),919.0)</f>
        <v>919</v>
      </c>
      <c r="D119" s="7" t="str">
        <f>IFERROR(__xludf.DUMMYFUNCTION("""COMPUTED_VALUE"""),"Ventsislav Asenov Hadzhiev")</f>
        <v>Ventsislav Asenov Hadzhiev</v>
      </c>
      <c r="E119" s="7" t="str">
        <f>IFERROR(__xludf.DUMMYFUNCTION("""COMPUTED_VALUE"""),"SBI-code: 4120 - Algemene burgerlijke en utiliteitsbouw")</f>
        <v>SBI-code: 4120 - Algemene burgerlijke en utiliteitsbouw</v>
      </c>
      <c r="F119" s="7" t="str">
        <f>IFERROR(__xludf.DUMMYFUNCTION("""COMPUTED_VALUE"""),"0684410813")</f>
        <v>0684410813</v>
      </c>
      <c r="G119" s="6" t="str">
        <f>IFERROR(__xludf.DUMMYFUNCTION("""COMPUTED_VALUE"""),"vencislav_hadjiev@abv.bg")</f>
        <v>vencislav_hadjiev@abv.bg</v>
      </c>
      <c r="H119" s="6" t="str">
        <f>IFERROR(__xludf.DUMMYFUNCTION("""COMPUTED_VALUE"""),"Beetsstraat 125")</f>
        <v>Beetsstraat 125</v>
      </c>
      <c r="I119" s="6" t="str">
        <f>IFERROR(__xludf.DUMMYFUNCTION("""COMPUTED_VALUE"""),"2524PL")</f>
        <v>2524PL</v>
      </c>
      <c r="J119" s="6" t="str">
        <f>IFERROR(__xludf.DUMMYFUNCTION("""COMPUTED_VALUE"""),"s-Gravenhage")</f>
        <v>s-Gravenhage</v>
      </c>
      <c r="K119" s="6" t="str">
        <f>IFERROR(__xludf.DUMMYFUNCTION("""COMPUTED_VALUE"""),"Nederland")</f>
        <v>Nederland</v>
      </c>
      <c r="L119" s="6" t="str">
        <f>IFERROR(__xludf.DUMMYFUNCTION("""COMPUTED_VALUE"""),"Хаджиев")</f>
        <v>Хаджиев</v>
      </c>
      <c r="M119" s="8">
        <f>IFERROR(__xludf.DUMMYFUNCTION("""COMPUTED_VALUE"""),45292.0)</f>
        <v>45292</v>
      </c>
      <c r="N119" s="6" t="str">
        <f>IFERROR(__xludf.DUMMYFUNCTION("""COMPUTED_VALUE"""),"NL866259624B01")</f>
        <v>NL866259624B01</v>
      </c>
      <c r="O119" s="6">
        <f>IFERROR(__xludf.DUMMYFUNCTION("""COMPUTED_VALUE"""),9.3049064E7)</f>
        <v>93049064</v>
      </c>
      <c r="P119" s="6" t="str">
        <f>IFERROR(__xludf.DUMMYFUNCTION("""COMPUTED_VALUE"""),"NL97INGB0006303856")</f>
        <v>NL97INGB0006303856</v>
      </c>
      <c r="Q119" s="9">
        <f>IFERROR(__xludf.DUMMYFUNCTION("""COMPUTED_VALUE"""),45292.0)</f>
        <v>45292</v>
      </c>
      <c r="R119" s="6"/>
      <c r="S119" s="6" t="str">
        <f>IFERROR(__xludf.DUMMYFUNCTION("""COMPUTED_VALUE"""),"NL866259624B01")</f>
        <v>NL866259624B01</v>
      </c>
      <c r="T119" s="6">
        <f>IFERROR(__xludf.DUMMYFUNCTION("""COMPUTED_VALUE"""),8.66259624E8)</f>
        <v>866259624</v>
      </c>
      <c r="U119" s="7" t="str">
        <f>IFERROR(__xludf.DUMMYFUNCTION("""COMPUTED_VALUE"""),"Eenmanszaak")</f>
        <v>Eenmanszaak</v>
      </c>
      <c r="V119" s="7" t="str">
        <f>IFERROR(__xludf.DUMMYFUNCTION("""COMPUTED_VALUE"""),"000044862237")</f>
        <v>000044862237</v>
      </c>
      <c r="W119" s="6" t="str">
        <f>IFERROR(__xludf.DUMMYFUNCTION("""COMPUTED_VALUE"""),"ink.davexbouw.2288aa@zarabota.nl")</f>
        <v>ink.davexbouw.2288aa@zarabota.nl</v>
      </c>
      <c r="X119" s="6" t="str">
        <f>IFERROR(__xludf.DUMMYFUNCTION("""COMPUTED_VALUE"""),"ver.davexbouw.2288aa@zarabota.nl")</f>
        <v>ver.davexbouw.2288aa@zarabota.nl</v>
      </c>
      <c r="Y119" s="6" t="str">
        <f>IFERROR(__xludf.DUMMYFUNCTION("""COMPUTED_VALUE"""),"Hr.")</f>
        <v>Hr.</v>
      </c>
      <c r="Z119" s="6" t="str">
        <f>IFERROR(__xludf.DUMMYFUNCTION("""COMPUTED_VALUE"""),"Ventsislav Asenov")</f>
        <v>Ventsislav Asenov</v>
      </c>
      <c r="AA119" s="6" t="str">
        <f>IFERROR(__xludf.DUMMYFUNCTION("""COMPUTED_VALUE"""),"Hadzhiev")</f>
        <v>Hadzhiev</v>
      </c>
      <c r="AB119" s="6" t="str">
        <f>IFERROR(__xludf.DUMMYFUNCTION("""COMPUTED_VALUE"""),"V.A.")</f>
        <v>V.A.</v>
      </c>
      <c r="AC119" s="6">
        <f>IFERROR(__xludf.DUMMYFUNCTION("""COMPUTED_VALUE"""),5.01935599E8)</f>
        <v>501935599</v>
      </c>
      <c r="AD119" s="9">
        <f>IFERROR(__xludf.DUMMYFUNCTION("""COMPUTED_VALUE"""),29162.0)</f>
        <v>29162</v>
      </c>
      <c r="AE119" s="6" t="str">
        <f>IFERROR(__xludf.DUMMYFUNCTION("""COMPUTED_VALUE"""),"bg")</f>
        <v>bg</v>
      </c>
      <c r="AF119" s="6" t="str">
        <f>IFERROR(__xludf.DUMMYFUNCTION("""COMPUTED_VALUE"""),"Ardino")</f>
        <v>Ardino</v>
      </c>
      <c r="AG119" s="6" t="str">
        <f>IFERROR(__xludf.DUMMYFUNCTION("""COMPUTED_VALUE"""),"Hr. V.A. Hadzhiev")</f>
        <v>Hr. V.A. Hadzhiev</v>
      </c>
      <c r="AH119" s="6" t="str">
        <f>IFERROR(__xludf.DUMMYFUNCTION("""COMPUTED_VALUE"""),"NL03INGB0797872108")</f>
        <v>NL03INGB0797872108</v>
      </c>
      <c r="AI119" s="9">
        <f>IFERROR(__xludf.DUMMYFUNCTION("""COMPUTED_VALUE"""),43840.0)</f>
        <v>43840</v>
      </c>
      <c r="AJ119" s="6" t="str">
        <f>IFERROR(__xludf.DUMMYFUNCTION("""COMPUTED_VALUE"""),"ID Kaart")</f>
        <v>ID Kaart</v>
      </c>
      <c r="AK119" s="6">
        <f>IFERROR(__xludf.DUMMYFUNCTION("""COMPUTED_VALUE"""),6.43040885E8)</f>
        <v>643040885</v>
      </c>
      <c r="AL119" s="9">
        <f>IFERROR(__xludf.DUMMYFUNCTION("""COMPUTED_VALUE"""),44496.0)</f>
        <v>44496</v>
      </c>
      <c r="AM119" s="6" t="str">
        <f>IFERROR(__xludf.DUMMYFUNCTION("""COMPUTED_VALUE"""),"Bulgarije")</f>
        <v>Bulgarije</v>
      </c>
      <c r="AN119" s="6" t="str">
        <f>IFERROR(__xludf.DUMMYFUNCTION("""COMPUTED_VALUE"""),"Ventsislav Asenov Hadzhiev")</f>
        <v>Ventsislav Asenov Hadzhiev</v>
      </c>
      <c r="AO119" s="6"/>
    </row>
    <row r="120">
      <c r="A120" s="6" t="str">
        <f>IFERROR(__xludf.DUMMYFUNCTION("""COMPUTED_VALUE"""),"DDG loodgieters en dak en zink werk")</f>
        <v>DDG loodgieters en dak en zink werk</v>
      </c>
      <c r="B120" s="6" t="str">
        <f>IFERROR(__xludf.DUMMYFUNCTION("""COMPUTED_VALUE"""),"DDG loodgieters en dak en zink werk")</f>
        <v>DDG loodgieters en dak en zink werk</v>
      </c>
      <c r="C120" s="6">
        <f>IFERROR(__xludf.DUMMYFUNCTION("""COMPUTED_VALUE"""),1777.0)</f>
        <v>1777</v>
      </c>
      <c r="D120" s="7" t="str">
        <f>IFERROR(__xludf.DUMMYFUNCTION("""COMPUTED_VALUE"""),"Dimitar Dimchev Gaberski")</f>
        <v>Dimitar Dimchev Gaberski</v>
      </c>
      <c r="E120" s="7" t="str">
        <f>IFERROR(__xludf.DUMMYFUNCTION("""COMPUTED_VALUE"""),"SBI-code: 4391 - Dakbedekken en bouwen van dakconstructies")</f>
        <v>SBI-code: 4391 - Dakbedekken en bouwen van dakconstructies</v>
      </c>
      <c r="F120" s="7" t="str">
        <f>IFERROR(__xludf.DUMMYFUNCTION("""COMPUTED_VALUE"""),"0646005808")</f>
        <v>0646005808</v>
      </c>
      <c r="G120" s="6" t="str">
        <f>IFERROR(__xludf.DUMMYFUNCTION("""COMPUTED_VALUE"""),"gaberski@gmail.com")</f>
        <v>gaberski@gmail.com</v>
      </c>
      <c r="H120" s="6" t="str">
        <f>IFERROR(__xludf.DUMMYFUNCTION("""COMPUTED_VALUE"""),"Valeriusplein 322")</f>
        <v>Valeriusplein 322</v>
      </c>
      <c r="I120" s="6" t="str">
        <f>IFERROR(__xludf.DUMMYFUNCTION("""COMPUTED_VALUE"""),"2402TV")</f>
        <v>2402TV</v>
      </c>
      <c r="J120" s="6" t="str">
        <f>IFERROR(__xludf.DUMMYFUNCTION("""COMPUTED_VALUE"""),"Alphen aan den Rijn")</f>
        <v>Alphen aan den Rijn</v>
      </c>
      <c r="K120" s="6" t="str">
        <f>IFERROR(__xludf.DUMMYFUNCTION("""COMPUTED_VALUE"""),"Nederland")</f>
        <v>Nederland</v>
      </c>
      <c r="L120" s="6" t="str">
        <f>IFERROR(__xludf.DUMMYFUNCTION("""COMPUTED_VALUE"""),"Габерски")</f>
        <v>Габерски</v>
      </c>
      <c r="M120" s="8">
        <f>IFERROR(__xludf.DUMMYFUNCTION("""COMPUTED_VALUE"""),45787.0)</f>
        <v>45787</v>
      </c>
      <c r="N120" s="6" t="str">
        <f>IFERROR(__xludf.DUMMYFUNCTION("""COMPUTED_VALUE"""),"NL245398983B01")</f>
        <v>NL245398983B01</v>
      </c>
      <c r="O120" s="6">
        <f>IFERROR(__xludf.DUMMYFUNCTION("""COMPUTED_VALUE"""),9.7303755E7)</f>
        <v>97303755</v>
      </c>
      <c r="P120" s="6" t="str">
        <f>IFERROR(__xludf.DUMMYFUNCTION("""COMPUTED_VALUE"""),"NL12RABO0125623860")</f>
        <v>NL12RABO0125623860</v>
      </c>
      <c r="Q120" s="9">
        <f>IFERROR(__xludf.DUMMYFUNCTION("""COMPUTED_VALUE"""),45787.0)</f>
        <v>45787</v>
      </c>
      <c r="R120" s="6"/>
      <c r="S120" s="6" t="str">
        <f>IFERROR(__xludf.DUMMYFUNCTION("""COMPUTED_VALUE"""),"NL005262031B07")</f>
        <v>NL005262031B07</v>
      </c>
      <c r="T120" s="6">
        <f>IFERROR(__xludf.DUMMYFUNCTION("""COMPUTED_VALUE"""),2.45398983E8)</f>
        <v>245398983</v>
      </c>
      <c r="U120" s="7" t="str">
        <f>IFERROR(__xludf.DUMMYFUNCTION("""COMPUTED_VALUE"""),"Eenmanszaak")</f>
        <v>Eenmanszaak</v>
      </c>
      <c r="V120" s="7" t="str">
        <f>IFERROR(__xludf.DUMMYFUNCTION("""COMPUTED_VALUE"""),"000062555340")</f>
        <v>000062555340</v>
      </c>
      <c r="W120" s="6" t="str">
        <f>IFERROR(__xludf.DUMMYFUNCTION("""COMPUTED_VALUE"""),"ink.ddglood.2288aa@zarabota.nl")</f>
        <v>ink.ddglood.2288aa@zarabota.nl</v>
      </c>
      <c r="X120" s="6" t="str">
        <f>IFERROR(__xludf.DUMMYFUNCTION("""COMPUTED_VALUE"""),"ver.ddglood.2288aa@zarabota.nl")</f>
        <v>ver.ddglood.2288aa@zarabota.nl</v>
      </c>
      <c r="Y120" s="6" t="str">
        <f>IFERROR(__xludf.DUMMYFUNCTION("""COMPUTED_VALUE"""),"Hr.")</f>
        <v>Hr.</v>
      </c>
      <c r="Z120" s="6" t="str">
        <f>IFERROR(__xludf.DUMMYFUNCTION("""COMPUTED_VALUE"""),"Dimitar Dimchev")</f>
        <v>Dimitar Dimchev</v>
      </c>
      <c r="AA120" s="6" t="str">
        <f>IFERROR(__xludf.DUMMYFUNCTION("""COMPUTED_VALUE"""),"Gaberski")</f>
        <v>Gaberski</v>
      </c>
      <c r="AB120" s="6" t="str">
        <f>IFERROR(__xludf.DUMMYFUNCTION("""COMPUTED_VALUE"""),"D.D.")</f>
        <v>D.D.</v>
      </c>
      <c r="AC120" s="6">
        <f>IFERROR(__xludf.DUMMYFUNCTION("""COMPUTED_VALUE"""),2.45398983E8)</f>
        <v>245398983</v>
      </c>
      <c r="AD120" s="9">
        <f>IFERROR(__xludf.DUMMYFUNCTION("""COMPUTED_VALUE"""),26245.0)</f>
        <v>26245</v>
      </c>
      <c r="AE120" s="6" t="str">
        <f>IFERROR(__xludf.DUMMYFUNCTION("""COMPUTED_VALUE"""),"bg")</f>
        <v>bg</v>
      </c>
      <c r="AF120" s="6" t="str">
        <f>IFERROR(__xludf.DUMMYFUNCTION("""COMPUTED_VALUE"""),"Blagoevgrad")</f>
        <v>Blagoevgrad</v>
      </c>
      <c r="AG120" s="6" t="str">
        <f>IFERROR(__xludf.DUMMYFUNCTION("""COMPUTED_VALUE"""),"Hr. D.D. Gaberski")</f>
        <v>Hr. D.D. Gaberski</v>
      </c>
      <c r="AH120" s="6"/>
      <c r="AI120" s="6"/>
      <c r="AJ120" s="6" t="str">
        <f>IFERROR(__xludf.DUMMYFUNCTION("""COMPUTED_VALUE"""),"ID Kaart")</f>
        <v>ID Kaart</v>
      </c>
      <c r="AK120" s="6" t="str">
        <f>IFERROR(__xludf.DUMMYFUNCTION("""COMPUTED_VALUE"""),"IT48BFL79")</f>
        <v>IT48BFL79</v>
      </c>
      <c r="AL120" s="9">
        <f>IFERROR(__xludf.DUMMYFUNCTION("""COMPUTED_VALUE"""),49581.0)</f>
        <v>49581</v>
      </c>
      <c r="AM120" s="6" t="str">
        <f>IFERROR(__xludf.DUMMYFUNCTION("""COMPUTED_VALUE"""),"Bulgarije")</f>
        <v>Bulgarije</v>
      </c>
      <c r="AN120" s="6" t="str">
        <f>IFERROR(__xludf.DUMMYFUNCTION("""COMPUTED_VALUE"""),"Dimitar Dimchev Gaberski")</f>
        <v>Dimitar Dimchev Gaberski</v>
      </c>
      <c r="AO120" s="6">
        <f>IFERROR(__xludf.DUMMYFUNCTION("""COMPUTED_VALUE"""),1777.0)</f>
        <v>1777</v>
      </c>
    </row>
    <row r="121">
      <c r="A121" s="6" t="str">
        <f>IFERROR(__xludf.DUMMYFUNCTION("""COMPUTED_VALUE"""),"De Huisheld")</f>
        <v>De Huisheld</v>
      </c>
      <c r="B121" s="6" t="str">
        <f>IFERROR(__xludf.DUMMYFUNCTION("""COMPUTED_VALUE"""),"De Huisheld")</f>
        <v>De Huisheld</v>
      </c>
      <c r="C121" s="6">
        <f>IFERROR(__xludf.DUMMYFUNCTION("""COMPUTED_VALUE"""),1706.0)</f>
        <v>1706</v>
      </c>
      <c r="D121" s="7" t="str">
        <f>IFERROR(__xludf.DUMMYFUNCTION("""COMPUTED_VALUE"""),"Roman Mychailovitsj Kmet")</f>
        <v>Roman Mychailovitsj Kmet</v>
      </c>
      <c r="E121" s="7" t="str">
        <f>IFERROR(__xludf.DUMMYFUNCTION("""COMPUTED_VALUE"""),"SBI-code: 4120 - Algemene burgerlijke en utiliteitsbouw")</f>
        <v>SBI-code: 4120 - Algemene burgerlijke en utiliteitsbouw</v>
      </c>
      <c r="F121" s="7" t="str">
        <f>IFERROR(__xludf.DUMMYFUNCTION("""COMPUTED_VALUE"""),"0686434647")</f>
        <v>0686434647</v>
      </c>
      <c r="G121" s="6" t="str">
        <f>IFERROR(__xludf.DUMMYFUNCTION("""COMPUTED_VALUE"""),"kmetroman1979@gmail.com")</f>
        <v>kmetroman1979@gmail.com</v>
      </c>
      <c r="H121" s="6" t="str">
        <f>IFERROR(__xludf.DUMMYFUNCTION("""COMPUTED_VALUE"""),"Merantihout 14")</f>
        <v>Merantihout 14</v>
      </c>
      <c r="I121" s="6" t="str">
        <f>IFERROR(__xludf.DUMMYFUNCTION("""COMPUTED_VALUE"""),"3991MW")</f>
        <v>3991MW</v>
      </c>
      <c r="J121" s="6" t="str">
        <f>IFERROR(__xludf.DUMMYFUNCTION("""COMPUTED_VALUE"""),"Houten")</f>
        <v>Houten</v>
      </c>
      <c r="K121" s="6" t="str">
        <f>IFERROR(__xludf.DUMMYFUNCTION("""COMPUTED_VALUE"""),"Nederland")</f>
        <v>Nederland</v>
      </c>
      <c r="L121" s="6" t="str">
        <f>IFERROR(__xludf.DUMMYFUNCTION("""COMPUTED_VALUE"""),"Кметь")</f>
        <v>Кметь</v>
      </c>
      <c r="M121" s="8">
        <f>IFERROR(__xludf.DUMMYFUNCTION("""COMPUTED_VALUE"""),45762.0)</f>
        <v>45762</v>
      </c>
      <c r="N121" s="6" t="str">
        <f>IFERROR(__xludf.DUMMYFUNCTION("""COMPUTED_VALUE"""),"NL474129330B01")</f>
        <v>NL474129330B01</v>
      </c>
      <c r="O121" s="6">
        <f>IFERROR(__xludf.DUMMYFUNCTION("""COMPUTED_VALUE"""),9.7017159E7)</f>
        <v>97017159</v>
      </c>
      <c r="P121" s="6" t="str">
        <f>IFERROR(__xludf.DUMMYFUNCTION("""COMPUTED_VALUE"""),"NL40INGB0111151309")</f>
        <v>NL40INGB0111151309</v>
      </c>
      <c r="Q121" s="9">
        <f>IFERROR(__xludf.DUMMYFUNCTION("""COMPUTED_VALUE"""),45762.0)</f>
        <v>45762</v>
      </c>
      <c r="R121" s="6"/>
      <c r="S121" s="6" t="str">
        <f>IFERROR(__xludf.DUMMYFUNCTION("""COMPUTED_VALUE"""),"NL005243988B16")</f>
        <v>NL005243988B16</v>
      </c>
      <c r="T121" s="6">
        <f>IFERROR(__xludf.DUMMYFUNCTION("""COMPUTED_VALUE"""),4.7412933E8)</f>
        <v>474129330</v>
      </c>
      <c r="U121" s="7" t="str">
        <f>IFERROR(__xludf.DUMMYFUNCTION("""COMPUTED_VALUE"""),"Eenmanszaak")</f>
        <v>Eenmanszaak</v>
      </c>
      <c r="V121" s="7" t="str">
        <f>IFERROR(__xludf.DUMMYFUNCTION("""COMPUTED_VALUE"""),"000062288938")</f>
        <v>000062288938</v>
      </c>
      <c r="W121" s="6" t="str">
        <f>IFERROR(__xludf.DUMMYFUNCTION("""COMPUTED_VALUE"""),"ink.huisheld.2288aa@zarabota.nl")</f>
        <v>ink.huisheld.2288aa@zarabota.nl</v>
      </c>
      <c r="X121" s="6" t="str">
        <f>IFERROR(__xludf.DUMMYFUNCTION("""COMPUTED_VALUE"""),"ver.huisheld.2288aa@zarabota.nl")</f>
        <v>ver.huisheld.2288aa@zarabota.nl</v>
      </c>
      <c r="Y121" s="6" t="str">
        <f>IFERROR(__xludf.DUMMYFUNCTION("""COMPUTED_VALUE"""),"Hr.")</f>
        <v>Hr.</v>
      </c>
      <c r="Z121" s="6" t="str">
        <f>IFERROR(__xludf.DUMMYFUNCTION("""COMPUTED_VALUE"""),"Roman Mychailovitsj")</f>
        <v>Roman Mychailovitsj</v>
      </c>
      <c r="AA121" s="6" t="str">
        <f>IFERROR(__xludf.DUMMYFUNCTION("""COMPUTED_VALUE"""),"Kmet")</f>
        <v>Kmet</v>
      </c>
      <c r="AB121" s="6" t="str">
        <f>IFERROR(__xludf.DUMMYFUNCTION("""COMPUTED_VALUE"""),"R.M.")</f>
        <v>R.M.</v>
      </c>
      <c r="AC121" s="6">
        <f>IFERROR(__xludf.DUMMYFUNCTION("""COMPUTED_VALUE"""),4.7412933E8)</f>
        <v>474129330</v>
      </c>
      <c r="AD121" s="9">
        <f>IFERROR(__xludf.DUMMYFUNCTION("""COMPUTED_VALUE"""),29045.0)</f>
        <v>29045</v>
      </c>
      <c r="AE121" s="6" t="str">
        <f>IFERROR(__xludf.DUMMYFUNCTION("""COMPUTED_VALUE"""),"bg")</f>
        <v>bg</v>
      </c>
      <c r="AF121" s="6" t="str">
        <f>IFERROR(__xludf.DUMMYFUNCTION("""COMPUTED_VALUE"""),"Zboriv")</f>
        <v>Zboriv</v>
      </c>
      <c r="AG121" s="6" t="str">
        <f>IFERROR(__xludf.DUMMYFUNCTION("""COMPUTED_VALUE"""),"Hr. R.M. Kmet")</f>
        <v>Hr. R.M. Kmet</v>
      </c>
      <c r="AH121" s="6" t="str">
        <f>IFERROR(__xludf.DUMMYFUNCTION("""COMPUTED_VALUE"""),"NL82INGB0391290045")</f>
        <v>NL82INGB0391290045</v>
      </c>
      <c r="AI121" s="6"/>
      <c r="AJ121" s="6" t="str">
        <f>IFERROR(__xludf.DUMMYFUNCTION("""COMPUTED_VALUE"""),"Paspoort")</f>
        <v>Paspoort</v>
      </c>
      <c r="AK121" s="6" t="str">
        <f>IFERROR(__xludf.DUMMYFUNCTION("""COMPUTED_VALUE"""),"GH818188")</f>
        <v>GH818188</v>
      </c>
      <c r="AL121" s="9">
        <f>IFERROR(__xludf.DUMMYFUNCTION("""COMPUTED_VALUE"""),49007.0)</f>
        <v>49007</v>
      </c>
      <c r="AM121" s="6" t="str">
        <f>IFERROR(__xludf.DUMMYFUNCTION("""COMPUTED_VALUE"""),"Sovjet-Unie")</f>
        <v>Sovjet-Unie</v>
      </c>
      <c r="AN121" s="6" t="str">
        <f>IFERROR(__xludf.DUMMYFUNCTION("""COMPUTED_VALUE"""),"Roman Mychailovitsj Kmet")</f>
        <v>Roman Mychailovitsj Kmet</v>
      </c>
      <c r="AO121" s="6">
        <f>IFERROR(__xludf.DUMMYFUNCTION("""COMPUTED_VALUE"""),1706.0)</f>
        <v>1706</v>
      </c>
    </row>
    <row r="122">
      <c r="A122" s="6" t="str">
        <f>IFERROR(__xludf.DUMMYFUNCTION("""COMPUTED_VALUE"""),"Dedko M&amp;M")</f>
        <v>Dedko M&amp;M</v>
      </c>
      <c r="B122" s="6" t="str">
        <f>IFERROR(__xludf.DUMMYFUNCTION("""COMPUTED_VALUE"""),"Dedko M&amp;M")</f>
        <v>Dedko M&amp;M</v>
      </c>
      <c r="C122" s="6">
        <f>IFERROR(__xludf.DUMMYFUNCTION("""COMPUTED_VALUE"""),423.0)</f>
        <v>423</v>
      </c>
      <c r="D122" s="7" t="str">
        <f>IFERROR(__xludf.DUMMYFUNCTION("""COMPUTED_VALUE"""),"Ivaylo Vladimirov Yanev")</f>
        <v>Ivaylo Vladimirov Yanev</v>
      </c>
      <c r="E122" s="7" t="str">
        <f>IFERROR(__xludf.DUMMYFUNCTION("""COMPUTED_VALUE"""),"SBI-code: 4120 - Algemene burgerlijke en utiliteitsbouw")</f>
        <v>SBI-code: 4120 - Algemene burgerlijke en utiliteitsbouw</v>
      </c>
      <c r="F122" s="7" t="str">
        <f>IFERROR(__xludf.DUMMYFUNCTION("""COMPUTED_VALUE"""),"0686463202")</f>
        <v>0686463202</v>
      </c>
      <c r="G122" s="6" t="str">
        <f>IFERROR(__xludf.DUMMYFUNCTION("""COMPUTED_VALUE"""),"ivailoyanev0104@gmail.com")</f>
        <v>ivailoyanev0104@gmail.com</v>
      </c>
      <c r="H122" s="6" t="str">
        <f>IFERROR(__xludf.DUMMYFUNCTION("""COMPUTED_VALUE"""),"Beukstraat 10C")</f>
        <v>Beukstraat 10C</v>
      </c>
      <c r="I122" s="6" t="str">
        <f>IFERROR(__xludf.DUMMYFUNCTION("""COMPUTED_VALUE"""),"2565 ZA")</f>
        <v>2565 ZA</v>
      </c>
      <c r="J122" s="6" t="str">
        <f>IFERROR(__xludf.DUMMYFUNCTION("""COMPUTED_VALUE"""),"s-Gravenhage")</f>
        <v>s-Gravenhage</v>
      </c>
      <c r="K122" s="6" t="str">
        <f>IFERROR(__xludf.DUMMYFUNCTION("""COMPUTED_VALUE"""),"Nederland")</f>
        <v>Nederland</v>
      </c>
      <c r="L122" s="6" t="str">
        <f>IFERROR(__xludf.DUMMYFUNCTION("""COMPUTED_VALUE"""),"Янев")</f>
        <v>Янев</v>
      </c>
      <c r="M122" s="8">
        <f>IFERROR(__xludf.DUMMYFUNCTION("""COMPUTED_VALUE"""),43175.0)</f>
        <v>43175</v>
      </c>
      <c r="N122" s="6" t="str">
        <f>IFERROR(__xludf.DUMMYFUNCTION("""COMPUTED_VALUE"""),"NL294430246B01")</f>
        <v>NL294430246B01</v>
      </c>
      <c r="O122" s="6">
        <f>IFERROR(__xludf.DUMMYFUNCTION("""COMPUTED_VALUE"""),6.8826664E7)</f>
        <v>68826664</v>
      </c>
      <c r="P122" s="6" t="str">
        <f>IFERROR(__xludf.DUMMYFUNCTION("""COMPUTED_VALUE"""),"NL71INGB0007829746")</f>
        <v>NL71INGB0007829746</v>
      </c>
      <c r="Q122" s="9">
        <f>IFERROR(__xludf.DUMMYFUNCTION("""COMPUTED_VALUE"""),42879.0)</f>
        <v>42879</v>
      </c>
      <c r="R122" s="6"/>
      <c r="S122" s="6" t="str">
        <f>IFERROR(__xludf.DUMMYFUNCTION("""COMPUTED_VALUE"""),"NL002464412B94")</f>
        <v>NL002464412B94</v>
      </c>
      <c r="T122" s="6">
        <f>IFERROR(__xludf.DUMMYFUNCTION("""COMPUTED_VALUE"""),2.94430246E8)</f>
        <v>294430246</v>
      </c>
      <c r="U122" s="7" t="str">
        <f>IFERROR(__xludf.DUMMYFUNCTION("""COMPUTED_VALUE"""),"Eenmanszaak")</f>
        <v>Eenmanszaak</v>
      </c>
      <c r="V122" s="7" t="str">
        <f>IFERROR(__xludf.DUMMYFUNCTION("""COMPUTED_VALUE"""),"000037231987")</f>
        <v>000037231987</v>
      </c>
      <c r="W122" s="6" t="str">
        <f>IFERROR(__xludf.DUMMYFUNCTION("""COMPUTED_VALUE"""),"ink.dedkomenm.2288aa@zarabota.nl")</f>
        <v>ink.dedkomenm.2288aa@zarabota.nl</v>
      </c>
      <c r="X122" s="6" t="str">
        <f>IFERROR(__xludf.DUMMYFUNCTION("""COMPUTED_VALUE"""),"ver.dedkomenm.2288aa@zarabota.nl")</f>
        <v>ver.dedkomenm.2288aa@zarabota.nl</v>
      </c>
      <c r="Y122" s="6" t="str">
        <f>IFERROR(__xludf.DUMMYFUNCTION("""COMPUTED_VALUE"""),"Hr.")</f>
        <v>Hr.</v>
      </c>
      <c r="Z122" s="6" t="str">
        <f>IFERROR(__xludf.DUMMYFUNCTION("""COMPUTED_VALUE"""),"Ivaylo Vladimirov")</f>
        <v>Ivaylo Vladimirov</v>
      </c>
      <c r="AA122" s="6" t="str">
        <f>IFERROR(__xludf.DUMMYFUNCTION("""COMPUTED_VALUE"""),"Yanev")</f>
        <v>Yanev</v>
      </c>
      <c r="AB122" s="6" t="str">
        <f>IFERROR(__xludf.DUMMYFUNCTION("""COMPUTED_VALUE"""),"I.V.")</f>
        <v>I.V.</v>
      </c>
      <c r="AC122" s="6">
        <f>IFERROR(__xludf.DUMMYFUNCTION("""COMPUTED_VALUE"""),2.94430246E8)</f>
        <v>294430246</v>
      </c>
      <c r="AD122" s="9">
        <f>IFERROR(__xludf.DUMMYFUNCTION("""COMPUTED_VALUE"""),24841.0)</f>
        <v>24841</v>
      </c>
      <c r="AE122" s="6" t="str">
        <f>IFERROR(__xludf.DUMMYFUNCTION("""COMPUTED_VALUE"""),"bg")</f>
        <v>bg</v>
      </c>
      <c r="AF122" s="6" t="str">
        <f>IFERROR(__xludf.DUMMYFUNCTION("""COMPUTED_VALUE"""),"Sofia")</f>
        <v>Sofia</v>
      </c>
      <c r="AG122" s="6" t="str">
        <f>IFERROR(__xludf.DUMMYFUNCTION("""COMPUTED_VALUE"""),"Hr. I.V. Yanev")</f>
        <v>Hr. I.V. Yanev</v>
      </c>
      <c r="AH122" s="6"/>
      <c r="AI122" s="6"/>
      <c r="AJ122" s="6" t="str">
        <f>IFERROR(__xludf.DUMMYFUNCTION("""COMPUTED_VALUE"""),"ID Kaart")</f>
        <v>ID Kaart</v>
      </c>
      <c r="AK122" s="6"/>
      <c r="AL122" s="6"/>
      <c r="AM122" s="6"/>
      <c r="AN122" s="6" t="str">
        <f>IFERROR(__xludf.DUMMYFUNCTION("""COMPUTED_VALUE"""),"Ivaylo Vladimirov Yanev")</f>
        <v>Ivaylo Vladimirov Yanev</v>
      </c>
      <c r="AO122" s="6"/>
    </row>
    <row r="123">
      <c r="A123" s="6" t="str">
        <f>IFERROR(__xludf.DUMMYFUNCTION("""COMPUTED_VALUE"""),"Delor VOF")</f>
        <v>Delor VOF</v>
      </c>
      <c r="B123" s="6" t="str">
        <f>IFERROR(__xludf.DUMMYFUNCTION("""COMPUTED_VALUE"""),"Delor VOF")</f>
        <v>Delor VOF</v>
      </c>
      <c r="C123" s="6">
        <f>IFERROR(__xludf.DUMMYFUNCTION("""COMPUTED_VALUE"""),1194.0)</f>
        <v>1194</v>
      </c>
      <c r="D123" s="7" t="str">
        <f>IFERROR(__xludf.DUMMYFUNCTION("""COMPUTED_VALUE"""),"Hasan Nuri Asan")</f>
        <v>Hasan Nuri Asan</v>
      </c>
      <c r="E123" s="7" t="str">
        <f>IFERROR(__xludf.DUMMYFUNCTION("""COMPUTED_VALUE"""),"SBI-code: 4120 - Algemene burgerlijke en utiliteitsbouw")</f>
        <v>SBI-code: 4120 - Algemene burgerlijke en utiliteitsbouw</v>
      </c>
      <c r="F123" s="7" t="str">
        <f>IFERROR(__xludf.DUMMYFUNCTION("""COMPUTED_VALUE"""),"0686447117")</f>
        <v>0686447117</v>
      </c>
      <c r="G123" s="6" t="str">
        <f>IFERROR(__xludf.DUMMYFUNCTION("""COMPUTED_VALUE"""),"delor8386@gmail.com")</f>
        <v>delor8386@gmail.com</v>
      </c>
      <c r="H123" s="6" t="str">
        <f>IFERROR(__xludf.DUMMYFUNCTION("""COMPUTED_VALUE"""),"Troelstrakade 359")</f>
        <v>Troelstrakade 359</v>
      </c>
      <c r="I123" s="6" t="str">
        <f>IFERROR(__xludf.DUMMYFUNCTION("""COMPUTED_VALUE"""),"2531AH")</f>
        <v>2531AH</v>
      </c>
      <c r="J123" s="6" t="str">
        <f>IFERROR(__xludf.DUMMYFUNCTION("""COMPUTED_VALUE"""),"s-Gravenhage")</f>
        <v>s-Gravenhage</v>
      </c>
      <c r="K123" s="6" t="str">
        <f>IFERROR(__xludf.DUMMYFUNCTION("""COMPUTED_VALUE"""),"Nederland")</f>
        <v>Nederland</v>
      </c>
      <c r="L123" s="6" t="str">
        <f>IFERROR(__xludf.DUMMYFUNCTION("""COMPUTED_VALUE"""),"Асан")</f>
        <v>Асан</v>
      </c>
      <c r="M123" s="8">
        <f>IFERROR(__xludf.DUMMYFUNCTION("""COMPUTED_VALUE"""),44348.0)</f>
        <v>44348</v>
      </c>
      <c r="N123" s="6" t="str">
        <f>IFERROR(__xludf.DUMMYFUNCTION("""COMPUTED_VALUE"""),"NL862679618B01")</f>
        <v>NL862679618B01</v>
      </c>
      <c r="O123" s="6">
        <f>IFERROR(__xludf.DUMMYFUNCTION("""COMPUTED_VALUE"""),8.2981663E7)</f>
        <v>82981663</v>
      </c>
      <c r="P123" s="6" t="str">
        <f>IFERROR(__xludf.DUMMYFUNCTION("""COMPUTED_VALUE"""),"NL18INGB0006095855")</f>
        <v>NL18INGB0006095855</v>
      </c>
      <c r="Q123" s="9">
        <f>IFERROR(__xludf.DUMMYFUNCTION("""COMPUTED_VALUE"""),44348.0)</f>
        <v>44348</v>
      </c>
      <c r="R123" s="6"/>
      <c r="S123" s="6" t="str">
        <f>IFERROR(__xludf.DUMMYFUNCTION("""COMPUTED_VALUE"""),"NL862679618B01")</f>
        <v>NL862679618B01</v>
      </c>
      <c r="T123" s="6">
        <f>IFERROR(__xludf.DUMMYFUNCTION("""COMPUTED_VALUE"""),8.62679618E8)</f>
        <v>862679618</v>
      </c>
      <c r="U123" s="7" t="str">
        <f>IFERROR(__xludf.DUMMYFUNCTION("""COMPUTED_VALUE"""),"Eenmanszaak")</f>
        <v>Eenmanszaak</v>
      </c>
      <c r="V123" s="7" t="str">
        <f>IFERROR(__xludf.DUMMYFUNCTION("""COMPUTED_VALUE"""),"000027897621")</f>
        <v>000027897621</v>
      </c>
      <c r="W123" s="6" t="str">
        <f>IFERROR(__xludf.DUMMYFUNCTION("""COMPUTED_VALUE"""),"ink.delorvof.2288aa@zarabota.nl")</f>
        <v>ink.delorvof.2288aa@zarabota.nl</v>
      </c>
      <c r="X123" s="6" t="str">
        <f>IFERROR(__xludf.DUMMYFUNCTION("""COMPUTED_VALUE"""),"ver.delorvof.2288aa@zarabota.nl")</f>
        <v>ver.delorvof.2288aa@zarabota.nl</v>
      </c>
      <c r="Y123" s="6" t="str">
        <f>IFERROR(__xludf.DUMMYFUNCTION("""COMPUTED_VALUE"""),"Hr.")</f>
        <v>Hr.</v>
      </c>
      <c r="Z123" s="6" t="str">
        <f>IFERROR(__xludf.DUMMYFUNCTION("""COMPUTED_VALUE"""),"Hasan Nuri")</f>
        <v>Hasan Nuri</v>
      </c>
      <c r="AA123" s="6" t="str">
        <f>IFERROR(__xludf.DUMMYFUNCTION("""COMPUTED_VALUE"""),"Asan")</f>
        <v>Asan</v>
      </c>
      <c r="AB123" s="6" t="str">
        <f>IFERROR(__xludf.DUMMYFUNCTION("""COMPUTED_VALUE"""),"H.N.")</f>
        <v>H.N.</v>
      </c>
      <c r="AC123" s="6">
        <f>IFERROR(__xludf.DUMMYFUNCTION("""COMPUTED_VALUE"""),5.50306547E8)</f>
        <v>550306547</v>
      </c>
      <c r="AD123" s="9">
        <f>IFERROR(__xludf.DUMMYFUNCTION("""COMPUTED_VALUE"""),30487.0)</f>
        <v>30487</v>
      </c>
      <c r="AE123" s="6" t="str">
        <f>IFERROR(__xludf.DUMMYFUNCTION("""COMPUTED_VALUE"""),"bg")</f>
        <v>bg</v>
      </c>
      <c r="AF123" s="6" t="str">
        <f>IFERROR(__xludf.DUMMYFUNCTION("""COMPUTED_VALUE"""),"Kubrat")</f>
        <v>Kubrat</v>
      </c>
      <c r="AG123" s="6" t="str">
        <f>IFERROR(__xludf.DUMMYFUNCTION("""COMPUTED_VALUE"""),"Hr. H.N. Asan")</f>
        <v>Hr. H.N. Asan</v>
      </c>
      <c r="AH123" s="6"/>
      <c r="AI123" s="6"/>
      <c r="AJ123" s="6"/>
      <c r="AK123" s="6"/>
      <c r="AL123" s="6"/>
      <c r="AM123" s="6"/>
      <c r="AN123" s="6" t="str">
        <f>IFERROR(__xludf.DUMMYFUNCTION("""COMPUTED_VALUE"""),"Hasan Nuri Asan")</f>
        <v>Hasan Nuri Asan</v>
      </c>
      <c r="AO123" s="6">
        <f>IFERROR(__xludf.DUMMYFUNCTION("""COMPUTED_VALUE"""),1194.0)</f>
        <v>1194</v>
      </c>
    </row>
    <row r="124">
      <c r="A124" s="6" t="str">
        <f>IFERROR(__xludf.DUMMYFUNCTION("""COMPUTED_VALUE"""),"DeNeX Uitzendbureau B.V.")</f>
        <v>DeNeX Uitzendbureau B.V.</v>
      </c>
      <c r="B124" s="6" t="str">
        <f>IFERROR(__xludf.DUMMYFUNCTION("""COMPUTED_VALUE"""),"DeNeX Uitzendbureau B.V.")</f>
        <v>DeNeX Uitzendbureau B.V.</v>
      </c>
      <c r="C124" s="6">
        <f>IFERROR(__xludf.DUMMYFUNCTION("""COMPUTED_VALUE"""),1244.0)</f>
        <v>1244</v>
      </c>
      <c r="D124" s="7" t="str">
        <f>IFERROR(__xludf.DUMMYFUNCTION("""COMPUTED_VALUE"""),"Denis Osman Ibryam")</f>
        <v>Denis Osman Ibryam</v>
      </c>
      <c r="E124" s="7" t="str">
        <f>IFERROR(__xludf.DUMMYFUNCTION("""COMPUTED_VALUE"""),"SBI-code: 4120 - Algemene burgerlijke en utiliteitsbouw")</f>
        <v>SBI-code: 4120 - Algemene burgerlijke en utiliteitsbouw</v>
      </c>
      <c r="F124" s="7" t="str">
        <f>IFERROR(__xludf.DUMMYFUNCTION("""COMPUTED_VALUE"""),"+31628813127")</f>
        <v>+31628813127</v>
      </c>
      <c r="G124" s="6" t="str">
        <f>IFERROR(__xludf.DUMMYFUNCTION("""COMPUTED_VALUE"""),"info@denexuitzendbureau.nl")</f>
        <v>info@denexuitzendbureau.nl</v>
      </c>
      <c r="H124" s="6" t="str">
        <f>IFERROR(__xludf.DUMMYFUNCTION("""COMPUTED_VALUE"""),"Gebroken Meeldijk 66, Unit 1.15")</f>
        <v>Gebroken Meeldijk 66, Unit 1.15</v>
      </c>
      <c r="I124" s="6" t="str">
        <f>IFERROR(__xludf.DUMMYFUNCTION("""COMPUTED_VALUE"""),"2991 VD")</f>
        <v>2991 VD</v>
      </c>
      <c r="J124" s="6" t="str">
        <f>IFERROR(__xludf.DUMMYFUNCTION("""COMPUTED_VALUE"""),"Barendrecht")</f>
        <v>Barendrecht</v>
      </c>
      <c r="K124" s="6" t="str">
        <f>IFERROR(__xludf.DUMMYFUNCTION("""COMPUTED_VALUE"""),"Nederland")</f>
        <v>Nederland</v>
      </c>
      <c r="L124" s="6" t="str">
        <f>IFERROR(__xludf.DUMMYFUNCTION("""COMPUTED_VALUE"""),"Ибрям")</f>
        <v>Ибрям</v>
      </c>
      <c r="M124" s="8">
        <f>IFERROR(__xludf.DUMMYFUNCTION("""COMPUTED_VALUE"""),44498.0)</f>
        <v>44498</v>
      </c>
      <c r="N124" s="6" t="str">
        <f>IFERROR(__xludf.DUMMYFUNCTION("""COMPUTED_VALUE"""),"NL863179344B01")</f>
        <v>NL863179344B01</v>
      </c>
      <c r="O124" s="6">
        <f>IFERROR(__xludf.DUMMYFUNCTION("""COMPUTED_VALUE"""),8.4349735E7)</f>
        <v>84349735</v>
      </c>
      <c r="P124" s="6" t="str">
        <f>IFERROR(__xludf.DUMMYFUNCTION("""COMPUTED_VALUE"""),"NL38INGB0675074231")</f>
        <v>NL38INGB0675074231</v>
      </c>
      <c r="Q124" s="9">
        <f>IFERROR(__xludf.DUMMYFUNCTION("""COMPUTED_VALUE"""),44498.0)</f>
        <v>44498</v>
      </c>
      <c r="R124" s="6"/>
      <c r="S124" s="6" t="str">
        <f>IFERROR(__xludf.DUMMYFUNCTION("""COMPUTED_VALUE"""),"NL863179344B01")</f>
        <v>NL863179344B01</v>
      </c>
      <c r="T124" s="6">
        <f>IFERROR(__xludf.DUMMYFUNCTION("""COMPUTED_VALUE"""),8.63179344E8)</f>
        <v>863179344</v>
      </c>
      <c r="U124" s="7" t="str">
        <f>IFERROR(__xludf.DUMMYFUNCTION("""COMPUTED_VALUE"""),"Eenmanszaak")</f>
        <v>Eenmanszaak</v>
      </c>
      <c r="V124" s="7" t="str">
        <f>IFERROR(__xludf.DUMMYFUNCTION("""COMPUTED_VALUE"""),"000050473034")</f>
        <v>000050473034</v>
      </c>
      <c r="W124" s="6" t="str">
        <f>IFERROR(__xludf.DUMMYFUNCTION("""COMPUTED_VALUE"""),"ink.denex.2288aa@zarabota.nl")</f>
        <v>ink.denex.2288aa@zarabota.nl</v>
      </c>
      <c r="X124" s="6" t="str">
        <f>IFERROR(__xludf.DUMMYFUNCTION("""COMPUTED_VALUE"""),"ver.denex.2288aa@zarabota.nl")</f>
        <v>ver.denex.2288aa@zarabota.nl</v>
      </c>
      <c r="Y124" s="6" t="str">
        <f>IFERROR(__xludf.DUMMYFUNCTION("""COMPUTED_VALUE"""),"Hr.")</f>
        <v>Hr.</v>
      </c>
      <c r="Z124" s="6" t="str">
        <f>IFERROR(__xludf.DUMMYFUNCTION("""COMPUTED_VALUE"""),"Denis Osman")</f>
        <v>Denis Osman</v>
      </c>
      <c r="AA124" s="6" t="str">
        <f>IFERROR(__xludf.DUMMYFUNCTION("""COMPUTED_VALUE"""),"Ibryam")</f>
        <v>Ibryam</v>
      </c>
      <c r="AB124" s="6" t="str">
        <f>IFERROR(__xludf.DUMMYFUNCTION("""COMPUTED_VALUE"""),"D.O.")</f>
        <v>D.O.</v>
      </c>
      <c r="AC124" s="6">
        <f>IFERROR(__xludf.DUMMYFUNCTION("""COMPUTED_VALUE"""),3.96703744E8)</f>
        <v>396703744</v>
      </c>
      <c r="AD124" s="9">
        <f>IFERROR(__xludf.DUMMYFUNCTION("""COMPUTED_VALUE"""),29191.0)</f>
        <v>29191</v>
      </c>
      <c r="AE124" s="6" t="str">
        <f>IFERROR(__xludf.DUMMYFUNCTION("""COMPUTED_VALUE"""),"bg")</f>
        <v>bg</v>
      </c>
      <c r="AF124" s="6" t="str">
        <f>IFERROR(__xludf.DUMMYFUNCTION("""COMPUTED_VALUE"""),"Onbekend")</f>
        <v>Onbekend</v>
      </c>
      <c r="AG124" s="6" t="str">
        <f>IFERROR(__xludf.DUMMYFUNCTION("""COMPUTED_VALUE"""),"Hr. D.O. Ibryam")</f>
        <v>Hr. D.O. Ibryam</v>
      </c>
      <c r="AH124" s="6" t="str">
        <f>IFERROR(__xludf.DUMMYFUNCTION("""COMPUTED_VALUE"""),"NL73INGB0688674844")</f>
        <v>NL73INGB0688674844</v>
      </c>
      <c r="AI124" s="6"/>
      <c r="AJ124" s="6" t="str">
        <f>IFERROR(__xludf.DUMMYFUNCTION("""COMPUTED_VALUE"""),"ID Kaart")</f>
        <v>ID Kaart</v>
      </c>
      <c r="AK124" s="6">
        <f>IFERROR(__xludf.DUMMYFUNCTION("""COMPUTED_VALUE"""),6.42779254E8)</f>
        <v>642779254</v>
      </c>
      <c r="AL124" s="9">
        <f>IFERROR(__xludf.DUMMYFUNCTION("""COMPUTED_VALUE"""),45528.0)</f>
        <v>45528</v>
      </c>
      <c r="AM124" s="6"/>
      <c r="AN124" s="6" t="str">
        <f>IFERROR(__xludf.DUMMYFUNCTION("""COMPUTED_VALUE"""),"Denis Osman Ibryam")</f>
        <v>Denis Osman Ibryam</v>
      </c>
      <c r="AO124" s="6">
        <f>IFERROR(__xludf.DUMMYFUNCTION("""COMPUTED_VALUE"""),1244.0)</f>
        <v>1244</v>
      </c>
    </row>
    <row r="125">
      <c r="A125" s="6" t="str">
        <f>IFERROR(__xludf.DUMMYFUNCTION("""COMPUTED_VALUE"""),"DENI SOLAR")</f>
        <v>DENI SOLAR</v>
      </c>
      <c r="B125" s="6" t="str">
        <f>IFERROR(__xludf.DUMMYFUNCTION("""COMPUTED_VALUE"""),"DENI SOLAR")</f>
        <v>DENI SOLAR</v>
      </c>
      <c r="C125" s="6">
        <f>IFERROR(__xludf.DUMMYFUNCTION("""COMPUTED_VALUE"""),973.0)</f>
        <v>973</v>
      </c>
      <c r="D125" s="7" t="str">
        <f>IFERROR(__xludf.DUMMYFUNCTION("""COMPUTED_VALUE"""),"Rumen Filipov Andzhurov")</f>
        <v>Rumen Filipov Andzhurov</v>
      </c>
      <c r="E125" s="7" t="str">
        <f>IFERROR(__xludf.DUMMYFUNCTION("""COMPUTED_VALUE"""),"SBI-code: 4120 - Algemene burgerlijke en utiliteitsbouw")</f>
        <v>SBI-code: 4120 - Algemene burgerlijke en utiliteitsbouw</v>
      </c>
      <c r="F125" s="7" t="str">
        <f>IFERROR(__xludf.DUMMYFUNCTION("""COMPUTED_VALUE"""),"0684796914")</f>
        <v>0684796914</v>
      </c>
      <c r="G125" s="6" t="str">
        <f>IFERROR(__xludf.DUMMYFUNCTION("""COMPUTED_VALUE"""),"rumenandjurov@abv.bg")</f>
        <v>rumenandjurov@abv.bg</v>
      </c>
      <c r="H125" s="6" t="str">
        <f>IFERROR(__xludf.DUMMYFUNCTION("""COMPUTED_VALUE"""),"Bilthovenselaan 5")</f>
        <v>Bilthovenselaan 5</v>
      </c>
      <c r="I125" s="6" t="str">
        <f>IFERROR(__xludf.DUMMYFUNCTION("""COMPUTED_VALUE"""),"2574TE")</f>
        <v>2574TE</v>
      </c>
      <c r="J125" s="6" t="str">
        <f>IFERROR(__xludf.DUMMYFUNCTION("""COMPUTED_VALUE"""),"s-Gravenhage")</f>
        <v>s-Gravenhage</v>
      </c>
      <c r="K125" s="6" t="str">
        <f>IFERROR(__xludf.DUMMYFUNCTION("""COMPUTED_VALUE"""),"Nederland")</f>
        <v>Nederland</v>
      </c>
      <c r="L125" s="6" t="str">
        <f>IFERROR(__xludf.DUMMYFUNCTION("""COMPUTED_VALUE"""),"Анджуров")</f>
        <v>Анджуров</v>
      </c>
      <c r="M125" s="8">
        <f>IFERROR(__xludf.DUMMYFUNCTION("""COMPUTED_VALUE"""),43854.0)</f>
        <v>43854</v>
      </c>
      <c r="N125" s="6" t="str">
        <f>IFERROR(__xludf.DUMMYFUNCTION("""COMPUTED_VALUE"""),"NL443665783B01")</f>
        <v>NL443665783B01</v>
      </c>
      <c r="O125" s="6">
        <f>IFERROR(__xludf.DUMMYFUNCTION("""COMPUTED_VALUE"""),7.7113608E7)</f>
        <v>77113608</v>
      </c>
      <c r="P125" s="6" t="str">
        <f>IFERROR(__xludf.DUMMYFUNCTION("""COMPUTED_VALUE"""),"NL88INGB0006684743")</f>
        <v>NL88INGB0006684743</v>
      </c>
      <c r="Q125" s="9">
        <f>IFERROR(__xludf.DUMMYFUNCTION("""COMPUTED_VALUE"""),43854.0)</f>
        <v>43854</v>
      </c>
      <c r="R125" s="6"/>
      <c r="S125" s="6" t="str">
        <f>IFERROR(__xludf.DUMMYFUNCTION("""COMPUTED_VALUE"""),"NL003151325B75")</f>
        <v>NL003151325B75</v>
      </c>
      <c r="T125" s="6">
        <f>IFERROR(__xludf.DUMMYFUNCTION("""COMPUTED_VALUE"""),4.43665783E8)</f>
        <v>443665783</v>
      </c>
      <c r="U125" s="7" t="str">
        <f>IFERROR(__xludf.DUMMYFUNCTION("""COMPUTED_VALUE"""),"Eenmanszaak")</f>
        <v>Eenmanszaak</v>
      </c>
      <c r="V125" s="7" t="str">
        <f>IFERROR(__xludf.DUMMYFUNCTION("""COMPUTED_VALUE"""),"000044834462")</f>
        <v>000044834462</v>
      </c>
      <c r="W125" s="6" t="str">
        <f>IFERROR(__xludf.DUMMYFUNCTION("""COMPUTED_VALUE"""),"ink.denisolar.2288aa@zarabota.nl")</f>
        <v>ink.denisolar.2288aa@zarabota.nl</v>
      </c>
      <c r="X125" s="6" t="str">
        <f>IFERROR(__xludf.DUMMYFUNCTION("""COMPUTED_VALUE"""),"ver.denisolar.2288aa@zarabota.nl")</f>
        <v>ver.denisolar.2288aa@zarabota.nl</v>
      </c>
      <c r="Y125" s="6" t="str">
        <f>IFERROR(__xludf.DUMMYFUNCTION("""COMPUTED_VALUE"""),"Hr.")</f>
        <v>Hr.</v>
      </c>
      <c r="Z125" s="6" t="str">
        <f>IFERROR(__xludf.DUMMYFUNCTION("""COMPUTED_VALUE"""),"Rumen Filipov")</f>
        <v>Rumen Filipov</v>
      </c>
      <c r="AA125" s="6" t="str">
        <f>IFERROR(__xludf.DUMMYFUNCTION("""COMPUTED_VALUE"""),"Andzhurov")</f>
        <v>Andzhurov</v>
      </c>
      <c r="AB125" s="6" t="str">
        <f>IFERROR(__xludf.DUMMYFUNCTION("""COMPUTED_VALUE"""),"R.F.")</f>
        <v>R.F.</v>
      </c>
      <c r="AC125" s="6">
        <f>IFERROR(__xludf.DUMMYFUNCTION("""COMPUTED_VALUE"""),4.43665783E8)</f>
        <v>443665783</v>
      </c>
      <c r="AD125" s="9">
        <f>IFERROR(__xludf.DUMMYFUNCTION("""COMPUTED_VALUE"""),25519.0)</f>
        <v>25519</v>
      </c>
      <c r="AE125" s="6" t="str">
        <f>IFERROR(__xludf.DUMMYFUNCTION("""COMPUTED_VALUE"""),"bg")</f>
        <v>bg</v>
      </c>
      <c r="AF125" s="6" t="str">
        <f>IFERROR(__xludf.DUMMYFUNCTION("""COMPUTED_VALUE"""),"Chakalovo")</f>
        <v>Chakalovo</v>
      </c>
      <c r="AG125" s="6" t="str">
        <f>IFERROR(__xludf.DUMMYFUNCTION("""COMPUTED_VALUE"""),"Hr. R.F. Andzhurov")</f>
        <v>Hr. R.F. Andzhurov</v>
      </c>
      <c r="AH125" s="6"/>
      <c r="AI125" s="6"/>
      <c r="AJ125" s="6" t="str">
        <f>IFERROR(__xludf.DUMMYFUNCTION("""COMPUTED_VALUE"""),"ID Kaart")</f>
        <v>ID Kaart</v>
      </c>
      <c r="AK125" s="6">
        <f>IFERROR(__xludf.DUMMYFUNCTION("""COMPUTED_VALUE"""),6.46753373E8)</f>
        <v>646753373</v>
      </c>
      <c r="AL125" s="9">
        <f>IFERROR(__xludf.DUMMYFUNCTION("""COMPUTED_VALUE"""),46418.0)</f>
        <v>46418</v>
      </c>
      <c r="AM125" s="6" t="str">
        <f>IFERROR(__xludf.DUMMYFUNCTION("""COMPUTED_VALUE"""),"Bulgarije")</f>
        <v>Bulgarije</v>
      </c>
      <c r="AN125" s="6" t="str">
        <f>IFERROR(__xludf.DUMMYFUNCTION("""COMPUTED_VALUE"""),"Rumen Filipov Andzhurov")</f>
        <v>Rumen Filipov Andzhurov</v>
      </c>
      <c r="AO125" s="6"/>
    </row>
    <row r="126">
      <c r="A126" s="6" t="str">
        <f>IFERROR(__xludf.DUMMYFUNCTION("""COMPUTED_VALUE"""),"Denis Beheer B.V.")</f>
        <v>Denis Beheer B.V.</v>
      </c>
      <c r="B126" s="6" t="str">
        <f>IFERROR(__xludf.DUMMYFUNCTION("""COMPUTED_VALUE"""),"Denis Beheer B.V.")</f>
        <v>Denis Beheer B.V.</v>
      </c>
      <c r="C126" s="6">
        <f>IFERROR(__xludf.DUMMYFUNCTION("""COMPUTED_VALUE"""),552.0)</f>
        <v>552</v>
      </c>
      <c r="D126" s="7" t="str">
        <f>IFERROR(__xludf.DUMMYFUNCTION("""COMPUTED_VALUE"""),"Denis Osman Ibryam")</f>
        <v>Denis Osman Ibryam</v>
      </c>
      <c r="E126" s="7" t="str">
        <f>IFERROR(__xludf.DUMMYFUNCTION("""COMPUTED_VALUE"""),"SBI-code: 4120 - Algemene burgerlijke en utiliteitsbouw")</f>
        <v>SBI-code: 4120 - Algemene burgerlijke en utiliteitsbouw</v>
      </c>
      <c r="F126" s="7" t="str">
        <f>IFERROR(__xludf.DUMMYFUNCTION("""COMPUTED_VALUE"""),"0628813127")</f>
        <v>0628813127</v>
      </c>
      <c r="G126" s="6" t="str">
        <f>IFERROR(__xludf.DUMMYFUNCTION("""COMPUTED_VALUE"""),"algemeen@denis-express.nl")</f>
        <v>algemeen@denis-express.nl</v>
      </c>
      <c r="H126" s="6" t="str">
        <f>IFERROR(__xludf.DUMMYFUNCTION("""COMPUTED_VALUE"""),"Kievit 8")</f>
        <v>Kievit 8</v>
      </c>
      <c r="I126" s="6" t="str">
        <f>IFERROR(__xludf.DUMMYFUNCTION("""COMPUTED_VALUE"""),"2991ME")</f>
        <v>2991ME</v>
      </c>
      <c r="J126" s="6" t="str">
        <f>IFERROR(__xludf.DUMMYFUNCTION("""COMPUTED_VALUE"""),"Barendrecht")</f>
        <v>Barendrecht</v>
      </c>
      <c r="K126" s="6" t="str">
        <f>IFERROR(__xludf.DUMMYFUNCTION("""COMPUTED_VALUE"""),"Nederland")</f>
        <v>Nederland</v>
      </c>
      <c r="L126" s="6" t="str">
        <f>IFERROR(__xludf.DUMMYFUNCTION("""COMPUTED_VALUE"""),"Ибрям")</f>
        <v>Ибрям</v>
      </c>
      <c r="M126" s="8">
        <f>IFERROR(__xludf.DUMMYFUNCTION("""COMPUTED_VALUE"""),42297.0)</f>
        <v>42297</v>
      </c>
      <c r="N126" s="6" t="str">
        <f>IFERROR(__xludf.DUMMYFUNCTION("""COMPUTED_VALUE"""),"NL858636554B01")</f>
        <v>NL858636554B01</v>
      </c>
      <c r="O126" s="6">
        <f>IFERROR(__xludf.DUMMYFUNCTION("""COMPUTED_VALUE"""),7.1249591E7)</f>
        <v>71249591</v>
      </c>
      <c r="P126" s="6" t="str">
        <f>IFERROR(__xludf.DUMMYFUNCTION("""COMPUTED_VALUE"""),"NL02INGB0006220497")</f>
        <v>NL02INGB0006220497</v>
      </c>
      <c r="Q126" s="9">
        <f>IFERROR(__xludf.DUMMYFUNCTION("""COMPUTED_VALUE"""),43185.0)</f>
        <v>43185</v>
      </c>
      <c r="R126" s="6"/>
      <c r="S126" s="6" t="str">
        <f>IFERROR(__xludf.DUMMYFUNCTION("""COMPUTED_VALUE"""),"NL858636554B01")</f>
        <v>NL858636554B01</v>
      </c>
      <c r="T126" s="6">
        <f>IFERROR(__xludf.DUMMYFUNCTION("""COMPUTED_VALUE"""),8.58636554E8)</f>
        <v>858636554</v>
      </c>
      <c r="U126" s="7" t="str">
        <f>IFERROR(__xludf.DUMMYFUNCTION("""COMPUTED_VALUE"""),"Eenmanszaak")</f>
        <v>Eenmanszaak</v>
      </c>
      <c r="V126" s="7" t="str">
        <f>IFERROR(__xludf.DUMMYFUNCTION("""COMPUTED_VALUE"""),"000028599926")</f>
        <v>000028599926</v>
      </c>
      <c r="W126" s="6" t="str">
        <f>IFERROR(__xludf.DUMMYFUNCTION("""COMPUTED_VALUE"""),"ink.denisbeheerbv.2288aa@zarabota.nl")</f>
        <v>ink.denisbeheerbv.2288aa@zarabota.nl</v>
      </c>
      <c r="X126" s="6" t="str">
        <f>IFERROR(__xludf.DUMMYFUNCTION("""COMPUTED_VALUE"""),"ver.denisbeheerbv.2288aa@zarabota.nl")</f>
        <v>ver.denisbeheerbv.2288aa@zarabota.nl</v>
      </c>
      <c r="Y126" s="6" t="str">
        <f>IFERROR(__xludf.DUMMYFUNCTION("""COMPUTED_VALUE"""),"Hr.")</f>
        <v>Hr.</v>
      </c>
      <c r="Z126" s="6" t="str">
        <f>IFERROR(__xludf.DUMMYFUNCTION("""COMPUTED_VALUE"""),"Denis Osman")</f>
        <v>Denis Osman</v>
      </c>
      <c r="AA126" s="6" t="str">
        <f>IFERROR(__xludf.DUMMYFUNCTION("""COMPUTED_VALUE"""),"Ibryam")</f>
        <v>Ibryam</v>
      </c>
      <c r="AB126" s="6" t="str">
        <f>IFERROR(__xludf.DUMMYFUNCTION("""COMPUTED_VALUE"""),"D.O.")</f>
        <v>D.O.</v>
      </c>
      <c r="AC126" s="6">
        <f>IFERROR(__xludf.DUMMYFUNCTION("""COMPUTED_VALUE"""),3.96703744E8)</f>
        <v>396703744</v>
      </c>
      <c r="AD126" s="9">
        <f>IFERROR(__xludf.DUMMYFUNCTION("""COMPUTED_VALUE"""),29191.0)</f>
        <v>29191</v>
      </c>
      <c r="AE126" s="6" t="str">
        <f>IFERROR(__xludf.DUMMYFUNCTION("""COMPUTED_VALUE"""),"bg")</f>
        <v>bg</v>
      </c>
      <c r="AF126" s="6" t="str">
        <f>IFERROR(__xludf.DUMMYFUNCTION("""COMPUTED_VALUE"""),"Onbekend")</f>
        <v>Onbekend</v>
      </c>
      <c r="AG126" s="6" t="str">
        <f>IFERROR(__xludf.DUMMYFUNCTION("""COMPUTED_VALUE"""),"Hr. D.O. Ibryam")</f>
        <v>Hr. D.O. Ibryam</v>
      </c>
      <c r="AH126" s="6" t="str">
        <f>IFERROR(__xludf.DUMMYFUNCTION("""COMPUTED_VALUE"""),"NL73INGB0688674844")</f>
        <v>NL73INGB0688674844</v>
      </c>
      <c r="AI126" s="6"/>
      <c r="AJ126" s="6" t="str">
        <f>IFERROR(__xludf.DUMMYFUNCTION("""COMPUTED_VALUE"""),"ID Kaart")</f>
        <v>ID Kaart</v>
      </c>
      <c r="AK126" s="6">
        <f>IFERROR(__xludf.DUMMYFUNCTION("""COMPUTED_VALUE"""),6.42779254E8)</f>
        <v>642779254</v>
      </c>
      <c r="AL126" s="9">
        <f>IFERROR(__xludf.DUMMYFUNCTION("""COMPUTED_VALUE"""),45528.0)</f>
        <v>45528</v>
      </c>
      <c r="AM126" s="6"/>
      <c r="AN126" s="6" t="str">
        <f>IFERROR(__xludf.DUMMYFUNCTION("""COMPUTED_VALUE"""),"Denis Osman Ibryam")</f>
        <v>Denis Osman Ibryam</v>
      </c>
      <c r="AO126" s="6"/>
    </row>
    <row r="127">
      <c r="A127" s="6" t="str">
        <f>IFERROR(__xludf.DUMMYFUNCTION("""COMPUTED_VALUE"""),"Denis Beheer BV en Denis Express BV Fiscale Eenheid")</f>
        <v>Denis Beheer BV en Denis Express BV Fiscale Eenheid</v>
      </c>
      <c r="B127" s="6" t="str">
        <f>IFERROR(__xludf.DUMMYFUNCTION("""COMPUTED_VALUE"""),"Denis Beheer BV en Denis Express BV Fiscale Eenheid")</f>
        <v>Denis Beheer BV en Denis Express BV Fiscale Eenheid</v>
      </c>
      <c r="C127" s="6">
        <f>IFERROR(__xludf.DUMMYFUNCTION("""COMPUTED_VALUE"""),552.0)</f>
        <v>552</v>
      </c>
      <c r="D127" s="7" t="str">
        <f>IFERROR(__xludf.DUMMYFUNCTION("""COMPUTED_VALUE"""),"Denis Osman Ibryam")</f>
        <v>Denis Osman Ibryam</v>
      </c>
      <c r="E127" s="7" t="str">
        <f>IFERROR(__xludf.DUMMYFUNCTION("""COMPUTED_VALUE"""),"SBI-code: 4120 - Algemene burgerlijke en utiliteitsbouw")</f>
        <v>SBI-code: 4120 - Algemene burgerlijke en utiliteitsbouw</v>
      </c>
      <c r="F127" s="7" t="str">
        <f>IFERROR(__xludf.DUMMYFUNCTION("""COMPUTED_VALUE"""),"0628813127")</f>
        <v>0628813127</v>
      </c>
      <c r="G127" s="6" t="str">
        <f>IFERROR(__xludf.DUMMYFUNCTION("""COMPUTED_VALUE"""),"denisbeheerfe@zzp-nl.nl")</f>
        <v>denisbeheerfe@zzp-nl.nl</v>
      </c>
      <c r="H127" s="6"/>
      <c r="I127" s="6"/>
      <c r="J127" s="6" t="str">
        <f>IFERROR(__xludf.DUMMYFUNCTION("""COMPUTED_VALUE"""),"s-Gravenhage")</f>
        <v>s-Gravenhage</v>
      </c>
      <c r="K127" s="6" t="str">
        <f>IFERROR(__xludf.DUMMYFUNCTION("""COMPUTED_VALUE"""),"Nederland")</f>
        <v>Nederland</v>
      </c>
      <c r="L127" s="6" t="str">
        <f>IFERROR(__xludf.DUMMYFUNCTION("""COMPUTED_VALUE"""),"Ибрям")</f>
        <v>Ибрям</v>
      </c>
      <c r="M127" s="6"/>
      <c r="N127" s="6" t="str">
        <f>IFERROR(__xludf.DUMMYFUNCTION("""COMPUTED_VALUE"""),"NL825826391B01")</f>
        <v>NL825826391B01</v>
      </c>
      <c r="O127" s="6"/>
      <c r="P127" s="6"/>
      <c r="Q127" s="6"/>
      <c r="R127" s="6"/>
      <c r="S127" s="6" t="str">
        <f>IFERROR(__xludf.DUMMYFUNCTION("""COMPUTED_VALUE"""),"NL825826391B01")</f>
        <v>NL825826391B01</v>
      </c>
      <c r="T127" s="6">
        <f>IFERROR(__xludf.DUMMYFUNCTION("""COMPUTED_VALUE"""),8.25826391E8)</f>
        <v>825826391</v>
      </c>
      <c r="U127" s="7" t="str">
        <f>IFERROR(__xludf.DUMMYFUNCTION("""COMPUTED_VALUE"""),"Eenmanszaak")</f>
        <v>Eenmanszaak</v>
      </c>
      <c r="V127" s="6"/>
      <c r="W127" s="6"/>
      <c r="X127" s="6"/>
      <c r="Y127" s="6" t="str">
        <f>IFERROR(__xludf.DUMMYFUNCTION("""COMPUTED_VALUE"""),"Hr.")</f>
        <v>Hr.</v>
      </c>
      <c r="Z127" s="6" t="str">
        <f>IFERROR(__xludf.DUMMYFUNCTION("""COMPUTED_VALUE"""),"Denis Osman")</f>
        <v>Denis Osman</v>
      </c>
      <c r="AA127" s="6" t="str">
        <f>IFERROR(__xludf.DUMMYFUNCTION("""COMPUTED_VALUE"""),"Ibryam")</f>
        <v>Ibryam</v>
      </c>
      <c r="AB127" s="6" t="str">
        <f>IFERROR(__xludf.DUMMYFUNCTION("""COMPUTED_VALUE"""),"D.O.")</f>
        <v>D.O.</v>
      </c>
      <c r="AC127" s="6">
        <f>IFERROR(__xludf.DUMMYFUNCTION("""COMPUTED_VALUE"""),3.96703744E8)</f>
        <v>396703744</v>
      </c>
      <c r="AD127" s="9">
        <f>IFERROR(__xludf.DUMMYFUNCTION("""COMPUTED_VALUE"""),29191.0)</f>
        <v>29191</v>
      </c>
      <c r="AE127" s="6" t="str">
        <f>IFERROR(__xludf.DUMMYFUNCTION("""COMPUTED_VALUE"""),"bg")</f>
        <v>bg</v>
      </c>
      <c r="AF127" s="6" t="str">
        <f>IFERROR(__xludf.DUMMYFUNCTION("""COMPUTED_VALUE"""),"Onbekend")</f>
        <v>Onbekend</v>
      </c>
      <c r="AG127" s="6" t="str">
        <f>IFERROR(__xludf.DUMMYFUNCTION("""COMPUTED_VALUE"""),"Hr. D.O. Ibryam")</f>
        <v>Hr. D.O. Ibryam</v>
      </c>
      <c r="AH127" s="6" t="str">
        <f>IFERROR(__xludf.DUMMYFUNCTION("""COMPUTED_VALUE"""),"NL73INGB0688674844")</f>
        <v>NL73INGB0688674844</v>
      </c>
      <c r="AI127" s="6"/>
      <c r="AJ127" s="6" t="str">
        <f>IFERROR(__xludf.DUMMYFUNCTION("""COMPUTED_VALUE"""),"ID Kaart")</f>
        <v>ID Kaart</v>
      </c>
      <c r="AK127" s="6">
        <f>IFERROR(__xludf.DUMMYFUNCTION("""COMPUTED_VALUE"""),6.42779254E8)</f>
        <v>642779254</v>
      </c>
      <c r="AL127" s="9">
        <f>IFERROR(__xludf.DUMMYFUNCTION("""COMPUTED_VALUE"""),45528.0)</f>
        <v>45528</v>
      </c>
      <c r="AM127" s="6"/>
      <c r="AN127" s="6" t="str">
        <f>IFERROR(__xludf.DUMMYFUNCTION("""COMPUTED_VALUE"""),"Denis Osman Ibryam")</f>
        <v>Denis Osman Ibryam</v>
      </c>
      <c r="AO127" s="6"/>
    </row>
    <row r="128">
      <c r="A128" s="6" t="str">
        <f>IFERROR(__xludf.DUMMYFUNCTION("""COMPUTED_VALUE"""),"Denis Express B.V.")</f>
        <v>Denis Express B.V.</v>
      </c>
      <c r="B128" s="6" t="str">
        <f>IFERROR(__xludf.DUMMYFUNCTION("""COMPUTED_VALUE"""),"Denis Express B.V.")</f>
        <v>Denis Express B.V.</v>
      </c>
      <c r="C128" s="6">
        <f>IFERROR(__xludf.DUMMYFUNCTION("""COMPUTED_VALUE"""),553.0)</f>
        <v>553</v>
      </c>
      <c r="D128" s="7" t="str">
        <f>IFERROR(__xludf.DUMMYFUNCTION("""COMPUTED_VALUE"""),"Denis Osman Ibryam")</f>
        <v>Denis Osman Ibryam</v>
      </c>
      <c r="E128" s="7" t="str">
        <f>IFERROR(__xludf.DUMMYFUNCTION("""COMPUTED_VALUE"""),"SBI-code: 4120 - Algemene burgerlijke en utiliteitsbouw")</f>
        <v>SBI-code: 4120 - Algemene burgerlijke en utiliteitsbouw</v>
      </c>
      <c r="F128" s="7" t="str">
        <f>IFERROR(__xludf.DUMMYFUNCTION("""COMPUTED_VALUE"""),"0628813127")</f>
        <v>0628813127</v>
      </c>
      <c r="G128" s="6" t="str">
        <f>IFERROR(__xludf.DUMMYFUNCTION("""COMPUTED_VALUE"""),"Info@denis-express.nl")</f>
        <v>Info@denis-express.nl</v>
      </c>
      <c r="H128" s="6" t="str">
        <f>IFERROR(__xludf.DUMMYFUNCTION("""COMPUTED_VALUE"""),"Gebroken Meeldijk 66 Unit 1.15")</f>
        <v>Gebroken Meeldijk 66 Unit 1.15</v>
      </c>
      <c r="I128" s="6" t="str">
        <f>IFERROR(__xludf.DUMMYFUNCTION("""COMPUTED_VALUE"""),"2991 VD")</f>
        <v>2991 VD</v>
      </c>
      <c r="J128" s="6" t="str">
        <f>IFERROR(__xludf.DUMMYFUNCTION("""COMPUTED_VALUE"""),"Barendrecht")</f>
        <v>Barendrecht</v>
      </c>
      <c r="K128" s="6" t="str">
        <f>IFERROR(__xludf.DUMMYFUNCTION("""COMPUTED_VALUE"""),"Nederland")</f>
        <v>Nederland</v>
      </c>
      <c r="L128" s="6" t="str">
        <f>IFERROR(__xludf.DUMMYFUNCTION("""COMPUTED_VALUE"""),"Ибрям")</f>
        <v>Ибрям</v>
      </c>
      <c r="M128" s="8">
        <f>IFERROR(__xludf.DUMMYFUNCTION("""COMPUTED_VALUE"""),42297.0)</f>
        <v>42297</v>
      </c>
      <c r="N128" s="6" t="str">
        <f>IFERROR(__xludf.DUMMYFUNCTION("""COMPUTED_VALUE"""),"NL858637972B01")</f>
        <v>NL858637972B01</v>
      </c>
      <c r="O128" s="6">
        <f>IFERROR(__xludf.DUMMYFUNCTION("""COMPUTED_VALUE"""),7.1254552E7)</f>
        <v>71254552</v>
      </c>
      <c r="P128" s="6" t="str">
        <f>IFERROR(__xludf.DUMMYFUNCTION("""COMPUTED_VALUE"""),"NL02INGB0008214041")</f>
        <v>NL02INGB0008214041</v>
      </c>
      <c r="Q128" s="9">
        <f>IFERROR(__xludf.DUMMYFUNCTION("""COMPUTED_VALUE"""),43185.0)</f>
        <v>43185</v>
      </c>
      <c r="R128" s="6"/>
      <c r="S128" s="6" t="str">
        <f>IFERROR(__xludf.DUMMYFUNCTION("""COMPUTED_VALUE"""),"NL858637972B01")</f>
        <v>NL858637972B01</v>
      </c>
      <c r="T128" s="6">
        <f>IFERROR(__xludf.DUMMYFUNCTION("""COMPUTED_VALUE"""),8.58637972E8)</f>
        <v>858637972</v>
      </c>
      <c r="U128" s="7" t="str">
        <f>IFERROR(__xludf.DUMMYFUNCTION("""COMPUTED_VALUE"""),"Besloten Vennootschap")</f>
        <v>Besloten Vennootschap</v>
      </c>
      <c r="V128" s="7" t="str">
        <f>IFERROR(__xludf.DUMMYFUNCTION("""COMPUTED_VALUE"""),"000039456625")</f>
        <v>000039456625</v>
      </c>
      <c r="W128" s="6" t="str">
        <f>IFERROR(__xludf.DUMMYFUNCTION("""COMPUTED_VALUE"""),"ink.denisexpressbv.2288aa@zarabota.nl")</f>
        <v>ink.denisexpressbv.2288aa@zarabota.nl</v>
      </c>
      <c r="X128" s="6" t="str">
        <f>IFERROR(__xludf.DUMMYFUNCTION("""COMPUTED_VALUE"""),"ver.denisexpressbv.2288aa@zarabota.nl")</f>
        <v>ver.denisexpressbv.2288aa@zarabota.nl</v>
      </c>
      <c r="Y128" s="6" t="str">
        <f>IFERROR(__xludf.DUMMYFUNCTION("""COMPUTED_VALUE"""),"Hr.")</f>
        <v>Hr.</v>
      </c>
      <c r="Z128" s="6" t="str">
        <f>IFERROR(__xludf.DUMMYFUNCTION("""COMPUTED_VALUE"""),"Denis Osman")</f>
        <v>Denis Osman</v>
      </c>
      <c r="AA128" s="6" t="str">
        <f>IFERROR(__xludf.DUMMYFUNCTION("""COMPUTED_VALUE"""),"Ibryam")</f>
        <v>Ibryam</v>
      </c>
      <c r="AB128" s="6" t="str">
        <f>IFERROR(__xludf.DUMMYFUNCTION("""COMPUTED_VALUE"""),"D.O.")</f>
        <v>D.O.</v>
      </c>
      <c r="AC128" s="6">
        <f>IFERROR(__xludf.DUMMYFUNCTION("""COMPUTED_VALUE"""),3.96703744E8)</f>
        <v>396703744</v>
      </c>
      <c r="AD128" s="9">
        <f>IFERROR(__xludf.DUMMYFUNCTION("""COMPUTED_VALUE"""),29191.0)</f>
        <v>29191</v>
      </c>
      <c r="AE128" s="6" t="str">
        <f>IFERROR(__xludf.DUMMYFUNCTION("""COMPUTED_VALUE"""),"bg")</f>
        <v>bg</v>
      </c>
      <c r="AF128" s="6" t="str">
        <f>IFERROR(__xludf.DUMMYFUNCTION("""COMPUTED_VALUE"""),"Onbekend")</f>
        <v>Onbekend</v>
      </c>
      <c r="AG128" s="6" t="str">
        <f>IFERROR(__xludf.DUMMYFUNCTION("""COMPUTED_VALUE"""),"Hr. D.O. Ibryam")</f>
        <v>Hr. D.O. Ibryam</v>
      </c>
      <c r="AH128" s="6" t="str">
        <f>IFERROR(__xludf.DUMMYFUNCTION("""COMPUTED_VALUE"""),"NL73INGB0688674844")</f>
        <v>NL73INGB0688674844</v>
      </c>
      <c r="AI128" s="6"/>
      <c r="AJ128" s="6" t="str">
        <f>IFERROR(__xludf.DUMMYFUNCTION("""COMPUTED_VALUE"""),"ID Kaart")</f>
        <v>ID Kaart</v>
      </c>
      <c r="AK128" s="6">
        <f>IFERROR(__xludf.DUMMYFUNCTION("""COMPUTED_VALUE"""),6.42779254E8)</f>
        <v>642779254</v>
      </c>
      <c r="AL128" s="9">
        <f>IFERROR(__xludf.DUMMYFUNCTION("""COMPUTED_VALUE"""),45528.0)</f>
        <v>45528</v>
      </c>
      <c r="AM128" s="6"/>
      <c r="AN128" s="6" t="str">
        <f>IFERROR(__xludf.DUMMYFUNCTION("""COMPUTED_VALUE"""),"Denis Osman Ibryam")</f>
        <v>Denis Osman Ibryam</v>
      </c>
      <c r="AO128" s="6"/>
    </row>
    <row r="129">
      <c r="A129" s="6" t="str">
        <f>IFERROR(__xludf.DUMMYFUNCTION("""COMPUTED_VALUE"""),"Denis Kulev 02")</f>
        <v>Denis Kulev 02</v>
      </c>
      <c r="B129" s="6" t="str">
        <f>IFERROR(__xludf.DUMMYFUNCTION("""COMPUTED_VALUE"""),"Denis Kulev 02")</f>
        <v>Denis Kulev 02</v>
      </c>
      <c r="C129" s="6">
        <f>IFERROR(__xludf.DUMMYFUNCTION("""COMPUTED_VALUE"""),1303.0)</f>
        <v>1303</v>
      </c>
      <c r="D129" s="7" t="str">
        <f>IFERROR(__xludf.DUMMYFUNCTION("""COMPUTED_VALUE"""),"Denis Rosenov Kulev")</f>
        <v>Denis Rosenov Kulev</v>
      </c>
      <c r="E129" s="7" t="str">
        <f>IFERROR(__xludf.DUMMYFUNCTION("""COMPUTED_VALUE"""),"SBI-code: 4120 - Algemene burgerlijke en utiliteitsbouw")</f>
        <v>SBI-code: 4120 - Algemene burgerlijke en utiliteitsbouw</v>
      </c>
      <c r="F129" s="7" t="str">
        <f>IFERROR(__xludf.DUMMYFUNCTION("""COMPUTED_VALUE"""),"0628819143")</f>
        <v>0628819143</v>
      </c>
      <c r="G129" s="6" t="str">
        <f>IFERROR(__xludf.DUMMYFUNCTION("""COMPUTED_VALUE"""),"deniskulev26@gmail.com")</f>
        <v>deniskulev26@gmail.com</v>
      </c>
      <c r="H129" s="6" t="str">
        <f>IFERROR(__xludf.DUMMYFUNCTION("""COMPUTED_VALUE"""),"Havendijk 101")</f>
        <v>Havendijk 101</v>
      </c>
      <c r="I129" s="6" t="str">
        <f>IFERROR(__xludf.DUMMYFUNCTION("""COMPUTED_VALUE"""),"3114EA")</f>
        <v>3114EA</v>
      </c>
      <c r="J129" s="6" t="str">
        <f>IFERROR(__xludf.DUMMYFUNCTION("""COMPUTED_VALUE"""),"Schiedam")</f>
        <v>Schiedam</v>
      </c>
      <c r="K129" s="6" t="str">
        <f>IFERROR(__xludf.DUMMYFUNCTION("""COMPUTED_VALUE"""),"Nederland")</f>
        <v>Nederland</v>
      </c>
      <c r="L129" s="6" t="str">
        <f>IFERROR(__xludf.DUMMYFUNCTION("""COMPUTED_VALUE"""),"Кулев")</f>
        <v>Кулев</v>
      </c>
      <c r="M129" s="8">
        <f>IFERROR(__xludf.DUMMYFUNCTION("""COMPUTED_VALUE"""),44601.0)</f>
        <v>44601</v>
      </c>
      <c r="N129" s="6" t="str">
        <f>IFERROR(__xludf.DUMMYFUNCTION("""COMPUTED_VALUE"""),"NL514911347B01")</f>
        <v>NL514911347B01</v>
      </c>
      <c r="O129" s="6">
        <f>IFERROR(__xludf.DUMMYFUNCTION("""COMPUTED_VALUE"""),8.5439878E7)</f>
        <v>85439878</v>
      </c>
      <c r="P129" s="6" t="str">
        <f>IFERROR(__xludf.DUMMYFUNCTION("""COMPUTED_VALUE"""),"NL09INGB0388510951")</f>
        <v>NL09INGB0388510951</v>
      </c>
      <c r="Q129" s="9">
        <f>IFERROR(__xludf.DUMMYFUNCTION("""COMPUTED_VALUE"""),44601.0)</f>
        <v>44601</v>
      </c>
      <c r="R129" s="6"/>
      <c r="S129" s="6" t="str">
        <f>IFERROR(__xludf.DUMMYFUNCTION("""COMPUTED_VALUE"""),"NL004095429B48")</f>
        <v>NL004095429B48</v>
      </c>
      <c r="T129" s="6">
        <f>IFERROR(__xludf.DUMMYFUNCTION("""COMPUTED_VALUE"""),5.14911347E8)</f>
        <v>514911347</v>
      </c>
      <c r="U129" s="7" t="str">
        <f>IFERROR(__xludf.DUMMYFUNCTION("""COMPUTED_VALUE"""),"Eenmanszaak")</f>
        <v>Eenmanszaak</v>
      </c>
      <c r="V129" s="7" t="str">
        <f>IFERROR(__xludf.DUMMYFUNCTION("""COMPUTED_VALUE"""),"000051485435")</f>
        <v>000051485435</v>
      </c>
      <c r="W129" s="6" t="str">
        <f>IFERROR(__xludf.DUMMYFUNCTION("""COMPUTED_VALUE"""),"ink.deniskulev02.2288aa@zarabota.nl")</f>
        <v>ink.deniskulev02.2288aa@zarabota.nl</v>
      </c>
      <c r="X129" s="6" t="str">
        <f>IFERROR(__xludf.DUMMYFUNCTION("""COMPUTED_VALUE"""),"ver.deniskulev02.2288aa@zarabota.nl")</f>
        <v>ver.deniskulev02.2288aa@zarabota.nl</v>
      </c>
      <c r="Y129" s="6" t="str">
        <f>IFERROR(__xludf.DUMMYFUNCTION("""COMPUTED_VALUE"""),"Hr.")</f>
        <v>Hr.</v>
      </c>
      <c r="Z129" s="6" t="str">
        <f>IFERROR(__xludf.DUMMYFUNCTION("""COMPUTED_VALUE"""),"Denis Rosenov")</f>
        <v>Denis Rosenov</v>
      </c>
      <c r="AA129" s="6" t="str">
        <f>IFERROR(__xludf.DUMMYFUNCTION("""COMPUTED_VALUE"""),"Kulev")</f>
        <v>Kulev</v>
      </c>
      <c r="AB129" s="6" t="str">
        <f>IFERROR(__xludf.DUMMYFUNCTION("""COMPUTED_VALUE"""),"D.R.")</f>
        <v>D.R.</v>
      </c>
      <c r="AC129" s="6">
        <f>IFERROR(__xludf.DUMMYFUNCTION("""COMPUTED_VALUE"""),5.14911347E8)</f>
        <v>514911347</v>
      </c>
      <c r="AD129" s="9">
        <f>IFERROR(__xludf.DUMMYFUNCTION("""COMPUTED_VALUE"""),37421.0)</f>
        <v>37421</v>
      </c>
      <c r="AE129" s="6" t="str">
        <f>IFERROR(__xludf.DUMMYFUNCTION("""COMPUTED_VALUE"""),"bg")</f>
        <v>bg</v>
      </c>
      <c r="AF129" s="6" t="str">
        <f>IFERROR(__xludf.DUMMYFUNCTION("""COMPUTED_VALUE"""),"Devin")</f>
        <v>Devin</v>
      </c>
      <c r="AG129" s="6" t="str">
        <f>IFERROR(__xludf.DUMMYFUNCTION("""COMPUTED_VALUE"""),"Hr. D.R. Kulev")</f>
        <v>Hr. D.R. Kulev</v>
      </c>
      <c r="AH129" s="6" t="str">
        <f>IFERROR(__xludf.DUMMYFUNCTION("""COMPUTED_VALUE"""),"NL19INGB0637651197")</f>
        <v>NL19INGB0637651197</v>
      </c>
      <c r="AI129" s="6"/>
      <c r="AJ129" s="6" t="str">
        <f>IFERROR(__xludf.DUMMYFUNCTION("""COMPUTED_VALUE"""),"ID Kaart")</f>
        <v>ID Kaart</v>
      </c>
      <c r="AK129" s="6">
        <f>IFERROR(__xludf.DUMMYFUNCTION("""COMPUTED_VALUE"""),6.47901053E8)</f>
        <v>647901053</v>
      </c>
      <c r="AL129" s="9">
        <f>IFERROR(__xludf.DUMMYFUNCTION("""COMPUTED_VALUE"""),44871.0)</f>
        <v>44871</v>
      </c>
      <c r="AM129" s="6" t="str">
        <f>IFERROR(__xludf.DUMMYFUNCTION("""COMPUTED_VALUE"""),"Bulgarije")</f>
        <v>Bulgarije</v>
      </c>
      <c r="AN129" s="6" t="str">
        <f>IFERROR(__xludf.DUMMYFUNCTION("""COMPUTED_VALUE"""),"Denis Rosenov Kulev")</f>
        <v>Denis Rosenov Kulev</v>
      </c>
      <c r="AO129" s="6">
        <f>IFERROR(__xludf.DUMMYFUNCTION("""COMPUTED_VALUE"""),1303.0)</f>
        <v>1303</v>
      </c>
    </row>
    <row r="130">
      <c r="A130" s="6" t="str">
        <f>IFERROR(__xludf.DUMMYFUNCTION("""COMPUTED_VALUE"""),"Dennis 90 VOF")</f>
        <v>Dennis 90 VOF</v>
      </c>
      <c r="B130" s="6" t="str">
        <f>IFERROR(__xludf.DUMMYFUNCTION("""COMPUTED_VALUE"""),"Dennis 90 VOF")</f>
        <v>Dennis 90 VOF</v>
      </c>
      <c r="C130" s="6">
        <f>IFERROR(__xludf.DUMMYFUNCTION("""COMPUTED_VALUE"""),520.0)</f>
        <v>520</v>
      </c>
      <c r="D130" s="7" t="str">
        <f>IFERROR(__xludf.DUMMYFUNCTION("""COMPUTED_VALUE"""),"Denislav Milanov Kosov")</f>
        <v>Denislav Milanov Kosov</v>
      </c>
      <c r="E130" s="7" t="str">
        <f>IFERROR(__xludf.DUMMYFUNCTION("""COMPUTED_VALUE"""),"SBI-code: 4120 - Algemene burgerlijke en utiliteitsbouw")</f>
        <v>SBI-code: 4120 - Algemene burgerlijke en utiliteitsbouw</v>
      </c>
      <c r="F130" s="7" t="str">
        <f>IFERROR(__xludf.DUMMYFUNCTION("""COMPUTED_VALUE"""),"0638151816")</f>
        <v>0638151816</v>
      </c>
      <c r="G130" s="6" t="str">
        <f>IFERROR(__xludf.DUMMYFUNCTION("""COMPUTED_VALUE"""),"dennis90vof@zzp-nl.nl")</f>
        <v>dennis90vof@zzp-nl.nl</v>
      </c>
      <c r="H130" s="6" t="str">
        <f>IFERROR(__xludf.DUMMYFUNCTION("""COMPUTED_VALUE"""),"David Blesstraat 88")</f>
        <v>David Blesstraat 88</v>
      </c>
      <c r="I130" s="6" t="str">
        <f>IFERROR(__xludf.DUMMYFUNCTION("""COMPUTED_VALUE"""),"2526BK")</f>
        <v>2526BK</v>
      </c>
      <c r="J130" s="6" t="str">
        <f>IFERROR(__xludf.DUMMYFUNCTION("""COMPUTED_VALUE"""),"s-Gravenhage")</f>
        <v>s-Gravenhage</v>
      </c>
      <c r="K130" s="6" t="str">
        <f>IFERROR(__xludf.DUMMYFUNCTION("""COMPUTED_VALUE"""),"Nederland")</f>
        <v>Nederland</v>
      </c>
      <c r="L130" s="6" t="str">
        <f>IFERROR(__xludf.DUMMYFUNCTION("""COMPUTED_VALUE"""),"Косов")</f>
        <v>Косов</v>
      </c>
      <c r="M130" s="8">
        <f>IFERROR(__xludf.DUMMYFUNCTION("""COMPUTED_VALUE"""),43175.0)</f>
        <v>43175</v>
      </c>
      <c r="N130" s="6" t="str">
        <f>IFERROR(__xludf.DUMMYFUNCTION("""COMPUTED_VALUE"""),"NL858464834B01")</f>
        <v>NL858464834B01</v>
      </c>
      <c r="O130" s="6">
        <f>IFERROR(__xludf.DUMMYFUNCTION("""COMPUTED_VALUE"""),7.0800235E7)</f>
        <v>70800235</v>
      </c>
      <c r="P130" s="6" t="str">
        <f>IFERROR(__xludf.DUMMYFUNCTION("""COMPUTED_VALUE"""),"NL34INGB0008058362")</f>
        <v>NL34INGB0008058362</v>
      </c>
      <c r="Q130" s="9">
        <f>IFERROR(__xludf.DUMMYFUNCTION("""COMPUTED_VALUE"""),43101.0)</f>
        <v>43101</v>
      </c>
      <c r="R130" s="6"/>
      <c r="S130" s="6" t="str">
        <f>IFERROR(__xludf.DUMMYFUNCTION("""COMPUTED_VALUE"""),"NL858464834B01")</f>
        <v>NL858464834B01</v>
      </c>
      <c r="T130" s="6">
        <f>IFERROR(__xludf.DUMMYFUNCTION("""COMPUTED_VALUE"""),8.58464834E8)</f>
        <v>858464834</v>
      </c>
      <c r="U130" s="7" t="str">
        <f>IFERROR(__xludf.DUMMYFUNCTION("""COMPUTED_VALUE"""),"Eenmanszaak")</f>
        <v>Eenmanszaak</v>
      </c>
      <c r="V130" s="7" t="str">
        <f>IFERROR(__xludf.DUMMYFUNCTION("""COMPUTED_VALUE"""),"000027152596")</f>
        <v>000027152596</v>
      </c>
      <c r="W130" s="6" t="str">
        <f>IFERROR(__xludf.DUMMYFUNCTION("""COMPUTED_VALUE"""),"ink.dennis90vof.2288aa@zarabota.nl")</f>
        <v>ink.dennis90vof.2288aa@zarabota.nl</v>
      </c>
      <c r="X130" s="6" t="str">
        <f>IFERROR(__xludf.DUMMYFUNCTION("""COMPUTED_VALUE"""),"ver.dennis90vof.2288aa@zarabota.nl")</f>
        <v>ver.dennis90vof.2288aa@zarabota.nl</v>
      </c>
      <c r="Y130" s="6" t="str">
        <f>IFERROR(__xludf.DUMMYFUNCTION("""COMPUTED_VALUE"""),"Hr.")</f>
        <v>Hr.</v>
      </c>
      <c r="Z130" s="6" t="str">
        <f>IFERROR(__xludf.DUMMYFUNCTION("""COMPUTED_VALUE"""),"Denislav Milanov")</f>
        <v>Denislav Milanov</v>
      </c>
      <c r="AA130" s="6" t="str">
        <f>IFERROR(__xludf.DUMMYFUNCTION("""COMPUTED_VALUE"""),"Kosov")</f>
        <v>Kosov</v>
      </c>
      <c r="AB130" s="6" t="str">
        <f>IFERROR(__xludf.DUMMYFUNCTION("""COMPUTED_VALUE"""),"D.M.")</f>
        <v>D.M.</v>
      </c>
      <c r="AC130" s="6">
        <f>IFERROR(__xludf.DUMMYFUNCTION("""COMPUTED_VALUE"""),4.86963949E8)</f>
        <v>486963949</v>
      </c>
      <c r="AD130" s="9">
        <f>IFERROR(__xludf.DUMMYFUNCTION("""COMPUTED_VALUE"""),32945.0)</f>
        <v>32945</v>
      </c>
      <c r="AE130" s="6" t="str">
        <f>IFERROR(__xludf.DUMMYFUNCTION("""COMPUTED_VALUE"""),"bg")</f>
        <v>bg</v>
      </c>
      <c r="AF130" s="6" t="str">
        <f>IFERROR(__xludf.DUMMYFUNCTION("""COMPUTED_VALUE"""),"Ardino")</f>
        <v>Ardino</v>
      </c>
      <c r="AG130" s="6" t="str">
        <f>IFERROR(__xludf.DUMMYFUNCTION("""COMPUTED_VALUE"""),"Hr. D.M. Kosov")</f>
        <v>Hr. D.M. Kosov</v>
      </c>
      <c r="AH130" s="6" t="str">
        <f>IFERROR(__xludf.DUMMYFUNCTION("""COMPUTED_VALUE"""),"NL29INGB0684194236")</f>
        <v>NL29INGB0684194236</v>
      </c>
      <c r="AI130" s="6"/>
      <c r="AJ130" s="6"/>
      <c r="AK130" s="6"/>
      <c r="AL130" s="6"/>
      <c r="AM130" s="6"/>
      <c r="AN130" s="6" t="str">
        <f>IFERROR(__xludf.DUMMYFUNCTION("""COMPUTED_VALUE"""),"Denislav Milanov Kosov")</f>
        <v>Denislav Milanov Kosov</v>
      </c>
      <c r="AO130" s="6"/>
    </row>
    <row r="131">
      <c r="A131" s="6" t="str">
        <f>IFERROR(__xludf.DUMMYFUNCTION("""COMPUTED_VALUE"""),"Dennis_2000")</f>
        <v>Dennis_2000</v>
      </c>
      <c r="B131" s="6" t="str">
        <f>IFERROR(__xludf.DUMMYFUNCTION("""COMPUTED_VALUE"""),"Dennis_2000")</f>
        <v>Dennis_2000</v>
      </c>
      <c r="C131" s="6">
        <f>IFERROR(__xludf.DUMMYFUNCTION("""COMPUTED_VALUE"""),1582.0)</f>
        <v>1582</v>
      </c>
      <c r="D131" s="7" t="str">
        <f>IFERROR(__xludf.DUMMYFUNCTION("""COMPUTED_VALUE"""),"Denis Zaharinkov Shterev")</f>
        <v>Denis Zaharinkov Shterev</v>
      </c>
      <c r="E131" s="7" t="str">
        <f>IFERROR(__xludf.DUMMYFUNCTION("""COMPUTED_VALUE"""),"SBI-code: 4120 - Algemene burgerlijke en utiliteitsbouw")</f>
        <v>SBI-code: 4120 - Algemene burgerlijke en utiliteitsbouw</v>
      </c>
      <c r="F131" s="7" t="str">
        <f>IFERROR(__xludf.DUMMYFUNCTION("""COMPUTED_VALUE"""),"0684167398")</f>
        <v>0684167398</v>
      </c>
      <c r="G131" s="6" t="str">
        <f>IFERROR(__xludf.DUMMYFUNCTION("""COMPUTED_VALUE"""),"shterev001@gmail.com")</f>
        <v>shterev001@gmail.com</v>
      </c>
      <c r="H131" s="6" t="str">
        <f>IFERROR(__xludf.DUMMYFUNCTION("""COMPUTED_VALUE"""),"Schalk Burgerstraat 333")</f>
        <v>Schalk Burgerstraat 333</v>
      </c>
      <c r="I131" s="6" t="str">
        <f>IFERROR(__xludf.DUMMYFUNCTION("""COMPUTED_VALUE"""),"2572TA")</f>
        <v>2572TA</v>
      </c>
      <c r="J131" s="6" t="str">
        <f>IFERROR(__xludf.DUMMYFUNCTION("""COMPUTED_VALUE"""),"s-Gravenhage")</f>
        <v>s-Gravenhage</v>
      </c>
      <c r="K131" s="6" t="str">
        <f>IFERROR(__xludf.DUMMYFUNCTION("""COMPUTED_VALUE"""),"Nederland")</f>
        <v>Nederland</v>
      </c>
      <c r="L131" s="6" t="str">
        <f>IFERROR(__xludf.DUMMYFUNCTION("""COMPUTED_VALUE"""),"Щерев")</f>
        <v>Щерев</v>
      </c>
      <c r="M131" s="8">
        <f>IFERROR(__xludf.DUMMYFUNCTION("""COMPUTED_VALUE"""),45321.0)</f>
        <v>45321</v>
      </c>
      <c r="N131" s="6" t="str">
        <f>IFERROR(__xludf.DUMMYFUNCTION("""COMPUTED_VALUE"""),"NL677690083B01")</f>
        <v>NL677690083B01</v>
      </c>
      <c r="O131" s="6">
        <f>IFERROR(__xludf.DUMMYFUNCTION("""COMPUTED_VALUE"""),9.2811868E7)</f>
        <v>92811868</v>
      </c>
      <c r="P131" s="6" t="str">
        <f>IFERROR(__xludf.DUMMYFUNCTION("""COMPUTED_VALUE"""),"NL79INGB0104817283")</f>
        <v>NL79INGB0104817283</v>
      </c>
      <c r="Q131" s="9">
        <f>IFERROR(__xludf.DUMMYFUNCTION("""COMPUTED_VALUE"""),45321.0)</f>
        <v>45321</v>
      </c>
      <c r="R131" s="6"/>
      <c r="S131" s="6" t="str">
        <f>IFERROR(__xludf.DUMMYFUNCTION("""COMPUTED_VALUE"""),"NL004977874B15")</f>
        <v>NL004977874B15</v>
      </c>
      <c r="T131" s="6">
        <f>IFERROR(__xludf.DUMMYFUNCTION("""COMPUTED_VALUE"""),6.77690083E8)</f>
        <v>677690083</v>
      </c>
      <c r="U131" s="7" t="str">
        <f>IFERROR(__xludf.DUMMYFUNCTION("""COMPUTED_VALUE"""),"Eenmanszaak")</f>
        <v>Eenmanszaak</v>
      </c>
      <c r="V131" s="7" t="str">
        <f>IFERROR(__xludf.DUMMYFUNCTION("""COMPUTED_VALUE"""),"000058392475")</f>
        <v>000058392475</v>
      </c>
      <c r="W131" s="6" t="str">
        <f>IFERROR(__xludf.DUMMYFUNCTION("""COMPUTED_VALUE"""),"ink.dennis_2000.2288aa@zarabota.nl")</f>
        <v>ink.dennis_2000.2288aa@zarabota.nl</v>
      </c>
      <c r="X131" s="6" t="str">
        <f>IFERROR(__xludf.DUMMYFUNCTION("""COMPUTED_VALUE"""),"ver.dennis_2000.2288aa@zarabota.nl")</f>
        <v>ver.dennis_2000.2288aa@zarabota.nl</v>
      </c>
      <c r="Y131" s="6" t="str">
        <f>IFERROR(__xludf.DUMMYFUNCTION("""COMPUTED_VALUE"""),"Hr.")</f>
        <v>Hr.</v>
      </c>
      <c r="Z131" s="6" t="str">
        <f>IFERROR(__xludf.DUMMYFUNCTION("""COMPUTED_VALUE"""),"Denis Zaharinkov")</f>
        <v>Denis Zaharinkov</v>
      </c>
      <c r="AA131" s="6" t="str">
        <f>IFERROR(__xludf.DUMMYFUNCTION("""COMPUTED_VALUE"""),"Shterev")</f>
        <v>Shterev</v>
      </c>
      <c r="AB131" s="6" t="str">
        <f>IFERROR(__xludf.DUMMYFUNCTION("""COMPUTED_VALUE"""),"D.Z.")</f>
        <v>D.Z.</v>
      </c>
      <c r="AC131" s="6">
        <f>IFERROR(__xludf.DUMMYFUNCTION("""COMPUTED_VALUE"""),6.77690083E8)</f>
        <v>677690083</v>
      </c>
      <c r="AD131" s="9">
        <f>IFERROR(__xludf.DUMMYFUNCTION("""COMPUTED_VALUE"""),36747.0)</f>
        <v>36747</v>
      </c>
      <c r="AE131" s="6" t="str">
        <f>IFERROR(__xludf.DUMMYFUNCTION("""COMPUTED_VALUE"""),"bg")</f>
        <v>bg</v>
      </c>
      <c r="AF131" s="6"/>
      <c r="AG131" s="6" t="str">
        <f>IFERROR(__xludf.DUMMYFUNCTION("""COMPUTED_VALUE"""),"Hr. D.Z. Shterev")</f>
        <v>Hr. D.Z. Shterev</v>
      </c>
      <c r="AH131" s="6" t="str">
        <f>IFERROR(__xludf.DUMMYFUNCTION("""COMPUTED_VALUE"""),"NL28RABO0339323108")</f>
        <v>NL28RABO0339323108</v>
      </c>
      <c r="AI131" s="6"/>
      <c r="AJ131" s="6" t="str">
        <f>IFERROR(__xludf.DUMMYFUNCTION("""COMPUTED_VALUE"""),"ID Kaart")</f>
        <v>ID Kaart</v>
      </c>
      <c r="AK131" s="6">
        <f>IFERROR(__xludf.DUMMYFUNCTION("""COMPUTED_VALUE"""),6.50320833E8)</f>
        <v>650320833</v>
      </c>
      <c r="AL131" s="9">
        <f>IFERROR(__xludf.DUMMYFUNCTION("""COMPUTED_VALUE"""),48001.0)</f>
        <v>48001</v>
      </c>
      <c r="AM131" s="6" t="str">
        <f>IFERROR(__xludf.DUMMYFUNCTION("""COMPUTED_VALUE"""),"Bulgarije")</f>
        <v>Bulgarije</v>
      </c>
      <c r="AN131" s="6" t="str">
        <f>IFERROR(__xludf.DUMMYFUNCTION("""COMPUTED_VALUE"""),"Denis Zaharinkov Shterev")</f>
        <v>Denis Zaharinkov Shterev</v>
      </c>
      <c r="AO131" s="6">
        <f>IFERROR(__xludf.DUMMYFUNCTION("""COMPUTED_VALUE"""),1582.0)</f>
        <v>1582</v>
      </c>
    </row>
    <row r="132">
      <c r="A132" s="6" t="str">
        <f>IFERROR(__xludf.DUMMYFUNCTION("""COMPUTED_VALUE"""),"Depan Consult VOF")</f>
        <v>Depan Consult VOF</v>
      </c>
      <c r="B132" s="6" t="str">
        <f>IFERROR(__xludf.DUMMYFUNCTION("""COMPUTED_VALUE"""),"Depan Consult VOF")</f>
        <v>Depan Consult VOF</v>
      </c>
      <c r="C132" s="6">
        <f>IFERROR(__xludf.DUMMYFUNCTION("""COMPUTED_VALUE"""),926.0)</f>
        <v>926</v>
      </c>
      <c r="D132" s="7" t="str">
        <f>IFERROR(__xludf.DUMMYFUNCTION("""COMPUTED_VALUE"""),"Desislava Georgieva Pandova")</f>
        <v>Desislava Georgieva Pandova</v>
      </c>
      <c r="E132" s="7" t="str">
        <f>IFERROR(__xludf.DUMMYFUNCTION("""COMPUTED_VALUE"""),"SBI-code: 4120 - Algemene burgerlijke en utiliteitsbouw")</f>
        <v>SBI-code: 4120 - Algemene burgerlijke en utiliteitsbouw</v>
      </c>
      <c r="F132" s="7" t="str">
        <f>IFERROR(__xludf.DUMMYFUNCTION("""COMPUTED_VALUE"""),"0687826965")</f>
        <v>0687826965</v>
      </c>
      <c r="G132" s="6" t="str">
        <f>IFERROR(__xludf.DUMMYFUNCTION("""COMPUTED_VALUE"""),"jasen1185@gmail.com")</f>
        <v>jasen1185@gmail.com</v>
      </c>
      <c r="H132" s="6" t="str">
        <f>IFERROR(__xludf.DUMMYFUNCTION("""COMPUTED_VALUE"""),"Lelievaart 66")</f>
        <v>Lelievaart 66</v>
      </c>
      <c r="I132" s="6" t="str">
        <f>IFERROR(__xludf.DUMMYFUNCTION("""COMPUTED_VALUE"""),"2724SG")</f>
        <v>2724SG</v>
      </c>
      <c r="J132" s="6" t="str">
        <f>IFERROR(__xludf.DUMMYFUNCTION("""COMPUTED_VALUE"""),"s-Gravenhage")</f>
        <v>s-Gravenhage</v>
      </c>
      <c r="K132" s="6" t="str">
        <f>IFERROR(__xludf.DUMMYFUNCTION("""COMPUTED_VALUE"""),"Nederland")</f>
        <v>Nederland</v>
      </c>
      <c r="L132" s="6" t="str">
        <f>IFERROR(__xludf.DUMMYFUNCTION("""COMPUTED_VALUE"""),"Пандова")</f>
        <v>Пандова</v>
      </c>
      <c r="M132" s="8">
        <f>IFERROR(__xludf.DUMMYFUNCTION("""COMPUTED_VALUE"""),43831.0)</f>
        <v>43831</v>
      </c>
      <c r="N132" s="6" t="str">
        <f>IFERROR(__xludf.DUMMYFUNCTION("""COMPUTED_VALUE"""),"NL860863116B01")</f>
        <v>NL860863116B01</v>
      </c>
      <c r="O132" s="6">
        <f>IFERROR(__xludf.DUMMYFUNCTION("""COMPUTED_VALUE"""),7.698616E7)</f>
        <v>76986160</v>
      </c>
      <c r="P132" s="6" t="str">
        <f>IFERROR(__xludf.DUMMYFUNCTION("""COMPUTED_VALUE"""),"NL20INGB0007427241")</f>
        <v>NL20INGB0007427241</v>
      </c>
      <c r="Q132" s="9">
        <f>IFERROR(__xludf.DUMMYFUNCTION("""COMPUTED_VALUE"""),43831.0)</f>
        <v>43831</v>
      </c>
      <c r="R132" s="6"/>
      <c r="S132" s="6" t="str">
        <f>IFERROR(__xludf.DUMMYFUNCTION("""COMPUTED_VALUE"""),"NL860863116B01")</f>
        <v>NL860863116B01</v>
      </c>
      <c r="T132" s="6">
        <f>IFERROR(__xludf.DUMMYFUNCTION("""COMPUTED_VALUE"""),8.60863116E8)</f>
        <v>860863116</v>
      </c>
      <c r="U132" s="7" t="str">
        <f>IFERROR(__xludf.DUMMYFUNCTION("""COMPUTED_VALUE"""),"Eenmanszaak")</f>
        <v>Eenmanszaak</v>
      </c>
      <c r="V132" s="7" t="str">
        <f>IFERROR(__xludf.DUMMYFUNCTION("""COMPUTED_VALUE"""),"000035327669")</f>
        <v>000035327669</v>
      </c>
      <c r="W132" s="6" t="str">
        <f>IFERROR(__xludf.DUMMYFUNCTION("""COMPUTED_VALUE"""),"ink.depanconsultvof.2288aa@zarabota.nl")</f>
        <v>ink.depanconsultvof.2288aa@zarabota.nl</v>
      </c>
      <c r="X132" s="6" t="str">
        <f>IFERROR(__xludf.DUMMYFUNCTION("""COMPUTED_VALUE"""),"ver.depanconsultvof.2288aa@zarabota.nl")</f>
        <v>ver.depanconsultvof.2288aa@zarabota.nl</v>
      </c>
      <c r="Y132" s="6" t="str">
        <f>IFERROR(__xludf.DUMMYFUNCTION("""COMPUTED_VALUE"""),"Mw.")</f>
        <v>Mw.</v>
      </c>
      <c r="Z132" s="6" t="str">
        <f>IFERROR(__xludf.DUMMYFUNCTION("""COMPUTED_VALUE"""),"Desislava Georgieva")</f>
        <v>Desislava Georgieva</v>
      </c>
      <c r="AA132" s="6" t="str">
        <f>IFERROR(__xludf.DUMMYFUNCTION("""COMPUTED_VALUE"""),"Pandova")</f>
        <v>Pandova</v>
      </c>
      <c r="AB132" s="6" t="str">
        <f>IFERROR(__xludf.DUMMYFUNCTION("""COMPUTED_VALUE"""),"D.G.")</f>
        <v>D.G.</v>
      </c>
      <c r="AC132" s="6">
        <f>IFERROR(__xludf.DUMMYFUNCTION("""COMPUTED_VALUE"""),5.67161729E8)</f>
        <v>567161729</v>
      </c>
      <c r="AD132" s="9">
        <f>IFERROR(__xludf.DUMMYFUNCTION("""COMPUTED_VALUE"""),32182.0)</f>
        <v>32182</v>
      </c>
      <c r="AE132" s="6" t="str">
        <f>IFERROR(__xludf.DUMMYFUNCTION("""COMPUTED_VALUE"""),"bg")</f>
        <v>bg</v>
      </c>
      <c r="AF132" s="6" t="str">
        <f>IFERROR(__xludf.DUMMYFUNCTION("""COMPUTED_VALUE"""),"Asenovgrad")</f>
        <v>Asenovgrad</v>
      </c>
      <c r="AG132" s="6" t="str">
        <f>IFERROR(__xludf.DUMMYFUNCTION("""COMPUTED_VALUE"""),"Mw. D.G. Pandova")</f>
        <v>Mw. D.G. Pandova</v>
      </c>
      <c r="AH132" s="6" t="str">
        <f>IFERROR(__xludf.DUMMYFUNCTION("""COMPUTED_VALUE"""),"NL93INGB0657470457")</f>
        <v>NL93INGB0657470457</v>
      </c>
      <c r="AI132" s="6"/>
      <c r="AJ132" s="6" t="str">
        <f>IFERROR(__xludf.DUMMYFUNCTION("""COMPUTED_VALUE"""),"ID Kaart")</f>
        <v>ID Kaart</v>
      </c>
      <c r="AK132" s="6">
        <f>IFERROR(__xludf.DUMMYFUNCTION("""COMPUTED_VALUE"""),6.47908212E8)</f>
        <v>647908212</v>
      </c>
      <c r="AL132" s="9">
        <f>IFERROR(__xludf.DUMMYFUNCTION("""COMPUTED_VALUE"""),47036.0)</f>
        <v>47036</v>
      </c>
      <c r="AM132" s="6" t="str">
        <f>IFERROR(__xludf.DUMMYFUNCTION("""COMPUTED_VALUE"""),"Bulgarije")</f>
        <v>Bulgarije</v>
      </c>
      <c r="AN132" s="6" t="str">
        <f>IFERROR(__xludf.DUMMYFUNCTION("""COMPUTED_VALUE"""),"Desislava Georgieva Pandova")</f>
        <v>Desislava Georgieva Pandova</v>
      </c>
      <c r="AO132" s="6"/>
    </row>
    <row r="133">
      <c r="A133" s="6" t="str">
        <f>IFERROR(__xludf.DUMMYFUNCTION("""COMPUTED_VALUE"""),"Dermendzhiev")</f>
        <v>Dermendzhiev</v>
      </c>
      <c r="B133" s="6" t="str">
        <f>IFERROR(__xludf.DUMMYFUNCTION("""COMPUTED_VALUE"""),"Dermendzhiev")</f>
        <v>Dermendzhiev</v>
      </c>
      <c r="C133" s="6">
        <f>IFERROR(__xludf.DUMMYFUNCTION("""COMPUTED_VALUE"""),1304.0)</f>
        <v>1304</v>
      </c>
      <c r="D133" s="7" t="str">
        <f>IFERROR(__xludf.DUMMYFUNCTION("""COMPUTED_VALUE"""),"Hristo Asenov Dermendzhiev")</f>
        <v>Hristo Asenov Dermendzhiev</v>
      </c>
      <c r="E133" s="7" t="str">
        <f>IFERROR(__xludf.DUMMYFUNCTION("""COMPUTED_VALUE"""),"SBI-code: 4120 - Algemene burgerlijke en utiliteitsbouw")</f>
        <v>SBI-code: 4120 - Algemene burgerlijke en utiliteitsbouw</v>
      </c>
      <c r="F133" s="7" t="str">
        <f>IFERROR(__xludf.DUMMYFUNCTION("""COMPUTED_VALUE"""),"0686322302")</f>
        <v>0686322302</v>
      </c>
      <c r="G133" s="6" t="str">
        <f>IFERROR(__xludf.DUMMYFUNCTION("""COMPUTED_VALUE"""),"hristo0204@gmail.com")</f>
        <v>hristo0204@gmail.com</v>
      </c>
      <c r="H133" s="6" t="str">
        <f>IFERROR(__xludf.DUMMYFUNCTION("""COMPUTED_VALUE"""),"Werkhovenstraat 3")</f>
        <v>Werkhovenstraat 3</v>
      </c>
      <c r="I133" s="6" t="str">
        <f>IFERROR(__xludf.DUMMYFUNCTION("""COMPUTED_VALUE"""),"2546VA")</f>
        <v>2546VA</v>
      </c>
      <c r="J133" s="6" t="str">
        <f>IFERROR(__xludf.DUMMYFUNCTION("""COMPUTED_VALUE"""),"s-Gravenhage")</f>
        <v>s-Gravenhage</v>
      </c>
      <c r="K133" s="6" t="str">
        <f>IFERROR(__xludf.DUMMYFUNCTION("""COMPUTED_VALUE"""),"Nederland")</f>
        <v>Nederland</v>
      </c>
      <c r="L133" s="6" t="str">
        <f>IFERROR(__xludf.DUMMYFUNCTION("""COMPUTED_VALUE"""),"Дерменджиев")</f>
        <v>Дерменджиев</v>
      </c>
      <c r="M133" s="8">
        <f>IFERROR(__xludf.DUMMYFUNCTION("""COMPUTED_VALUE"""),44621.0)</f>
        <v>44621</v>
      </c>
      <c r="N133" s="6" t="str">
        <f>IFERROR(__xludf.DUMMYFUNCTION("""COMPUTED_VALUE"""),"NL571208162B01")</f>
        <v>NL571208162B01</v>
      </c>
      <c r="O133" s="6">
        <f>IFERROR(__xludf.DUMMYFUNCTION("""COMPUTED_VALUE"""),8.57345E7)</f>
        <v>85734500</v>
      </c>
      <c r="P133" s="6" t="str">
        <f>IFERROR(__xludf.DUMMYFUNCTION("""COMPUTED_VALUE"""),"NL96INGB0675524237")</f>
        <v>NL96INGB0675524237</v>
      </c>
      <c r="Q133" s="9">
        <f>IFERROR(__xludf.DUMMYFUNCTION("""COMPUTED_VALUE"""),44621.0)</f>
        <v>44621</v>
      </c>
      <c r="R133" s="6"/>
      <c r="S133" s="6" t="str">
        <f>IFERROR(__xludf.DUMMYFUNCTION("""COMPUTED_VALUE"""),"NL004138467B27")</f>
        <v>NL004138467B27</v>
      </c>
      <c r="T133" s="6">
        <f>IFERROR(__xludf.DUMMYFUNCTION("""COMPUTED_VALUE"""),5.71208162E8)</f>
        <v>571208162</v>
      </c>
      <c r="U133" s="7" t="str">
        <f>IFERROR(__xludf.DUMMYFUNCTION("""COMPUTED_VALUE"""),"Eenmanszaak")</f>
        <v>Eenmanszaak</v>
      </c>
      <c r="V133" s="7" t="str">
        <f>IFERROR(__xludf.DUMMYFUNCTION("""COMPUTED_VALUE"""),"000051762153")</f>
        <v>000051762153</v>
      </c>
      <c r="W133" s="6" t="str">
        <f>IFERROR(__xludf.DUMMYFUNCTION("""COMPUTED_VALUE"""),"ink.dermendzhiev.2288aa@zarabota.nl")</f>
        <v>ink.dermendzhiev.2288aa@zarabota.nl</v>
      </c>
      <c r="X133" s="6" t="str">
        <f>IFERROR(__xludf.DUMMYFUNCTION("""COMPUTED_VALUE"""),"ver.dermendzhiev.2288aa@zarabota.nl")</f>
        <v>ver.dermendzhiev.2288aa@zarabota.nl</v>
      </c>
      <c r="Y133" s="6" t="str">
        <f>IFERROR(__xludf.DUMMYFUNCTION("""COMPUTED_VALUE"""),"Hr.")</f>
        <v>Hr.</v>
      </c>
      <c r="Z133" s="6" t="str">
        <f>IFERROR(__xludf.DUMMYFUNCTION("""COMPUTED_VALUE"""),"Hristo Asenov")</f>
        <v>Hristo Asenov</v>
      </c>
      <c r="AA133" s="6" t="str">
        <f>IFERROR(__xludf.DUMMYFUNCTION("""COMPUTED_VALUE"""),"Dermendzhiev")</f>
        <v>Dermendzhiev</v>
      </c>
      <c r="AB133" s="6" t="str">
        <f>IFERROR(__xludf.DUMMYFUNCTION("""COMPUTED_VALUE"""),"H.A.")</f>
        <v>H.A.</v>
      </c>
      <c r="AC133" s="6">
        <f>IFERROR(__xludf.DUMMYFUNCTION("""COMPUTED_VALUE"""),5.71208162E8)</f>
        <v>571208162</v>
      </c>
      <c r="AD133" s="9">
        <f>IFERROR(__xludf.DUMMYFUNCTION("""COMPUTED_VALUE"""),32908.0)</f>
        <v>32908</v>
      </c>
      <c r="AE133" s="6" t="str">
        <f>IFERROR(__xludf.DUMMYFUNCTION("""COMPUTED_VALUE"""),"bg")</f>
        <v>bg</v>
      </c>
      <c r="AF133" s="6" t="str">
        <f>IFERROR(__xludf.DUMMYFUNCTION("""COMPUTED_VALUE"""),"Parvomay")</f>
        <v>Parvomay</v>
      </c>
      <c r="AG133" s="6" t="str">
        <f>IFERROR(__xludf.DUMMYFUNCTION("""COMPUTED_VALUE"""),"Hr. H.A. Dermendzhiev")</f>
        <v>Hr. H.A. Dermendzhiev</v>
      </c>
      <c r="AH133" s="6"/>
      <c r="AI133" s="9">
        <f>IFERROR(__xludf.DUMMYFUNCTION("""COMPUTED_VALUE"""),43802.0)</f>
        <v>43802</v>
      </c>
      <c r="AJ133" s="6" t="str">
        <f>IFERROR(__xludf.DUMMYFUNCTION("""COMPUTED_VALUE"""),"ID Kaart")</f>
        <v>ID Kaart</v>
      </c>
      <c r="AK133" s="6">
        <f>IFERROR(__xludf.DUMMYFUNCTION("""COMPUTED_VALUE"""),6.48048408E8)</f>
        <v>648048408</v>
      </c>
      <c r="AL133" s="9">
        <f>IFERROR(__xludf.DUMMYFUNCTION("""COMPUTED_VALUE"""),47139.0)</f>
        <v>47139</v>
      </c>
      <c r="AM133" s="6" t="str">
        <f>IFERROR(__xludf.DUMMYFUNCTION("""COMPUTED_VALUE"""),"Bulgarije")</f>
        <v>Bulgarije</v>
      </c>
      <c r="AN133" s="6" t="str">
        <f>IFERROR(__xludf.DUMMYFUNCTION("""COMPUTED_VALUE"""),"Hristo Asenov Dermendzhiev")</f>
        <v>Hristo Asenov Dermendzhiev</v>
      </c>
      <c r="AO133" s="6">
        <f>IFERROR(__xludf.DUMMYFUNCTION("""COMPUTED_VALUE"""),1304.0)</f>
        <v>1304</v>
      </c>
    </row>
    <row r="134">
      <c r="A134" s="6" t="str">
        <f>IFERROR(__xludf.DUMMYFUNCTION("""COMPUTED_VALUE"""),"Desi Bouw")</f>
        <v>Desi Bouw</v>
      </c>
      <c r="B134" s="6" t="str">
        <f>IFERROR(__xludf.DUMMYFUNCTION("""COMPUTED_VALUE"""),"Desi Bouw")</f>
        <v>Desi Bouw</v>
      </c>
      <c r="C134" s="6">
        <f>IFERROR(__xludf.DUMMYFUNCTION("""COMPUTED_VALUE"""),455.0)</f>
        <v>455</v>
      </c>
      <c r="D134" s="7" t="str">
        <f>IFERROR(__xludf.DUMMYFUNCTION("""COMPUTED_VALUE"""),"Teodor Enev Delev")</f>
        <v>Teodor Enev Delev</v>
      </c>
      <c r="E134" s="7" t="str">
        <f>IFERROR(__xludf.DUMMYFUNCTION("""COMPUTED_VALUE"""),"SBI-code: 4120 - Algemene burgerlijke en utiliteitsbouw")</f>
        <v>SBI-code: 4120 - Algemene burgerlijke en utiliteitsbouw</v>
      </c>
      <c r="F134" s="7" t="str">
        <f>IFERROR(__xludf.DUMMYFUNCTION("""COMPUTED_VALUE"""),"0682944341")</f>
        <v>0682944341</v>
      </c>
      <c r="G134" s="6" t="str">
        <f>IFERROR(__xludf.DUMMYFUNCTION("""COMPUTED_VALUE"""),"tdelevv@gmail.com")</f>
        <v>tdelevv@gmail.com</v>
      </c>
      <c r="H134" s="6" t="str">
        <f>IFERROR(__xludf.DUMMYFUNCTION("""COMPUTED_VALUE"""),"Wolvenrade 29")</f>
        <v>Wolvenrade 29</v>
      </c>
      <c r="I134" s="6" t="str">
        <f>IFERROR(__xludf.DUMMYFUNCTION("""COMPUTED_VALUE"""),"2544VJ")</f>
        <v>2544VJ</v>
      </c>
      <c r="J134" s="6" t="str">
        <f>IFERROR(__xludf.DUMMYFUNCTION("""COMPUTED_VALUE"""),"s-Gravenhage")</f>
        <v>s-Gravenhage</v>
      </c>
      <c r="K134" s="6" t="str">
        <f>IFERROR(__xludf.DUMMYFUNCTION("""COMPUTED_VALUE"""),"Nederland")</f>
        <v>Nederland</v>
      </c>
      <c r="L134" s="6" t="str">
        <f>IFERROR(__xludf.DUMMYFUNCTION("""COMPUTED_VALUE"""),"Делев")</f>
        <v>Делев</v>
      </c>
      <c r="M134" s="8">
        <f>IFERROR(__xludf.DUMMYFUNCTION("""COMPUTED_VALUE"""),42689.0)</f>
        <v>42689</v>
      </c>
      <c r="N134" s="6" t="str">
        <f>IFERROR(__xludf.DUMMYFUNCTION("""COMPUTED_VALUE"""),"NL291068042B01")</f>
        <v>NL291068042B01</v>
      </c>
      <c r="O134" s="6">
        <f>IFERROR(__xludf.DUMMYFUNCTION("""COMPUTED_VALUE"""),6.7280463E7)</f>
        <v>67280463</v>
      </c>
      <c r="P134" s="6" t="str">
        <f>IFERROR(__xludf.DUMMYFUNCTION("""COMPUTED_VALUE"""),"NL62INGB0007484491")</f>
        <v>NL62INGB0007484491</v>
      </c>
      <c r="Q134" s="9">
        <f>IFERROR(__xludf.DUMMYFUNCTION("""COMPUTED_VALUE"""),42689.0)</f>
        <v>42689</v>
      </c>
      <c r="R134" s="6"/>
      <c r="S134" s="6" t="str">
        <f>IFERROR(__xludf.DUMMYFUNCTION("""COMPUTED_VALUE"""),"NL002463275B45")</f>
        <v>NL002463275B45</v>
      </c>
      <c r="T134" s="6">
        <f>IFERROR(__xludf.DUMMYFUNCTION("""COMPUTED_VALUE"""),2.91068042E8)</f>
        <v>291068042</v>
      </c>
      <c r="U134" s="7" t="str">
        <f>IFERROR(__xludf.DUMMYFUNCTION("""COMPUTED_VALUE"""),"Eenmanszaak")</f>
        <v>Eenmanszaak</v>
      </c>
      <c r="V134" s="7" t="str">
        <f>IFERROR(__xludf.DUMMYFUNCTION("""COMPUTED_VALUE"""),"000035835192")</f>
        <v>000035835192</v>
      </c>
      <c r="W134" s="6" t="str">
        <f>IFERROR(__xludf.DUMMYFUNCTION("""COMPUTED_VALUE"""),"ink.desibouw.2288aa@zarabota.nl")</f>
        <v>ink.desibouw.2288aa@zarabota.nl</v>
      </c>
      <c r="X134" s="6" t="str">
        <f>IFERROR(__xludf.DUMMYFUNCTION("""COMPUTED_VALUE"""),"ver.desibouw.2288aa@zarabota.nl")</f>
        <v>ver.desibouw.2288aa@zarabota.nl</v>
      </c>
      <c r="Y134" s="6" t="str">
        <f>IFERROR(__xludf.DUMMYFUNCTION("""COMPUTED_VALUE"""),"Hr.")</f>
        <v>Hr.</v>
      </c>
      <c r="Z134" s="6" t="str">
        <f>IFERROR(__xludf.DUMMYFUNCTION("""COMPUTED_VALUE"""),"Teodor Enev")</f>
        <v>Teodor Enev</v>
      </c>
      <c r="AA134" s="6" t="str">
        <f>IFERROR(__xludf.DUMMYFUNCTION("""COMPUTED_VALUE"""),"Delev")</f>
        <v>Delev</v>
      </c>
      <c r="AB134" s="6" t="str">
        <f>IFERROR(__xludf.DUMMYFUNCTION("""COMPUTED_VALUE"""),"T.E.")</f>
        <v>T.E.</v>
      </c>
      <c r="AC134" s="6">
        <f>IFERROR(__xludf.DUMMYFUNCTION("""COMPUTED_VALUE"""),2.91068042E8)</f>
        <v>291068042</v>
      </c>
      <c r="AD134" s="9">
        <f>IFERROR(__xludf.DUMMYFUNCTION("""COMPUTED_VALUE"""),26442.0)</f>
        <v>26442</v>
      </c>
      <c r="AE134" s="6" t="str">
        <f>IFERROR(__xludf.DUMMYFUNCTION("""COMPUTED_VALUE"""),"bg")</f>
        <v>bg</v>
      </c>
      <c r="AF134" s="6" t="str">
        <f>IFERROR(__xludf.DUMMYFUNCTION("""COMPUTED_VALUE"""),"Kardzhali")</f>
        <v>Kardzhali</v>
      </c>
      <c r="AG134" s="6" t="str">
        <f>IFERROR(__xludf.DUMMYFUNCTION("""COMPUTED_VALUE"""),"Hr. T.E. Delev")</f>
        <v>Hr. T.E. Delev</v>
      </c>
      <c r="AH134" s="6"/>
      <c r="AI134" s="6"/>
      <c r="AJ134" s="6"/>
      <c r="AK134" s="6"/>
      <c r="AL134" s="6"/>
      <c r="AM134" s="6"/>
      <c r="AN134" s="6" t="str">
        <f>IFERROR(__xludf.DUMMYFUNCTION("""COMPUTED_VALUE"""),"Teodor Enev Delev")</f>
        <v>Teodor Enev Delev</v>
      </c>
      <c r="AO134" s="6"/>
    </row>
    <row r="135">
      <c r="A135" s="6" t="str">
        <f>IFERROR(__xludf.DUMMYFUNCTION("""COMPUTED_VALUE"""),"Desinka 71")</f>
        <v>Desinka 71</v>
      </c>
      <c r="B135" s="6" t="str">
        <f>IFERROR(__xludf.DUMMYFUNCTION("""COMPUTED_VALUE"""),"Desinka 71")</f>
        <v>Desinka 71</v>
      </c>
      <c r="C135" s="6">
        <f>IFERROR(__xludf.DUMMYFUNCTION("""COMPUTED_VALUE"""),987.0)</f>
        <v>987</v>
      </c>
      <c r="D135" s="7" t="str">
        <f>IFERROR(__xludf.DUMMYFUNCTION("""COMPUTED_VALUE"""),"Milcho Marinov Yordanov")</f>
        <v>Milcho Marinov Yordanov</v>
      </c>
      <c r="E135" s="7" t="str">
        <f>IFERROR(__xludf.DUMMYFUNCTION("""COMPUTED_VALUE"""),"SBI-code: 4120 - Algemene burgerlijke en utiliteitsbouw")</f>
        <v>SBI-code: 4120 - Algemene burgerlijke en utiliteitsbouw</v>
      </c>
      <c r="F135" s="7" t="str">
        <f>IFERROR(__xludf.DUMMYFUNCTION("""COMPUTED_VALUE"""),"0616093154")</f>
        <v>0616093154</v>
      </c>
      <c r="G135" s="6" t="str">
        <f>IFERROR(__xludf.DUMMYFUNCTION("""COMPUTED_VALUE"""),"milcho1924@gmail.com")</f>
        <v>milcho1924@gmail.com</v>
      </c>
      <c r="H135" s="6" t="str">
        <f>IFERROR(__xludf.DUMMYFUNCTION("""COMPUTED_VALUE"""),"Rijkswijkseweg 522")</f>
        <v>Rijkswijkseweg 522</v>
      </c>
      <c r="I135" s="6" t="str">
        <f>IFERROR(__xludf.DUMMYFUNCTION("""COMPUTED_VALUE"""),"2516HT")</f>
        <v>2516HT</v>
      </c>
      <c r="J135" s="6" t="str">
        <f>IFERROR(__xludf.DUMMYFUNCTION("""COMPUTED_VALUE"""),"s-Gravenhage")</f>
        <v>s-Gravenhage</v>
      </c>
      <c r="K135" s="6" t="str">
        <f>IFERROR(__xludf.DUMMYFUNCTION("""COMPUTED_VALUE"""),"Nederland")</f>
        <v>Nederland</v>
      </c>
      <c r="L135" s="6" t="str">
        <f>IFERROR(__xludf.DUMMYFUNCTION("""COMPUTED_VALUE"""),"Йорданов")</f>
        <v>Йорданов</v>
      </c>
      <c r="M135" s="8">
        <f>IFERROR(__xludf.DUMMYFUNCTION("""COMPUTED_VALUE"""),43831.0)</f>
        <v>43831</v>
      </c>
      <c r="N135" s="6" t="str">
        <f>IFERROR(__xludf.DUMMYFUNCTION("""COMPUTED_VALUE"""),"NL295968527B01")</f>
        <v>NL295968527B01</v>
      </c>
      <c r="O135" s="6">
        <f>IFERROR(__xludf.DUMMYFUNCTION("""COMPUTED_VALUE"""),7.1214852E7)</f>
        <v>71214852</v>
      </c>
      <c r="P135" s="6" t="str">
        <f>IFERROR(__xludf.DUMMYFUNCTION("""COMPUTED_VALUE"""),"NL31KNAB0614847621")</f>
        <v>NL31KNAB0614847621</v>
      </c>
      <c r="Q135" s="9">
        <f>IFERROR(__xludf.DUMMYFUNCTION("""COMPUTED_VALUE"""),43101.0)</f>
        <v>43101</v>
      </c>
      <c r="R135" s="6"/>
      <c r="S135" s="6" t="str">
        <f>IFERROR(__xludf.DUMMYFUNCTION("""COMPUTED_VALUE"""),"NL002465263B98")</f>
        <v>NL002465263B98</v>
      </c>
      <c r="T135" s="6">
        <f>IFERROR(__xludf.DUMMYFUNCTION("""COMPUTED_VALUE"""),2.95968527E8)</f>
        <v>295968527</v>
      </c>
      <c r="U135" s="7" t="str">
        <f>IFERROR(__xludf.DUMMYFUNCTION("""COMPUTED_VALUE"""),"Eenmanszaak")</f>
        <v>Eenmanszaak</v>
      </c>
      <c r="V135" s="7" t="str">
        <f>IFERROR(__xludf.DUMMYFUNCTION("""COMPUTED_VALUE"""),"000039419126")</f>
        <v>000039419126</v>
      </c>
      <c r="W135" s="6" t="str">
        <f>IFERROR(__xludf.DUMMYFUNCTION("""COMPUTED_VALUE"""),"ink.desinka71.2288aa@zarabota.nl")</f>
        <v>ink.desinka71.2288aa@zarabota.nl</v>
      </c>
      <c r="X135" s="6" t="str">
        <f>IFERROR(__xludf.DUMMYFUNCTION("""COMPUTED_VALUE"""),"ver.desinka71.2288aa@zarabota.nl")</f>
        <v>ver.desinka71.2288aa@zarabota.nl</v>
      </c>
      <c r="Y135" s="6" t="str">
        <f>IFERROR(__xludf.DUMMYFUNCTION("""COMPUTED_VALUE"""),"Hr.")</f>
        <v>Hr.</v>
      </c>
      <c r="Z135" s="6" t="str">
        <f>IFERROR(__xludf.DUMMYFUNCTION("""COMPUTED_VALUE"""),"Milcho Marinov")</f>
        <v>Milcho Marinov</v>
      </c>
      <c r="AA135" s="6" t="str">
        <f>IFERROR(__xludf.DUMMYFUNCTION("""COMPUTED_VALUE"""),"Yordanov")</f>
        <v>Yordanov</v>
      </c>
      <c r="AB135" s="6" t="str">
        <f>IFERROR(__xludf.DUMMYFUNCTION("""COMPUTED_VALUE"""),"M.M.")</f>
        <v>M.M.</v>
      </c>
      <c r="AC135" s="6">
        <f>IFERROR(__xludf.DUMMYFUNCTION("""COMPUTED_VALUE"""),2.95968527E8)</f>
        <v>295968527</v>
      </c>
      <c r="AD135" s="9">
        <f>IFERROR(__xludf.DUMMYFUNCTION("""COMPUTED_VALUE"""),28057.0)</f>
        <v>28057</v>
      </c>
      <c r="AE135" s="6" t="str">
        <f>IFERROR(__xludf.DUMMYFUNCTION("""COMPUTED_VALUE"""),"bg")</f>
        <v>bg</v>
      </c>
      <c r="AF135" s="6" t="str">
        <f>IFERROR(__xludf.DUMMYFUNCTION("""COMPUTED_VALUE"""),"Nikopol")</f>
        <v>Nikopol</v>
      </c>
      <c r="AG135" s="6" t="str">
        <f>IFERROR(__xludf.DUMMYFUNCTION("""COMPUTED_VALUE"""),"Hr. M.M. Yordanov")</f>
        <v>Hr. M.M. Yordanov</v>
      </c>
      <c r="AH135" s="6" t="str">
        <f>IFERROR(__xludf.DUMMYFUNCTION("""COMPUTED_VALUE"""),"NL33INGB0705463257")</f>
        <v>NL33INGB0705463257</v>
      </c>
      <c r="AI135" s="6"/>
      <c r="AJ135" s="6"/>
      <c r="AK135" s="6"/>
      <c r="AL135" s="6"/>
      <c r="AM135" s="6" t="str">
        <f>IFERROR(__xludf.DUMMYFUNCTION("""COMPUTED_VALUE"""),"Bulgarije")</f>
        <v>Bulgarije</v>
      </c>
      <c r="AN135" s="6" t="str">
        <f>IFERROR(__xludf.DUMMYFUNCTION("""COMPUTED_VALUE"""),"Milcho Marinov Yordanov")</f>
        <v>Milcho Marinov Yordanov</v>
      </c>
      <c r="AO135" s="6"/>
    </row>
    <row r="136">
      <c r="A136" s="6" t="str">
        <f>IFERROR(__xludf.DUMMYFUNCTION("""COMPUTED_VALUE"""),"Deston5")</f>
        <v>Deston5</v>
      </c>
      <c r="B136" s="6" t="str">
        <f>IFERROR(__xludf.DUMMYFUNCTION("""COMPUTED_VALUE"""),"Deston5")</f>
        <v>Deston5</v>
      </c>
      <c r="C136" s="6">
        <f>IFERROR(__xludf.DUMMYFUNCTION("""COMPUTED_VALUE"""),1236.0)</f>
        <v>1236</v>
      </c>
      <c r="D136" s="7" t="str">
        <f>IFERROR(__xludf.DUMMYFUNCTION("""COMPUTED_VALUE"""),"Anton Stamenov Maznev")</f>
        <v>Anton Stamenov Maznev</v>
      </c>
      <c r="E136" s="7" t="str">
        <f>IFERROR(__xludf.DUMMYFUNCTION("""COMPUTED_VALUE"""),"SBI-code: 4120 - Algemene burgerlijke en utiliteitsbouw")</f>
        <v>SBI-code: 4120 - Algemene burgerlijke en utiliteitsbouw</v>
      </c>
      <c r="F136" s="7" t="str">
        <f>IFERROR(__xludf.DUMMYFUNCTION("""COMPUTED_VALUE"""),"0639435185")</f>
        <v>0639435185</v>
      </c>
      <c r="G136" s="6" t="str">
        <f>IFERROR(__xludf.DUMMYFUNCTION("""COMPUTED_VALUE"""),"tonimaistor@gmail.com")</f>
        <v>tonimaistor@gmail.com</v>
      </c>
      <c r="H136" s="6" t="str">
        <f>IFERROR(__xludf.DUMMYFUNCTION("""COMPUTED_VALUE"""),"Beijerstraat 142")</f>
        <v>Beijerstraat 142</v>
      </c>
      <c r="I136" s="6" t="str">
        <f>IFERROR(__xludf.DUMMYFUNCTION("""COMPUTED_VALUE"""),"2572BJ")</f>
        <v>2572BJ</v>
      </c>
      <c r="J136" s="6" t="str">
        <f>IFERROR(__xludf.DUMMYFUNCTION("""COMPUTED_VALUE"""),"s-Gravenhage")</f>
        <v>s-Gravenhage</v>
      </c>
      <c r="K136" s="6" t="str">
        <f>IFERROR(__xludf.DUMMYFUNCTION("""COMPUTED_VALUE"""),"Nederland")</f>
        <v>Nederland</v>
      </c>
      <c r="L136" s="6" t="str">
        <f>IFERROR(__xludf.DUMMYFUNCTION("""COMPUTED_VALUE"""),"Мазнев")</f>
        <v>Мазнев</v>
      </c>
      <c r="M136" s="8">
        <f>IFERROR(__xludf.DUMMYFUNCTION("""COMPUTED_VALUE"""),44470.0)</f>
        <v>44470</v>
      </c>
      <c r="N136" s="6" t="str">
        <f>IFERROR(__xludf.DUMMYFUNCTION("""COMPUTED_VALUE"""),"NL376512076B01")</f>
        <v>NL376512076B01</v>
      </c>
      <c r="O136" s="6">
        <f>IFERROR(__xludf.DUMMYFUNCTION("""COMPUTED_VALUE"""),6.7612563E7)</f>
        <v>67612563</v>
      </c>
      <c r="P136" s="6" t="str">
        <f>IFERROR(__xludf.DUMMYFUNCTION("""COMPUTED_VALUE"""),"NL46INGB0007462081")</f>
        <v>NL46INGB0007462081</v>
      </c>
      <c r="Q136" s="9">
        <f>IFERROR(__xludf.DUMMYFUNCTION("""COMPUTED_VALUE"""),42736.0)</f>
        <v>42736</v>
      </c>
      <c r="R136" s="6"/>
      <c r="S136" s="6" t="str">
        <f>IFERROR(__xludf.DUMMYFUNCTION("""COMPUTED_VALUE"""),"NL002474861B46")</f>
        <v>NL002474861B46</v>
      </c>
      <c r="T136" s="6">
        <f>IFERROR(__xludf.DUMMYFUNCTION("""COMPUTED_VALUE"""),3.76512076E8)</f>
        <v>376512076</v>
      </c>
      <c r="U136" s="7" t="str">
        <f>IFERROR(__xludf.DUMMYFUNCTION("""COMPUTED_VALUE"""),"Eenmanszaak")</f>
        <v>Eenmanszaak</v>
      </c>
      <c r="V136" s="7" t="str">
        <f>IFERROR(__xludf.DUMMYFUNCTION("""COMPUTED_VALUE"""),"000036136301")</f>
        <v>000036136301</v>
      </c>
      <c r="W136" s="6" t="str">
        <f>IFERROR(__xludf.DUMMYFUNCTION("""COMPUTED_VALUE"""),"ink.deston5.2288aa@zarabota.nl")</f>
        <v>ink.deston5.2288aa@zarabota.nl</v>
      </c>
      <c r="X136" s="6" t="str">
        <f>IFERROR(__xludf.DUMMYFUNCTION("""COMPUTED_VALUE"""),"ver.deston5.2288aa@zarabota.nl")</f>
        <v>ver.deston5.2288aa@zarabota.nl</v>
      </c>
      <c r="Y136" s="6" t="str">
        <f>IFERROR(__xludf.DUMMYFUNCTION("""COMPUTED_VALUE"""),"Hr.")</f>
        <v>Hr.</v>
      </c>
      <c r="Z136" s="6" t="str">
        <f>IFERROR(__xludf.DUMMYFUNCTION("""COMPUTED_VALUE"""),"Anton Stamenov")</f>
        <v>Anton Stamenov</v>
      </c>
      <c r="AA136" s="6" t="str">
        <f>IFERROR(__xludf.DUMMYFUNCTION("""COMPUTED_VALUE"""),"Maznev")</f>
        <v>Maznev</v>
      </c>
      <c r="AB136" s="6" t="str">
        <f>IFERROR(__xludf.DUMMYFUNCTION("""COMPUTED_VALUE"""),"А.С.")</f>
        <v>А.С.</v>
      </c>
      <c r="AC136" s="6">
        <f>IFERROR(__xludf.DUMMYFUNCTION("""COMPUTED_VALUE"""),3.76512076E8)</f>
        <v>376512076</v>
      </c>
      <c r="AD136" s="9">
        <f>IFERROR(__xludf.DUMMYFUNCTION("""COMPUTED_VALUE"""),28869.0)</f>
        <v>28869</v>
      </c>
      <c r="AE136" s="6" t="str">
        <f>IFERROR(__xludf.DUMMYFUNCTION("""COMPUTED_VALUE"""),"bg")</f>
        <v>bg</v>
      </c>
      <c r="AF136" s="6" t="str">
        <f>IFERROR(__xludf.DUMMYFUNCTION("""COMPUTED_VALUE"""),"Blagoevgrad")</f>
        <v>Blagoevgrad</v>
      </c>
      <c r="AG136" s="6" t="str">
        <f>IFERROR(__xludf.DUMMYFUNCTION("""COMPUTED_VALUE"""),"Hr. А.С. Maznev")</f>
        <v>Hr. А.С. Maznev</v>
      </c>
      <c r="AH136" s="6" t="str">
        <f>IFERROR(__xludf.DUMMYFUNCTION("""COMPUTED_VALUE"""),"NL67INGB0705395618")</f>
        <v>NL67INGB0705395618</v>
      </c>
      <c r="AI136" s="6"/>
      <c r="AJ136" s="6" t="str">
        <f>IFERROR(__xludf.DUMMYFUNCTION("""COMPUTED_VALUE"""),"ID Kaart")</f>
        <v>ID Kaart</v>
      </c>
      <c r="AK136" s="6">
        <f>IFERROR(__xludf.DUMMYFUNCTION("""COMPUTED_VALUE"""),6.49253918E8)</f>
        <v>649253918</v>
      </c>
      <c r="AL136" s="9">
        <f>IFERROR(__xludf.DUMMYFUNCTION("""COMPUTED_VALUE"""),47699.0)</f>
        <v>47699</v>
      </c>
      <c r="AM136" s="6" t="str">
        <f>IFERROR(__xludf.DUMMYFUNCTION("""COMPUTED_VALUE"""),"Bulgarije")</f>
        <v>Bulgarije</v>
      </c>
      <c r="AN136" s="6" t="str">
        <f>IFERROR(__xludf.DUMMYFUNCTION("""COMPUTED_VALUE"""),"Anton Stamenov Maznev")</f>
        <v>Anton Stamenov Maznev</v>
      </c>
      <c r="AO136" s="6">
        <f>IFERROR(__xludf.DUMMYFUNCTION("""COMPUTED_VALUE"""),1236.0)</f>
        <v>1236</v>
      </c>
    </row>
    <row r="137">
      <c r="A137" s="6" t="str">
        <f>IFERROR(__xludf.DUMMYFUNCTION("""COMPUTED_VALUE"""),"Devi Savana")</f>
        <v>Devi Savana</v>
      </c>
      <c r="B137" s="6" t="str">
        <f>IFERROR(__xludf.DUMMYFUNCTION("""COMPUTED_VALUE"""),"ID Savana")</f>
        <v>ID Savana</v>
      </c>
      <c r="C137" s="6">
        <f>IFERROR(__xludf.DUMMYFUNCTION("""COMPUTED_VALUE"""),1694.0)</f>
        <v>1694</v>
      </c>
      <c r="D137" s="7" t="str">
        <f>IFERROR(__xludf.DUMMYFUNCTION("""COMPUTED_VALUE"""),"Ima Devi Savana")</f>
        <v>Ima Devi Savana</v>
      </c>
      <c r="E137" s="7" t="str">
        <f>IFERROR(__xludf.DUMMYFUNCTION("""COMPUTED_VALUE"""),"SBI-code: 8121 - Interieurreiniging van gebouwen")</f>
        <v>SBI-code: 8121 - Interieurreiniging van gebouwen</v>
      </c>
      <c r="F137" s="7" t="str">
        <f>IFERROR(__xludf.DUMMYFUNCTION("""COMPUTED_VALUE"""),"0648642144")</f>
        <v>0648642144</v>
      </c>
      <c r="G137" s="6" t="str">
        <f>IFERROR(__xludf.DUMMYFUNCTION("""COMPUTED_VALUE"""),"devi.savana@hotmail.com")</f>
        <v>devi.savana@hotmail.com</v>
      </c>
      <c r="H137" s="6" t="str">
        <f>IFERROR(__xludf.DUMMYFUNCTION("""COMPUTED_VALUE"""),"Ogierssingel 169")</f>
        <v>Ogierssingel 169</v>
      </c>
      <c r="I137" s="6" t="str">
        <f>IFERROR(__xludf.DUMMYFUNCTION("""COMPUTED_VALUE"""),"3076CR")</f>
        <v>3076CR</v>
      </c>
      <c r="J137" s="6" t="str">
        <f>IFERROR(__xludf.DUMMYFUNCTION("""COMPUTED_VALUE"""),"Rotterdam")</f>
        <v>Rotterdam</v>
      </c>
      <c r="K137" s="6" t="str">
        <f>IFERROR(__xludf.DUMMYFUNCTION("""COMPUTED_VALUE"""),"Nederland")</f>
        <v>Nederland</v>
      </c>
      <c r="L137" s="6" t="str">
        <f>IFERROR(__xludf.DUMMYFUNCTION("""COMPUTED_VALUE"""),"Ima")</f>
        <v>Ima</v>
      </c>
      <c r="M137" s="8">
        <f>IFERROR(__xludf.DUMMYFUNCTION("""COMPUTED_VALUE"""),45748.0)</f>
        <v>45748</v>
      </c>
      <c r="N137" s="6" t="str">
        <f>IFERROR(__xludf.DUMMYFUNCTION("""COMPUTED_VALUE"""),"NL678671916B01")</f>
        <v>NL678671916B01</v>
      </c>
      <c r="O137" s="6">
        <f>IFERROR(__xludf.DUMMYFUNCTION("""COMPUTED_VALUE"""),7.2035749E7)</f>
        <v>72035749</v>
      </c>
      <c r="P137" s="6" t="str">
        <f>IFERROR(__xludf.DUMMYFUNCTION("""COMPUTED_VALUE"""),"NL06INGB0008005710")</f>
        <v>NL06INGB0008005710</v>
      </c>
      <c r="Q137" s="9">
        <f>IFERROR(__xludf.DUMMYFUNCTION("""COMPUTED_VALUE"""),43282.0)</f>
        <v>43282</v>
      </c>
      <c r="R137" s="6"/>
      <c r="S137" s="6" t="str">
        <f>IFERROR(__xludf.DUMMYFUNCTION("""COMPUTED_VALUE"""),"NL002515853B09")</f>
        <v>NL002515853B09</v>
      </c>
      <c r="T137" s="6">
        <f>IFERROR(__xludf.DUMMYFUNCTION("""COMPUTED_VALUE"""),6.78671916E8)</f>
        <v>678671916</v>
      </c>
      <c r="U137" s="7" t="str">
        <f>IFERROR(__xludf.DUMMYFUNCTION("""COMPUTED_VALUE"""),"Eenmanszaak")</f>
        <v>Eenmanszaak</v>
      </c>
      <c r="V137" s="7" t="str">
        <f>IFERROR(__xludf.DUMMYFUNCTION("""COMPUTED_VALUE"""),"000040173240")</f>
        <v>000040173240</v>
      </c>
      <c r="W137" s="6" t="str">
        <f>IFERROR(__xludf.DUMMYFUNCTION("""COMPUTED_VALUE"""),"ink.devisavana.2288aa@zarabota.nl")</f>
        <v>ink.devisavana.2288aa@zarabota.nl</v>
      </c>
      <c r="X137" s="6" t="str">
        <f>IFERROR(__xludf.DUMMYFUNCTION("""COMPUTED_VALUE"""),"ver.devisavana.2288aa@zarabota.nl")</f>
        <v>ver.devisavana.2288aa@zarabota.nl</v>
      </c>
      <c r="Y137" s="6" t="str">
        <f>IFERROR(__xludf.DUMMYFUNCTION("""COMPUTED_VALUE"""),"Hr.")</f>
        <v>Hr.</v>
      </c>
      <c r="Z137" s="6" t="str">
        <f>IFERROR(__xludf.DUMMYFUNCTION("""COMPUTED_VALUE"""),"Ima Devi")</f>
        <v>Ima Devi</v>
      </c>
      <c r="AA137" s="6" t="str">
        <f>IFERROR(__xludf.DUMMYFUNCTION("""COMPUTED_VALUE"""),"Savana")</f>
        <v>Savana</v>
      </c>
      <c r="AB137" s="6" t="str">
        <f>IFERROR(__xludf.DUMMYFUNCTION("""COMPUTED_VALUE"""),"I.M.")</f>
        <v>I.M.</v>
      </c>
      <c r="AC137" s="6">
        <f>IFERROR(__xludf.DUMMYFUNCTION("""COMPUTED_VALUE"""),6.78671916E8)</f>
        <v>678671916</v>
      </c>
      <c r="AD137" s="9">
        <f>IFERROR(__xludf.DUMMYFUNCTION("""COMPUTED_VALUE"""),35941.0)</f>
        <v>35941</v>
      </c>
      <c r="AE137" s="6" t="str">
        <f>IFERROR(__xludf.DUMMYFUNCTION("""COMPUTED_VALUE"""),"en")</f>
        <v>en</v>
      </c>
      <c r="AF137" s="6" t="str">
        <f>IFERROR(__xludf.DUMMYFUNCTION("""COMPUTED_VALUE"""),"Jakarta")</f>
        <v>Jakarta</v>
      </c>
      <c r="AG137" s="6" t="str">
        <f>IFERROR(__xludf.DUMMYFUNCTION("""COMPUTED_VALUE"""),"Hr. I.M. Savana")</f>
        <v>Hr. I.M. Savana</v>
      </c>
      <c r="AH137" s="6"/>
      <c r="AI137" s="6"/>
      <c r="AJ137" s="6" t="str">
        <f>IFERROR(__xludf.DUMMYFUNCTION("""COMPUTED_VALUE"""),"Verblijf Kaart")</f>
        <v>Verblijf Kaart</v>
      </c>
      <c r="AK137" s="6">
        <f>IFERROR(__xludf.DUMMYFUNCTION("""COMPUTED_VALUE"""),581986.0)</f>
        <v>581986</v>
      </c>
      <c r="AL137" s="9">
        <f>IFERROR(__xludf.DUMMYFUNCTION("""COMPUTED_VALUE"""),46125.0)</f>
        <v>46125</v>
      </c>
      <c r="AM137" s="6" t="str">
        <f>IFERROR(__xludf.DUMMYFUNCTION("""COMPUTED_VALUE"""),"Filipijnen")</f>
        <v>Filipijnen</v>
      </c>
      <c r="AN137" s="6" t="str">
        <f>IFERROR(__xludf.DUMMYFUNCTION("""COMPUTED_VALUE"""),"Ima Devi Savana")</f>
        <v>Ima Devi Savana</v>
      </c>
      <c r="AO137" s="6">
        <f>IFERROR(__xludf.DUMMYFUNCTION("""COMPUTED_VALUE"""),1694.0)</f>
        <v>1694</v>
      </c>
    </row>
    <row r="138">
      <c r="A138" s="6" t="str">
        <f>IFERROR(__xludf.DUMMYFUNCTION("""COMPUTED_VALUE"""),"Diana0808")</f>
        <v>Diana0808</v>
      </c>
      <c r="B138" s="6" t="str">
        <f>IFERROR(__xludf.DUMMYFUNCTION("""COMPUTED_VALUE"""),"Diana0808")</f>
        <v>Diana0808</v>
      </c>
      <c r="C138" s="6">
        <f>IFERROR(__xludf.DUMMYFUNCTION("""COMPUTED_VALUE"""),1283.0)</f>
        <v>1283</v>
      </c>
      <c r="D138" s="7" t="str">
        <f>IFERROR(__xludf.DUMMYFUNCTION("""COMPUTED_VALUE"""),"Diana Strateva Atanasova")</f>
        <v>Diana Strateva Atanasova</v>
      </c>
      <c r="E138" s="7" t="str">
        <f>IFERROR(__xludf.DUMMYFUNCTION("""COMPUTED_VALUE"""),"SBI-code: 4120 - Algemene burgerlijke en utiliteitsbouw")</f>
        <v>SBI-code: 4120 - Algemene burgerlijke en utiliteitsbouw</v>
      </c>
      <c r="F138" s="7" t="str">
        <f>IFERROR(__xludf.DUMMYFUNCTION("""COMPUTED_VALUE"""),"0645639378")</f>
        <v>0645639378</v>
      </c>
      <c r="G138" s="6" t="str">
        <f>IFERROR(__xludf.DUMMYFUNCTION("""COMPUTED_VALUE"""),"dianaatanasova39@gmail.com")</f>
        <v>dianaatanasova39@gmail.com</v>
      </c>
      <c r="H138" s="6" t="str">
        <f>IFERROR(__xludf.DUMMYFUNCTION("""COMPUTED_VALUE"""),"Nunspeetlaan 383")</f>
        <v>Nunspeetlaan 383</v>
      </c>
      <c r="I138" s="6" t="str">
        <f>IFERROR(__xludf.DUMMYFUNCTION("""COMPUTED_VALUE"""),"2573GH")</f>
        <v>2573GH</v>
      </c>
      <c r="J138" s="6" t="str">
        <f>IFERROR(__xludf.DUMMYFUNCTION("""COMPUTED_VALUE"""),"s-Gravenhage")</f>
        <v>s-Gravenhage</v>
      </c>
      <c r="K138" s="6" t="str">
        <f>IFERROR(__xludf.DUMMYFUNCTION("""COMPUTED_VALUE"""),"Nederland")</f>
        <v>Nederland</v>
      </c>
      <c r="L138" s="6" t="str">
        <f>IFERROR(__xludf.DUMMYFUNCTION("""COMPUTED_VALUE"""),"Атанасова")</f>
        <v>Атанасова</v>
      </c>
      <c r="M138" s="8">
        <f>IFERROR(__xludf.DUMMYFUNCTION("""COMPUTED_VALUE"""),44562.0)</f>
        <v>44562</v>
      </c>
      <c r="N138" s="6" t="str">
        <f>IFERROR(__xludf.DUMMYFUNCTION("""COMPUTED_VALUE"""),"NL642131375B01")</f>
        <v>NL642131375B01</v>
      </c>
      <c r="O138" s="6">
        <f>IFERROR(__xludf.DUMMYFUNCTION("""COMPUTED_VALUE"""),8.3908803E7)</f>
        <v>83908803</v>
      </c>
      <c r="P138" s="6" t="str">
        <f>IFERROR(__xludf.DUMMYFUNCTION("""COMPUTED_VALUE"""),"NL13INGB0000173804")</f>
        <v>NL13INGB0000173804</v>
      </c>
      <c r="Q138" s="9">
        <f>IFERROR(__xludf.DUMMYFUNCTION("""COMPUTED_VALUE"""),44432.0)</f>
        <v>44432</v>
      </c>
      <c r="R138" s="6"/>
      <c r="S138" s="6" t="str">
        <f>IFERROR(__xludf.DUMMYFUNCTION("""COMPUTED_VALUE"""),"NL003888190B83")</f>
        <v>NL003888190B83</v>
      </c>
      <c r="T138" s="6">
        <f>IFERROR(__xludf.DUMMYFUNCTION("""COMPUTED_VALUE"""),6.42131375E8)</f>
        <v>642131375</v>
      </c>
      <c r="U138" s="7" t="str">
        <f>IFERROR(__xludf.DUMMYFUNCTION("""COMPUTED_VALUE"""),"Eenmanszaak")</f>
        <v>Eenmanszaak</v>
      </c>
      <c r="V138" s="7" t="str">
        <f>IFERROR(__xludf.DUMMYFUNCTION("""COMPUTED_VALUE"""),"000050054619")</f>
        <v>000050054619</v>
      </c>
      <c r="W138" s="6" t="str">
        <f>IFERROR(__xludf.DUMMYFUNCTION("""COMPUTED_VALUE"""),"ink.diana0808.2288aa@zarabota.nl")</f>
        <v>ink.diana0808.2288aa@zarabota.nl</v>
      </c>
      <c r="X138" s="6" t="str">
        <f>IFERROR(__xludf.DUMMYFUNCTION("""COMPUTED_VALUE"""),"ver.diana0808.2288aa@zarabota.nl")</f>
        <v>ver.diana0808.2288aa@zarabota.nl</v>
      </c>
      <c r="Y138" s="6" t="str">
        <f>IFERROR(__xludf.DUMMYFUNCTION("""COMPUTED_VALUE"""),"Mw.")</f>
        <v>Mw.</v>
      </c>
      <c r="Z138" s="6" t="str">
        <f>IFERROR(__xludf.DUMMYFUNCTION("""COMPUTED_VALUE"""),"Diana Strateva")</f>
        <v>Diana Strateva</v>
      </c>
      <c r="AA138" s="6" t="str">
        <f>IFERROR(__xludf.DUMMYFUNCTION("""COMPUTED_VALUE"""),"Atanasova")</f>
        <v>Atanasova</v>
      </c>
      <c r="AB138" s="6" t="str">
        <f>IFERROR(__xludf.DUMMYFUNCTION("""COMPUTED_VALUE"""),"D.S.")</f>
        <v>D.S.</v>
      </c>
      <c r="AC138" s="6">
        <f>IFERROR(__xludf.DUMMYFUNCTION("""COMPUTED_VALUE"""),6.42131375E8)</f>
        <v>642131375</v>
      </c>
      <c r="AD138" s="9">
        <f>IFERROR(__xludf.DUMMYFUNCTION("""COMPUTED_VALUE"""),29441.0)</f>
        <v>29441</v>
      </c>
      <c r="AE138" s="6" t="str">
        <f>IFERROR(__xludf.DUMMYFUNCTION("""COMPUTED_VALUE"""),"bg")</f>
        <v>bg</v>
      </c>
      <c r="AF138" s="6" t="str">
        <f>IFERROR(__xludf.DUMMYFUNCTION("""COMPUTED_VALUE"""),"Ruse")</f>
        <v>Ruse</v>
      </c>
      <c r="AG138" s="6" t="str">
        <f>IFERROR(__xludf.DUMMYFUNCTION("""COMPUTED_VALUE"""),"Mw. D.S. Atanasova")</f>
        <v>Mw. D.S. Atanasova</v>
      </c>
      <c r="AH138" s="6" t="str">
        <f>IFERROR(__xludf.DUMMYFUNCTION("""COMPUTED_VALUE"""),"NL49 INGB 0797 1712 31")</f>
        <v>NL49 INGB 0797 1712 31</v>
      </c>
      <c r="AI138" s="6"/>
      <c r="AJ138" s="6"/>
      <c r="AK138" s="6"/>
      <c r="AL138" s="6"/>
      <c r="AM138" s="6" t="str">
        <f>IFERROR(__xludf.DUMMYFUNCTION("""COMPUTED_VALUE"""),"Bulgarije")</f>
        <v>Bulgarije</v>
      </c>
      <c r="AN138" s="6" t="str">
        <f>IFERROR(__xludf.DUMMYFUNCTION("""COMPUTED_VALUE"""),"Diana Strateva Atanasova")</f>
        <v>Diana Strateva Atanasova</v>
      </c>
      <c r="AO138" s="6">
        <f>IFERROR(__xludf.DUMMYFUNCTION("""COMPUTED_VALUE"""),1283.0)</f>
        <v>1283</v>
      </c>
    </row>
    <row r="139">
      <c r="A139" s="6" t="str">
        <f>IFERROR(__xludf.DUMMYFUNCTION("""COMPUTED_VALUE"""),"dilqna99")</f>
        <v>dilqna99</v>
      </c>
      <c r="B139" s="6" t="str">
        <f>IFERROR(__xludf.DUMMYFUNCTION("""COMPUTED_VALUE"""),"dilqna99")</f>
        <v>dilqna99</v>
      </c>
      <c r="C139" s="6">
        <f>IFERROR(__xludf.DUMMYFUNCTION("""COMPUTED_VALUE"""),1758.0)</f>
        <v>1758</v>
      </c>
      <c r="D139" s="7" t="str">
        <f>IFERROR(__xludf.DUMMYFUNCTION("""COMPUTED_VALUE"""),"Miroslav Dankov Petrov")</f>
        <v>Miroslav Dankov Petrov</v>
      </c>
      <c r="E139" s="7" t="str">
        <f>IFERROR(__xludf.DUMMYFUNCTION("""COMPUTED_VALUE"""),"SBI-code: 4120 - Algemene burgerlijke en utiliteitsbouw")</f>
        <v>SBI-code: 4120 - Algemene burgerlijke en utiliteitsbouw</v>
      </c>
      <c r="F139" s="7" t="str">
        <f>IFERROR(__xludf.DUMMYFUNCTION("""COMPUTED_VALUE"""),"0684566813")</f>
        <v>0684566813</v>
      </c>
      <c r="G139" s="6" t="str">
        <f>IFERROR(__xludf.DUMMYFUNCTION("""COMPUTED_VALUE"""),"miroslav_petrov1@hotmail.com")</f>
        <v>miroslav_petrov1@hotmail.com</v>
      </c>
      <c r="H139" s="6" t="str">
        <f>IFERROR(__xludf.DUMMYFUNCTION("""COMPUTED_VALUE"""),"Oostvaardersdijk 26")</f>
        <v>Oostvaardersdijk 26</v>
      </c>
      <c r="I139" s="6" t="str">
        <f>IFERROR(__xludf.DUMMYFUNCTION("""COMPUTED_VALUE"""),"8243PA")</f>
        <v>8243PA</v>
      </c>
      <c r="J139" s="6" t="str">
        <f>IFERROR(__xludf.DUMMYFUNCTION("""COMPUTED_VALUE"""),"Lelystad")</f>
        <v>Lelystad</v>
      </c>
      <c r="K139" s="6" t="str">
        <f>IFERROR(__xludf.DUMMYFUNCTION("""COMPUTED_VALUE"""),"Nederland")</f>
        <v>Nederland</v>
      </c>
      <c r="L139" s="6" t="str">
        <f>IFERROR(__xludf.DUMMYFUNCTION("""COMPUTED_VALUE"""),"Петров")</f>
        <v>Петров</v>
      </c>
      <c r="M139" s="8">
        <f>IFERROR(__xludf.DUMMYFUNCTION("""COMPUTED_VALUE"""),45971.0)</f>
        <v>45971</v>
      </c>
      <c r="N139" s="6" t="str">
        <f>IFERROR(__xludf.DUMMYFUNCTION("""COMPUTED_VALUE"""),"NL409933594B03")</f>
        <v>NL409933594B03</v>
      </c>
      <c r="O139" s="6">
        <f>IFERROR(__xludf.DUMMYFUNCTION("""COMPUTED_VALUE"""),9.9041049E7)</f>
        <v>99041049</v>
      </c>
      <c r="P139" s="6" t="str">
        <f>IFERROR(__xludf.DUMMYFUNCTION("""COMPUTED_VALUE"""),"NL48INGB0117333751")</f>
        <v>NL48INGB0117333751</v>
      </c>
      <c r="Q139" s="9">
        <f>IFERROR(__xludf.DUMMYFUNCTION("""COMPUTED_VALUE"""),45971.0)</f>
        <v>45971</v>
      </c>
      <c r="R139" s="6"/>
      <c r="S139" s="6" t="str">
        <f>IFERROR(__xludf.DUMMYFUNCTION("""COMPUTED_VALUE"""),"NL005368890B31")</f>
        <v>NL005368890B31</v>
      </c>
      <c r="T139" s="6">
        <f>IFERROR(__xludf.DUMMYFUNCTION("""COMPUTED_VALUE"""),4.09933594E8)</f>
        <v>409933594</v>
      </c>
      <c r="U139" s="7" t="str">
        <f>IFERROR(__xludf.DUMMYFUNCTION("""COMPUTED_VALUE"""),"Eenmanszaak")</f>
        <v>Eenmanszaak</v>
      </c>
      <c r="V139" s="7" t="str">
        <f>IFERROR(__xludf.DUMMYFUNCTION("""COMPUTED_VALUE"""),"000064161552")</f>
        <v>000064161552</v>
      </c>
      <c r="W139" s="6" t="str">
        <f>IFERROR(__xludf.DUMMYFUNCTION("""COMPUTED_VALUE"""),"ink.dilqna99.2288aa@zarabota.nl")</f>
        <v>ink.dilqna99.2288aa@zarabota.nl</v>
      </c>
      <c r="X139" s="6" t="str">
        <f>IFERROR(__xludf.DUMMYFUNCTION("""COMPUTED_VALUE"""),"ver.dilqna99.2288aa@zarabota.nl")</f>
        <v>ver.dilqna99.2288aa@zarabota.nl</v>
      </c>
      <c r="Y139" s="6" t="str">
        <f>IFERROR(__xludf.DUMMYFUNCTION("""COMPUTED_VALUE"""),"Hr.")</f>
        <v>Hr.</v>
      </c>
      <c r="Z139" s="6" t="str">
        <f>IFERROR(__xludf.DUMMYFUNCTION("""COMPUTED_VALUE"""),"Miroslav Dankov")</f>
        <v>Miroslav Dankov</v>
      </c>
      <c r="AA139" s="6" t="str">
        <f>IFERROR(__xludf.DUMMYFUNCTION("""COMPUTED_VALUE"""),"Petrov")</f>
        <v>Petrov</v>
      </c>
      <c r="AB139" s="6" t="str">
        <f>IFERROR(__xludf.DUMMYFUNCTION("""COMPUTED_VALUE"""),"M.D.")</f>
        <v>M.D.</v>
      </c>
      <c r="AC139" s="6">
        <f>IFERROR(__xludf.DUMMYFUNCTION("""COMPUTED_VALUE"""),4.09933594E8)</f>
        <v>409933594</v>
      </c>
      <c r="AD139" s="9">
        <f>IFERROR(__xludf.DUMMYFUNCTION("""COMPUTED_VALUE"""),36165.0)</f>
        <v>36165</v>
      </c>
      <c r="AE139" s="6" t="str">
        <f>IFERROR(__xludf.DUMMYFUNCTION("""COMPUTED_VALUE"""),"bg")</f>
        <v>bg</v>
      </c>
      <c r="AF139" s="6" t="str">
        <f>IFERROR(__xludf.DUMMYFUNCTION("""COMPUTED_VALUE"""),"Cherven Bryag")</f>
        <v>Cherven Bryag</v>
      </c>
      <c r="AG139" s="6" t="str">
        <f>IFERROR(__xludf.DUMMYFUNCTION("""COMPUTED_VALUE"""),"Hr. M.D. Petrov")</f>
        <v>Hr. M.D. Petrov</v>
      </c>
      <c r="AH139" s="6" t="str">
        <f>IFERROR(__xludf.DUMMYFUNCTION("""COMPUTED_VALUE"""),"NL10INGB0445044667")</f>
        <v>NL10INGB0445044667</v>
      </c>
      <c r="AI139" s="6"/>
      <c r="AJ139" s="6" t="str">
        <f>IFERROR(__xludf.DUMMYFUNCTION("""COMPUTED_VALUE"""),"ID Kaart")</f>
        <v>ID Kaart</v>
      </c>
      <c r="AK139" s="6">
        <f>IFERROR(__xludf.DUMMYFUNCTION("""COMPUTED_VALUE"""),6.47117416E8)</f>
        <v>647117416</v>
      </c>
      <c r="AL139" s="9">
        <f>IFERROR(__xludf.DUMMYFUNCTION("""COMPUTED_VALUE"""),46580.0)</f>
        <v>46580</v>
      </c>
      <c r="AM139" s="6" t="str">
        <f>IFERROR(__xludf.DUMMYFUNCTION("""COMPUTED_VALUE"""),"Bulgarije")</f>
        <v>Bulgarije</v>
      </c>
      <c r="AN139" s="6" t="str">
        <f>IFERROR(__xludf.DUMMYFUNCTION("""COMPUTED_VALUE"""),"Miroslav Dankov Petrov")</f>
        <v>Miroslav Dankov Petrov</v>
      </c>
      <c r="AO139" s="6">
        <f>IFERROR(__xludf.DUMMYFUNCTION("""COMPUTED_VALUE"""),1758.0)</f>
        <v>1758</v>
      </c>
    </row>
    <row r="140">
      <c r="A140" s="6" t="str">
        <f>IFERROR(__xludf.DUMMYFUNCTION("""COMPUTED_VALUE"""),"DIM")</f>
        <v>DIM</v>
      </c>
      <c r="B140" s="6" t="str">
        <f>IFERROR(__xludf.DUMMYFUNCTION("""COMPUTED_VALUE"""),"DIM")</f>
        <v>DIM</v>
      </c>
      <c r="C140" s="6">
        <f>IFERROR(__xludf.DUMMYFUNCTION("""COMPUTED_VALUE"""),101.0)</f>
        <v>101</v>
      </c>
      <c r="D140" s="7" t="str">
        <f>IFERROR(__xludf.DUMMYFUNCTION("""COMPUTED_VALUE"""),"Igor Mihajlovich Bakai")</f>
        <v>Igor Mihajlovich Bakai</v>
      </c>
      <c r="E140" s="7" t="str">
        <f>IFERROR(__xludf.DUMMYFUNCTION("""COMPUTED_VALUE"""),"SBI-code: 4120 - Algemene burgerlijke en utiliteitsbouw")</f>
        <v>SBI-code: 4120 - Algemene burgerlijke en utiliteitsbouw</v>
      </c>
      <c r="F140" s="7" t="str">
        <f>IFERROR(__xludf.DUMMYFUNCTION("""COMPUTED_VALUE"""),"0643820745")</f>
        <v>0643820745</v>
      </c>
      <c r="G140" s="6" t="str">
        <f>IFERROR(__xludf.DUMMYFUNCTION("""COMPUTED_VALUE"""),"daneljan@live.nl")</f>
        <v>daneljan@live.nl</v>
      </c>
      <c r="H140" s="6" t="str">
        <f>IFERROR(__xludf.DUMMYFUNCTION("""COMPUTED_VALUE"""),"Hulshorststraat 6")</f>
        <v>Hulshorststraat 6</v>
      </c>
      <c r="I140" s="6" t="str">
        <f>IFERROR(__xludf.DUMMYFUNCTION("""COMPUTED_VALUE"""),"2573EK")</f>
        <v>2573EK</v>
      </c>
      <c r="J140" s="6" t="str">
        <f>IFERROR(__xludf.DUMMYFUNCTION("""COMPUTED_VALUE"""),"s-Gravenhage")</f>
        <v>s-Gravenhage</v>
      </c>
      <c r="K140" s="6" t="str">
        <f>IFERROR(__xludf.DUMMYFUNCTION("""COMPUTED_VALUE"""),"Nederland")</f>
        <v>Nederland</v>
      </c>
      <c r="L140" s="6" t="str">
        <f>IFERROR(__xludf.DUMMYFUNCTION("""COMPUTED_VALUE"""),"Бакай")</f>
        <v>Бакай</v>
      </c>
      <c r="M140" s="8">
        <f>IFERROR(__xludf.DUMMYFUNCTION("""COMPUTED_VALUE"""),43175.0)</f>
        <v>43175</v>
      </c>
      <c r="N140" s="6" t="str">
        <f>IFERROR(__xludf.DUMMYFUNCTION("""COMPUTED_VALUE"""),"NL386263565B01")</f>
        <v>NL386263565B01</v>
      </c>
      <c r="O140" s="6">
        <f>IFERROR(__xludf.DUMMYFUNCTION("""COMPUTED_VALUE"""),5.979746E7)</f>
        <v>59797460</v>
      </c>
      <c r="P140" s="6" t="str">
        <f>IFERROR(__xludf.DUMMYFUNCTION("""COMPUTED_VALUE"""),"NL30INGB0006363650")</f>
        <v>NL30INGB0006363650</v>
      </c>
      <c r="Q140" s="9">
        <f>IFERROR(__xludf.DUMMYFUNCTION("""COMPUTED_VALUE"""),41662.0)</f>
        <v>41662</v>
      </c>
      <c r="R140" s="6"/>
      <c r="S140" s="6" t="str">
        <f>IFERROR(__xludf.DUMMYFUNCTION("""COMPUTED_VALUE"""),"NL002477113B51")</f>
        <v>NL002477113B51</v>
      </c>
      <c r="T140" s="6">
        <f>IFERROR(__xludf.DUMMYFUNCTION("""COMPUTED_VALUE"""),3.86263565E8)</f>
        <v>386263565</v>
      </c>
      <c r="U140" s="7" t="str">
        <f>IFERROR(__xludf.DUMMYFUNCTION("""COMPUTED_VALUE"""),"Eenmanszaak")</f>
        <v>Eenmanszaak</v>
      </c>
      <c r="V140" s="7" t="str">
        <f>IFERROR(__xludf.DUMMYFUNCTION("""COMPUTED_VALUE"""),"000029053919")</f>
        <v>000029053919</v>
      </c>
      <c r="W140" s="6" t="str">
        <f>IFERROR(__xludf.DUMMYFUNCTION("""COMPUTED_VALUE"""),"ink.dim.2288aa@zarabota.nl")</f>
        <v>ink.dim.2288aa@zarabota.nl</v>
      </c>
      <c r="X140" s="6" t="str">
        <f>IFERROR(__xludf.DUMMYFUNCTION("""COMPUTED_VALUE"""),"ver.dim.2288aa@zarabota.nl")</f>
        <v>ver.dim.2288aa@zarabota.nl</v>
      </c>
      <c r="Y140" s="6" t="str">
        <f>IFERROR(__xludf.DUMMYFUNCTION("""COMPUTED_VALUE"""),"Hr.")</f>
        <v>Hr.</v>
      </c>
      <c r="Z140" s="6" t="str">
        <f>IFERROR(__xludf.DUMMYFUNCTION("""COMPUTED_VALUE"""),"Ihor Mihajlovich")</f>
        <v>Ihor Mihajlovich</v>
      </c>
      <c r="AA140" s="6" t="str">
        <f>IFERROR(__xludf.DUMMYFUNCTION("""COMPUTED_VALUE"""),"Bakay")</f>
        <v>Bakay</v>
      </c>
      <c r="AB140" s="6" t="str">
        <f>IFERROR(__xludf.DUMMYFUNCTION("""COMPUTED_VALUE"""),"I.M.")</f>
        <v>I.M.</v>
      </c>
      <c r="AC140" s="6">
        <f>IFERROR(__xludf.DUMMYFUNCTION("""COMPUTED_VALUE"""),3.86263565E8)</f>
        <v>386263565</v>
      </c>
      <c r="AD140" s="9">
        <f>IFERROR(__xludf.DUMMYFUNCTION("""COMPUTED_VALUE"""),27836.0)</f>
        <v>27836</v>
      </c>
      <c r="AE140" s="6" t="str">
        <f>IFERROR(__xludf.DUMMYFUNCTION("""COMPUTED_VALUE"""),"bg")</f>
        <v>bg</v>
      </c>
      <c r="AF140" s="6" t="str">
        <f>IFERROR(__xludf.DUMMYFUNCTION("""COMPUTED_VALUE"""),"Kozova")</f>
        <v>Kozova</v>
      </c>
      <c r="AG140" s="6" t="str">
        <f>IFERROR(__xludf.DUMMYFUNCTION("""COMPUTED_VALUE"""),"Hr. I.M. Bakay")</f>
        <v>Hr. I.M. Bakay</v>
      </c>
      <c r="AH140" s="6" t="str">
        <f>IFERROR(__xludf.DUMMYFUNCTION("""COMPUTED_VALUE"""),"NL08INGB0688495303")</f>
        <v>NL08INGB0688495303</v>
      </c>
      <c r="AI140" s="6"/>
      <c r="AJ140" s="6"/>
      <c r="AK140" s="6"/>
      <c r="AL140" s="6"/>
      <c r="AM140" s="6"/>
      <c r="AN140" s="6" t="str">
        <f>IFERROR(__xludf.DUMMYFUNCTION("""COMPUTED_VALUE"""),"Ihor Mihajlovich Bakay")</f>
        <v>Ihor Mihajlovich Bakay</v>
      </c>
      <c r="AO140" s="6"/>
    </row>
    <row r="141">
      <c r="A141" s="6" t="str">
        <f>IFERROR(__xludf.DUMMYFUNCTION("""COMPUTED_VALUE"""),"Dimitar Onderhoud")</f>
        <v>Dimitar Onderhoud</v>
      </c>
      <c r="B141" s="6" t="str">
        <f>IFERROR(__xludf.DUMMYFUNCTION("""COMPUTED_VALUE"""),"Dimitar Onderhoud")</f>
        <v>Dimitar Onderhoud</v>
      </c>
      <c r="C141" s="6">
        <f>IFERROR(__xludf.DUMMYFUNCTION("""COMPUTED_VALUE"""),414.0)</f>
        <v>414</v>
      </c>
      <c r="D141" s="7" t="str">
        <f>IFERROR(__xludf.DUMMYFUNCTION("""COMPUTED_VALUE"""),"Dimitar Vasilev Dimitrov")</f>
        <v>Dimitar Vasilev Dimitrov</v>
      </c>
      <c r="E141" s="7" t="str">
        <f>IFERROR(__xludf.DUMMYFUNCTION("""COMPUTED_VALUE"""),"SBI-code: 4120 - Algemene burgerlijke en utiliteitsbouw")</f>
        <v>SBI-code: 4120 - Algemene burgerlijke en utiliteitsbouw</v>
      </c>
      <c r="F141" s="7" t="str">
        <f>IFERROR(__xludf.DUMMYFUNCTION("""COMPUTED_VALUE"""),"0611836814")</f>
        <v>0611836814</v>
      </c>
      <c r="G141" s="6" t="str">
        <f>IFERROR(__xludf.DUMMYFUNCTION("""COMPUTED_VALUE"""),"pushkin@mail.bg")</f>
        <v>pushkin@mail.bg</v>
      </c>
      <c r="H141" s="6" t="str">
        <f>IFERROR(__xludf.DUMMYFUNCTION("""COMPUTED_VALUE"""),"Kaapseplein 137")</f>
        <v>Kaapseplein 137</v>
      </c>
      <c r="I141" s="6" t="str">
        <f>IFERROR(__xludf.DUMMYFUNCTION("""COMPUTED_VALUE"""),"2572 NH")</f>
        <v>2572 NH</v>
      </c>
      <c r="J141" s="6" t="str">
        <f>IFERROR(__xludf.DUMMYFUNCTION("""COMPUTED_VALUE"""),"s-Gravenhage")</f>
        <v>s-Gravenhage</v>
      </c>
      <c r="K141" s="6" t="str">
        <f>IFERROR(__xludf.DUMMYFUNCTION("""COMPUTED_VALUE"""),"Nederland")</f>
        <v>Nederland</v>
      </c>
      <c r="L141" s="6" t="str">
        <f>IFERROR(__xludf.DUMMYFUNCTION("""COMPUTED_VALUE"""),"Димитров")</f>
        <v>Димитров</v>
      </c>
      <c r="M141" s="8">
        <f>IFERROR(__xludf.DUMMYFUNCTION("""COMPUTED_VALUE"""),43175.0)</f>
        <v>43175</v>
      </c>
      <c r="N141" s="6" t="str">
        <f>IFERROR(__xludf.DUMMYFUNCTION("""COMPUTED_VALUE"""),"NL425469815B01")</f>
        <v>NL425469815B01</v>
      </c>
      <c r="O141" s="6">
        <f>IFERROR(__xludf.DUMMYFUNCTION("""COMPUTED_VALUE"""),6.8799217E7)</f>
        <v>68799217</v>
      </c>
      <c r="P141" s="6" t="str">
        <f>IFERROR(__xludf.DUMMYFUNCTION("""COMPUTED_VALUE"""),"NL58INGB0007841426")</f>
        <v>NL58INGB0007841426</v>
      </c>
      <c r="Q141" s="9">
        <f>IFERROR(__xludf.DUMMYFUNCTION("""COMPUTED_VALUE"""),42874.0)</f>
        <v>42874</v>
      </c>
      <c r="R141" s="6"/>
      <c r="S141" s="6" t="str">
        <f>IFERROR(__xludf.DUMMYFUNCTION("""COMPUTED_VALUE"""),"NL002482366B13")</f>
        <v>NL002482366B13</v>
      </c>
      <c r="T141" s="6">
        <f>IFERROR(__xludf.DUMMYFUNCTION("""COMPUTED_VALUE"""),4.25469815E8)</f>
        <v>425469815</v>
      </c>
      <c r="U141" s="7" t="str">
        <f>IFERROR(__xludf.DUMMYFUNCTION("""COMPUTED_VALUE"""),"Eenmanszaak")</f>
        <v>Eenmanszaak</v>
      </c>
      <c r="V141" s="7" t="str">
        <f>IFERROR(__xludf.DUMMYFUNCTION("""COMPUTED_VALUE"""),"000037206613")</f>
        <v>000037206613</v>
      </c>
      <c r="W141" s="6" t="str">
        <f>IFERROR(__xludf.DUMMYFUNCTION("""COMPUTED_VALUE"""),"ink.dimitaronderhoud.2288aa@zarabota.nl")</f>
        <v>ink.dimitaronderhoud.2288aa@zarabota.nl</v>
      </c>
      <c r="X141" s="6" t="str">
        <f>IFERROR(__xludf.DUMMYFUNCTION("""COMPUTED_VALUE"""),"ver.dimitaronderhoud.2288aa@zarabota.nl")</f>
        <v>ver.dimitaronderhoud.2288aa@zarabota.nl</v>
      </c>
      <c r="Y141" s="6" t="str">
        <f>IFERROR(__xludf.DUMMYFUNCTION("""COMPUTED_VALUE"""),"Hr.")</f>
        <v>Hr.</v>
      </c>
      <c r="Z141" s="6" t="str">
        <f>IFERROR(__xludf.DUMMYFUNCTION("""COMPUTED_VALUE"""),"Dimitar Vasilev")</f>
        <v>Dimitar Vasilev</v>
      </c>
      <c r="AA141" s="6" t="str">
        <f>IFERROR(__xludf.DUMMYFUNCTION("""COMPUTED_VALUE"""),"Dimitrov")</f>
        <v>Dimitrov</v>
      </c>
      <c r="AB141" s="6" t="str">
        <f>IFERROR(__xludf.DUMMYFUNCTION("""COMPUTED_VALUE"""),"D.V.")</f>
        <v>D.V.</v>
      </c>
      <c r="AC141" s="6">
        <f>IFERROR(__xludf.DUMMYFUNCTION("""COMPUTED_VALUE"""),4.25469815E8)</f>
        <v>425469815</v>
      </c>
      <c r="AD141" s="9">
        <f>IFERROR(__xludf.DUMMYFUNCTION("""COMPUTED_VALUE"""),29849.0)</f>
        <v>29849</v>
      </c>
      <c r="AE141" s="6" t="str">
        <f>IFERROR(__xludf.DUMMYFUNCTION("""COMPUTED_VALUE"""),"bg")</f>
        <v>bg</v>
      </c>
      <c r="AF141" s="6" t="str">
        <f>IFERROR(__xludf.DUMMYFUNCTION("""COMPUTED_VALUE"""),"Razgrad")</f>
        <v>Razgrad</v>
      </c>
      <c r="AG141" s="6" t="str">
        <f>IFERROR(__xludf.DUMMYFUNCTION("""COMPUTED_VALUE"""),"Hr. D.V. Dimitrov")</f>
        <v>Hr. D.V. Dimitrov</v>
      </c>
      <c r="AH141" s="6" t="str">
        <f>IFERROR(__xludf.DUMMYFUNCTION("""COMPUTED_VALUE"""),"NL67INGB0651083087")</f>
        <v>NL67INGB0651083087</v>
      </c>
      <c r="AI141" s="9">
        <f>IFERROR(__xludf.DUMMYFUNCTION("""COMPUTED_VALUE"""),43304.0)</f>
        <v>43304</v>
      </c>
      <c r="AJ141" s="6" t="str">
        <f>IFERROR(__xludf.DUMMYFUNCTION("""COMPUTED_VALUE"""),"ID Kaart")</f>
        <v>ID Kaart</v>
      </c>
      <c r="AK141" s="6"/>
      <c r="AL141" s="6"/>
      <c r="AM141" s="6"/>
      <c r="AN141" s="6" t="str">
        <f>IFERROR(__xludf.DUMMYFUNCTION("""COMPUTED_VALUE"""),"Dimitar Vasilev Dimitrov")</f>
        <v>Dimitar Vasilev Dimitrov</v>
      </c>
      <c r="AO141" s="6"/>
    </row>
    <row r="142">
      <c r="A142" s="6" t="str">
        <f>IFERROR(__xludf.DUMMYFUNCTION("""COMPUTED_VALUE"""),"Dimitar Semov")</f>
        <v>Dimitar Semov</v>
      </c>
      <c r="B142" s="6" t="str">
        <f>IFERROR(__xludf.DUMMYFUNCTION("""COMPUTED_VALUE"""),"Dimitar Semov")</f>
        <v>Dimitar Semov</v>
      </c>
      <c r="C142" s="6">
        <f>IFERROR(__xludf.DUMMYFUNCTION("""COMPUTED_VALUE"""),766.0)</f>
        <v>766</v>
      </c>
      <c r="D142" s="7" t="str">
        <f>IFERROR(__xludf.DUMMYFUNCTION("""COMPUTED_VALUE"""),"Dimitar Stoychev Semov")</f>
        <v>Dimitar Stoychev Semov</v>
      </c>
      <c r="E142" s="7" t="str">
        <f>IFERROR(__xludf.DUMMYFUNCTION("""COMPUTED_VALUE"""),"SBI-code: 4120 - Algemene burgerlijke en utiliteitsbouw")</f>
        <v>SBI-code: 4120 - Algemene burgerlijke en utiliteitsbouw</v>
      </c>
      <c r="F142" s="7" t="str">
        <f>IFERROR(__xludf.DUMMYFUNCTION("""COMPUTED_VALUE"""),"0684359773")</f>
        <v>0684359773</v>
      </c>
      <c r="G142" s="6" t="str">
        <f>IFERROR(__xludf.DUMMYFUNCTION("""COMPUTED_VALUE"""),"mitko7120@gmail.com")</f>
        <v>mitko7120@gmail.com</v>
      </c>
      <c r="H142" s="6" t="str">
        <f>IFERROR(__xludf.DUMMYFUNCTION("""COMPUTED_VALUE"""),"Hardewijkstraat 43")</f>
        <v>Hardewijkstraat 43</v>
      </c>
      <c r="I142" s="6" t="str">
        <f>IFERROR(__xludf.DUMMYFUNCTION("""COMPUTED_VALUE"""),"2573ZB")</f>
        <v>2573ZB</v>
      </c>
      <c r="J142" s="6" t="str">
        <f>IFERROR(__xludf.DUMMYFUNCTION("""COMPUTED_VALUE"""),"s-Gravenhage")</f>
        <v>s-Gravenhage</v>
      </c>
      <c r="K142" s="6" t="str">
        <f>IFERROR(__xludf.DUMMYFUNCTION("""COMPUTED_VALUE"""),"Nederland")</f>
        <v>Nederland</v>
      </c>
      <c r="L142" s="6" t="str">
        <f>IFERROR(__xludf.DUMMYFUNCTION("""COMPUTED_VALUE"""),"Семов")</f>
        <v>Семов</v>
      </c>
      <c r="M142" s="8">
        <f>IFERROR(__xludf.DUMMYFUNCTION("""COMPUTED_VALUE"""),43424.0)</f>
        <v>43424</v>
      </c>
      <c r="N142" s="6" t="str">
        <f>IFERROR(__xludf.DUMMYFUNCTION("""COMPUTED_VALUE"""),"NL417847683B01")</f>
        <v>NL417847683B01</v>
      </c>
      <c r="O142" s="6">
        <f>IFERROR(__xludf.DUMMYFUNCTION("""COMPUTED_VALUE"""),7.3131733E7)</f>
        <v>73131733</v>
      </c>
      <c r="P142" s="6" t="str">
        <f>IFERROR(__xludf.DUMMYFUNCTION("""COMPUTED_VALUE"""),"NL15INGB0008845859")</f>
        <v>NL15INGB0008845859</v>
      </c>
      <c r="Q142" s="9">
        <f>IFERROR(__xludf.DUMMYFUNCTION("""COMPUTED_VALUE"""),43424.0)</f>
        <v>43424</v>
      </c>
      <c r="R142" s="6"/>
      <c r="S142" s="6" t="str">
        <f>IFERROR(__xludf.DUMMYFUNCTION("""COMPUTED_VALUE"""),"NL002480935B88")</f>
        <v>NL002480935B88</v>
      </c>
      <c r="T142" s="6">
        <f>IFERROR(__xludf.DUMMYFUNCTION("""COMPUTED_VALUE"""),4.17847683E8)</f>
        <v>417847683</v>
      </c>
      <c r="U142" s="7" t="str">
        <f>IFERROR(__xludf.DUMMYFUNCTION("""COMPUTED_VALUE"""),"Eenmanszaak")</f>
        <v>Eenmanszaak</v>
      </c>
      <c r="V142" s="7" t="str">
        <f>IFERROR(__xludf.DUMMYFUNCTION("""COMPUTED_VALUE"""),"000041197615")</f>
        <v>000041197615</v>
      </c>
      <c r="W142" s="6" t="str">
        <f>IFERROR(__xludf.DUMMYFUNCTION("""COMPUTED_VALUE"""),"ink.dimitarsemov.2288aa@zarabota.nl")</f>
        <v>ink.dimitarsemov.2288aa@zarabota.nl</v>
      </c>
      <c r="X142" s="6" t="str">
        <f>IFERROR(__xludf.DUMMYFUNCTION("""COMPUTED_VALUE"""),"ver.dimitarsemov.2288aa@zarabota.nl")</f>
        <v>ver.dimitarsemov.2288aa@zarabota.nl</v>
      </c>
      <c r="Y142" s="6" t="str">
        <f>IFERROR(__xludf.DUMMYFUNCTION("""COMPUTED_VALUE"""),"Hr.")</f>
        <v>Hr.</v>
      </c>
      <c r="Z142" s="6" t="str">
        <f>IFERROR(__xludf.DUMMYFUNCTION("""COMPUTED_VALUE"""),"Dimitar Stoychev")</f>
        <v>Dimitar Stoychev</v>
      </c>
      <c r="AA142" s="6" t="str">
        <f>IFERROR(__xludf.DUMMYFUNCTION("""COMPUTED_VALUE"""),"Semov")</f>
        <v>Semov</v>
      </c>
      <c r="AB142" s="6" t="str">
        <f>IFERROR(__xludf.DUMMYFUNCTION("""COMPUTED_VALUE"""),"D.S.")</f>
        <v>D.S.</v>
      </c>
      <c r="AC142" s="6">
        <f>IFERROR(__xludf.DUMMYFUNCTION("""COMPUTED_VALUE"""),4.17847683E8)</f>
        <v>417847683</v>
      </c>
      <c r="AD142" s="9">
        <f>IFERROR(__xludf.DUMMYFUNCTION("""COMPUTED_VALUE"""),28367.0)</f>
        <v>28367</v>
      </c>
      <c r="AE142" s="6" t="str">
        <f>IFERROR(__xludf.DUMMYFUNCTION("""COMPUTED_VALUE"""),"bg")</f>
        <v>bg</v>
      </c>
      <c r="AF142" s="6" t="str">
        <f>IFERROR(__xludf.DUMMYFUNCTION("""COMPUTED_VALUE"""),"Parvomay")</f>
        <v>Parvomay</v>
      </c>
      <c r="AG142" s="6" t="str">
        <f>IFERROR(__xludf.DUMMYFUNCTION("""COMPUTED_VALUE"""),"Hr. D.S. Semov")</f>
        <v>Hr. D.S. Semov</v>
      </c>
      <c r="AH142" s="6" t="str">
        <f>IFERROR(__xludf.DUMMYFUNCTION("""COMPUTED_VALUE"""),"NL97INGB0796744149")</f>
        <v>NL97INGB0796744149</v>
      </c>
      <c r="AI142" s="9">
        <f>IFERROR(__xludf.DUMMYFUNCTION("""COMPUTED_VALUE"""),43010.0)</f>
        <v>43010</v>
      </c>
      <c r="AJ142" s="6"/>
      <c r="AK142" s="6"/>
      <c r="AL142" s="6"/>
      <c r="AM142" s="6"/>
      <c r="AN142" s="6" t="str">
        <f>IFERROR(__xludf.DUMMYFUNCTION("""COMPUTED_VALUE"""),"Dimitar Stoychev Semov")</f>
        <v>Dimitar Stoychev Semov</v>
      </c>
      <c r="AO142" s="6"/>
    </row>
    <row r="143">
      <c r="A143" s="6" t="str">
        <f>IFERROR(__xludf.DUMMYFUNCTION("""COMPUTED_VALUE"""),"Dimovski-T Stucadoorsbedrijf")</f>
        <v>Dimovski-T Stucadoorsbedrijf</v>
      </c>
      <c r="B143" s="6" t="str">
        <f>IFERROR(__xludf.DUMMYFUNCTION("""COMPUTED_VALUE"""),"Dimovski-T Stucadoorsbedrijf")</f>
        <v>Dimovski-T Stucadoorsbedrijf</v>
      </c>
      <c r="C143" s="6">
        <f>IFERROR(__xludf.DUMMYFUNCTION("""COMPUTED_VALUE"""),1091.0)</f>
        <v>1091</v>
      </c>
      <c r="D143" s="7" t="str">
        <f>IFERROR(__xludf.DUMMYFUNCTION("""COMPUTED_VALUE"""),"Todorche Dimovski")</f>
        <v>Todorche Dimovski</v>
      </c>
      <c r="E143" s="7" t="str">
        <f>IFERROR(__xludf.DUMMYFUNCTION("""COMPUTED_VALUE"""),"SBI-code: 4120 - Algemene burgerlijke en utiliteitsbouw")</f>
        <v>SBI-code: 4120 - Algemene burgerlijke en utiliteitsbouw</v>
      </c>
      <c r="F143" s="7" t="str">
        <f>IFERROR(__xludf.DUMMYFUNCTION("""COMPUTED_VALUE"""),"0634544671")</f>
        <v>0634544671</v>
      </c>
      <c r="G143" s="6" t="str">
        <f>IFERROR(__xludf.DUMMYFUNCTION("""COMPUTED_VALUE"""),"tosemk63@gmail.com")</f>
        <v>tosemk63@gmail.com</v>
      </c>
      <c r="H143" s="6" t="str">
        <f>IFERROR(__xludf.DUMMYFUNCTION("""COMPUTED_VALUE"""),"Stellendamstraat 207")</f>
        <v>Stellendamstraat 207</v>
      </c>
      <c r="I143" s="6" t="str">
        <f>IFERROR(__xludf.DUMMYFUNCTION("""COMPUTED_VALUE"""),"2729LJ")</f>
        <v>2729LJ</v>
      </c>
      <c r="J143" s="6" t="str">
        <f>IFERROR(__xludf.DUMMYFUNCTION("""COMPUTED_VALUE"""),"Zoetermeer")</f>
        <v>Zoetermeer</v>
      </c>
      <c r="K143" s="6" t="str">
        <f>IFERROR(__xludf.DUMMYFUNCTION("""COMPUTED_VALUE"""),"Nederland")</f>
        <v>Nederland</v>
      </c>
      <c r="L143" s="6" t="str">
        <f>IFERROR(__xludf.DUMMYFUNCTION("""COMPUTED_VALUE"""),"Димовски")</f>
        <v>Димовски</v>
      </c>
      <c r="M143" s="8">
        <f>IFERROR(__xludf.DUMMYFUNCTION("""COMPUTED_VALUE"""),44197.0)</f>
        <v>44197</v>
      </c>
      <c r="N143" s="6" t="str">
        <f>IFERROR(__xludf.DUMMYFUNCTION("""COMPUTED_VALUE"""),"NL355522366B02")</f>
        <v>NL355522366B02</v>
      </c>
      <c r="O143" s="6">
        <f>IFERROR(__xludf.DUMMYFUNCTION("""COMPUTED_VALUE"""),8.1532539E7)</f>
        <v>81532539</v>
      </c>
      <c r="P143" s="6" t="str">
        <f>IFERROR(__xludf.DUMMYFUNCTION("""COMPUTED_VALUE"""),"NL70INGB0006768875")</f>
        <v>NL70INGB0006768875</v>
      </c>
      <c r="Q143" s="9">
        <f>IFERROR(__xludf.DUMMYFUNCTION("""COMPUTED_VALUE"""),44197.0)</f>
        <v>44197</v>
      </c>
      <c r="R143" s="6"/>
      <c r="S143" s="6" t="str">
        <f>IFERROR(__xludf.DUMMYFUNCTION("""COMPUTED_VALUE"""),"NL003573234B56")</f>
        <v>NL003573234B56</v>
      </c>
      <c r="T143" s="6">
        <f>IFERROR(__xludf.DUMMYFUNCTION("""COMPUTED_VALUE"""),3.55522366E8)</f>
        <v>355522366</v>
      </c>
      <c r="U143" s="7" t="str">
        <f>IFERROR(__xludf.DUMMYFUNCTION("""COMPUTED_VALUE"""),"Eenmanszaak")</f>
        <v>Eenmanszaak</v>
      </c>
      <c r="V143" s="7" t="str">
        <f>IFERROR(__xludf.DUMMYFUNCTION("""COMPUTED_VALUE"""),"000047817062")</f>
        <v>000047817062</v>
      </c>
      <c r="W143" s="6" t="str">
        <f>IFERROR(__xludf.DUMMYFUNCTION("""COMPUTED_VALUE"""),"ink.dimovski-t.2288aa@zarabota.nl")</f>
        <v>ink.dimovski-t.2288aa@zarabota.nl</v>
      </c>
      <c r="X143" s="6" t="str">
        <f>IFERROR(__xludf.DUMMYFUNCTION("""COMPUTED_VALUE"""),"ver.dimovski-t.2288aa@zarabota.nl")</f>
        <v>ver.dimovski-t.2288aa@zarabota.nl</v>
      </c>
      <c r="Y143" s="6" t="str">
        <f>IFERROR(__xludf.DUMMYFUNCTION("""COMPUTED_VALUE"""),"Hr.")</f>
        <v>Hr.</v>
      </c>
      <c r="Z143" s="6" t="str">
        <f>IFERROR(__xludf.DUMMYFUNCTION("""COMPUTED_VALUE"""),"Todorche")</f>
        <v>Todorche</v>
      </c>
      <c r="AA143" s="6" t="str">
        <f>IFERROR(__xludf.DUMMYFUNCTION("""COMPUTED_VALUE"""),"Dimovski")</f>
        <v>Dimovski</v>
      </c>
      <c r="AB143" s="6" t="str">
        <f>IFERROR(__xludf.DUMMYFUNCTION("""COMPUTED_VALUE"""),"T.")</f>
        <v>T.</v>
      </c>
      <c r="AC143" s="6">
        <f>IFERROR(__xludf.DUMMYFUNCTION("""COMPUTED_VALUE"""),3.55522366E8)</f>
        <v>355522366</v>
      </c>
      <c r="AD143" s="9">
        <f>IFERROR(__xludf.DUMMYFUNCTION("""COMPUTED_VALUE"""),28568.0)</f>
        <v>28568</v>
      </c>
      <c r="AE143" s="6" t="str">
        <f>IFERROR(__xludf.DUMMYFUNCTION("""COMPUTED_VALUE"""),"bg")</f>
        <v>bg</v>
      </c>
      <c r="AF143" s="6"/>
      <c r="AG143" s="6" t="str">
        <f>IFERROR(__xludf.DUMMYFUNCTION("""COMPUTED_VALUE"""),"Hr. T. Dimovski")</f>
        <v>Hr. T. Dimovski</v>
      </c>
      <c r="AH143" s="6" t="str">
        <f>IFERROR(__xludf.DUMMYFUNCTION("""COMPUTED_VALUE"""),"NL92INGB0705067890")</f>
        <v>NL92INGB0705067890</v>
      </c>
      <c r="AI143" s="6"/>
      <c r="AJ143" s="6" t="str">
        <f>IFERROR(__xludf.DUMMYFUNCTION("""COMPUTED_VALUE"""),"ID Kaart")</f>
        <v>ID Kaart</v>
      </c>
      <c r="AK143" s="6">
        <f>IFERROR(__xludf.DUMMYFUNCTION("""COMPUTED_VALUE"""),6.49703694E8)</f>
        <v>649703694</v>
      </c>
      <c r="AL143" s="9">
        <f>IFERROR(__xludf.DUMMYFUNCTION("""COMPUTED_VALUE"""),47792.0)</f>
        <v>47792</v>
      </c>
      <c r="AM143" s="6" t="str">
        <f>IFERROR(__xludf.DUMMYFUNCTION("""COMPUTED_VALUE"""),"Noord-Macedonië")</f>
        <v>Noord-Macedonië</v>
      </c>
      <c r="AN143" s="6" t="str">
        <f>IFERROR(__xludf.DUMMYFUNCTION("""COMPUTED_VALUE"""),"Todorche Dimovski")</f>
        <v>Todorche Dimovski</v>
      </c>
      <c r="AO143" s="6">
        <f>IFERROR(__xludf.DUMMYFUNCTION("""COMPUTED_VALUE"""),1091.0)</f>
        <v>1091</v>
      </c>
    </row>
    <row r="144">
      <c r="A144" s="6" t="str">
        <f>IFERROR(__xludf.DUMMYFUNCTION("""COMPUTED_VALUE"""),"DIZ Bouw")</f>
        <v>DIZ Bouw</v>
      </c>
      <c r="B144" s="6" t="str">
        <f>IFERROR(__xludf.DUMMYFUNCTION("""COMPUTED_VALUE"""),"DIZ Bouw - achterstand")</f>
        <v>DIZ Bouw - achterstand</v>
      </c>
      <c r="C144" s="6">
        <f>IFERROR(__xludf.DUMMYFUNCTION("""COMPUTED_VALUE"""),558.0)</f>
        <v>558</v>
      </c>
      <c r="D144" s="7" t="str">
        <f>IFERROR(__xludf.DUMMYFUNCTION("""COMPUTED_VALUE"""),"Dobrin Ivanov Zafirov")</f>
        <v>Dobrin Ivanov Zafirov</v>
      </c>
      <c r="E144" s="7" t="str">
        <f>IFERROR(__xludf.DUMMYFUNCTION("""COMPUTED_VALUE"""),"SBI-code: 4120 - Algemene burgerlijke en utiliteitsbouw")</f>
        <v>SBI-code: 4120 - Algemene burgerlijke en utiliteitsbouw</v>
      </c>
      <c r="F144" s="7" t="str">
        <f>IFERROR(__xludf.DUMMYFUNCTION("""COMPUTED_VALUE"""),"0614850265")</f>
        <v>0614850265</v>
      </c>
      <c r="G144" s="6" t="str">
        <f>IFERROR(__xludf.DUMMYFUNCTION("""COMPUTED_VALUE"""),"dobbrin.67@gmail.com")</f>
        <v>dobbrin.67@gmail.com</v>
      </c>
      <c r="H144" s="6" t="str">
        <f>IFERROR(__xludf.DUMMYFUNCTION("""COMPUTED_VALUE"""),"Oudemansstraat 382")</f>
        <v>Oudemansstraat 382</v>
      </c>
      <c r="I144" s="6" t="str">
        <f>IFERROR(__xludf.DUMMYFUNCTION("""COMPUTED_VALUE"""),"2522TG")</f>
        <v>2522TG</v>
      </c>
      <c r="J144" s="6" t="str">
        <f>IFERROR(__xludf.DUMMYFUNCTION("""COMPUTED_VALUE"""),"s-Gravenhage")</f>
        <v>s-Gravenhage</v>
      </c>
      <c r="K144" s="6" t="str">
        <f>IFERROR(__xludf.DUMMYFUNCTION("""COMPUTED_VALUE"""),"Nederland")</f>
        <v>Nederland</v>
      </c>
      <c r="L144" s="6" t="str">
        <f>IFERROR(__xludf.DUMMYFUNCTION("""COMPUTED_VALUE"""),"Зафиров")</f>
        <v>Зафиров</v>
      </c>
      <c r="M144" s="8">
        <f>IFERROR(__xludf.DUMMYFUNCTION("""COMPUTED_VALUE"""),43157.0)</f>
        <v>43157</v>
      </c>
      <c r="N144" s="6" t="str">
        <f>IFERROR(__xludf.DUMMYFUNCTION("""COMPUTED_VALUE"""),"NL251600877B02")</f>
        <v>NL251600877B02</v>
      </c>
      <c r="O144" s="6">
        <f>IFERROR(__xludf.DUMMYFUNCTION("""COMPUTED_VALUE"""),7.1117148E7)</f>
        <v>71117148</v>
      </c>
      <c r="P144" s="6" t="str">
        <f>IFERROR(__xludf.DUMMYFUNCTION("""COMPUTED_VALUE"""),"NL10INGB0008238341")</f>
        <v>NL10INGB0008238341</v>
      </c>
      <c r="Q144" s="9">
        <f>IFERROR(__xludf.DUMMYFUNCTION("""COMPUTED_VALUE"""),43157.0)</f>
        <v>43157</v>
      </c>
      <c r="R144" s="6"/>
      <c r="S144" s="6" t="str">
        <f>IFERROR(__xludf.DUMMYFUNCTION("""COMPUTED_VALUE"""),"NL002442702B29")</f>
        <v>NL002442702B29</v>
      </c>
      <c r="T144" s="6">
        <f>IFERROR(__xludf.DUMMYFUNCTION("""COMPUTED_VALUE"""),2.51600877E8)</f>
        <v>251600877</v>
      </c>
      <c r="U144" s="7" t="str">
        <f>IFERROR(__xludf.DUMMYFUNCTION("""COMPUTED_VALUE"""),"Eenmanszaak")</f>
        <v>Eenmanszaak</v>
      </c>
      <c r="V144" s="7" t="str">
        <f>IFERROR(__xludf.DUMMYFUNCTION("""COMPUTED_VALUE"""),"000039329879")</f>
        <v>000039329879</v>
      </c>
      <c r="W144" s="6" t="str">
        <f>IFERROR(__xludf.DUMMYFUNCTION("""COMPUTED_VALUE"""),"ink.dizbouw.2288aa@zarabota.nl")</f>
        <v>ink.dizbouw.2288aa@zarabota.nl</v>
      </c>
      <c r="X144" s="6" t="str">
        <f>IFERROR(__xludf.DUMMYFUNCTION("""COMPUTED_VALUE"""),"ver.dizbouw.2288aa@zarabota.nl")</f>
        <v>ver.dizbouw.2288aa@zarabota.nl</v>
      </c>
      <c r="Y144" s="6" t="str">
        <f>IFERROR(__xludf.DUMMYFUNCTION("""COMPUTED_VALUE"""),"Hr.")</f>
        <v>Hr.</v>
      </c>
      <c r="Z144" s="6" t="str">
        <f>IFERROR(__xludf.DUMMYFUNCTION("""COMPUTED_VALUE"""),"Dobrin Ivanov")</f>
        <v>Dobrin Ivanov</v>
      </c>
      <c r="AA144" s="6" t="str">
        <f>IFERROR(__xludf.DUMMYFUNCTION("""COMPUTED_VALUE"""),"Zafirov")</f>
        <v>Zafirov</v>
      </c>
      <c r="AB144" s="6" t="str">
        <f>IFERROR(__xludf.DUMMYFUNCTION("""COMPUTED_VALUE"""),"D.I.")</f>
        <v>D.I.</v>
      </c>
      <c r="AC144" s="6">
        <f>IFERROR(__xludf.DUMMYFUNCTION("""COMPUTED_VALUE"""),2.51600877E8)</f>
        <v>251600877</v>
      </c>
      <c r="AD144" s="9">
        <f>IFERROR(__xludf.DUMMYFUNCTION("""COMPUTED_VALUE"""),24661.0)</f>
        <v>24661</v>
      </c>
      <c r="AE144" s="6" t="str">
        <f>IFERROR(__xludf.DUMMYFUNCTION("""COMPUTED_VALUE"""),"bg")</f>
        <v>bg</v>
      </c>
      <c r="AF144" s="6" t="str">
        <f>IFERROR(__xludf.DUMMYFUNCTION("""COMPUTED_VALUE"""),"Stara Zagora")</f>
        <v>Stara Zagora</v>
      </c>
      <c r="AG144" s="6" t="str">
        <f>IFERROR(__xludf.DUMMYFUNCTION("""COMPUTED_VALUE"""),"Hr. D.I. Zafirov")</f>
        <v>Hr. D.I. Zafirov</v>
      </c>
      <c r="AH144" s="6"/>
      <c r="AI144" s="6"/>
      <c r="AJ144" s="6" t="str">
        <f>IFERROR(__xludf.DUMMYFUNCTION("""COMPUTED_VALUE"""),"ID Kaart")</f>
        <v>ID Kaart</v>
      </c>
      <c r="AK144" s="6">
        <f>IFERROR(__xludf.DUMMYFUNCTION("""COMPUTED_VALUE"""),6.40653737E8)</f>
        <v>640653737</v>
      </c>
      <c r="AL144" s="9">
        <f>IFERROR(__xludf.DUMMYFUNCTION("""COMPUTED_VALUE"""),44063.0)</f>
        <v>44063</v>
      </c>
      <c r="AM144" s="6"/>
      <c r="AN144" s="6" t="str">
        <f>IFERROR(__xludf.DUMMYFUNCTION("""COMPUTED_VALUE"""),"Dobrin Ivanov Zafirov")</f>
        <v>Dobrin Ivanov Zafirov</v>
      </c>
      <c r="AO144" s="6"/>
    </row>
    <row r="145">
      <c r="A145" s="6" t="str">
        <f>IFERROR(__xludf.DUMMYFUNCTION("""COMPUTED_VALUE"""),"Dizhak Bouw")</f>
        <v>Dizhak Bouw</v>
      </c>
      <c r="B145" s="6" t="str">
        <f>IFERROR(__xludf.DUMMYFUNCTION("""COMPUTED_VALUE"""),"Dizhak Bouw")</f>
        <v>Dizhak Bouw</v>
      </c>
      <c r="C145" s="6">
        <f>IFERROR(__xludf.DUMMYFUNCTION("""COMPUTED_VALUE"""),1602.0)</f>
        <v>1602</v>
      </c>
      <c r="D145" s="7" t="str">
        <f>IFERROR(__xludf.DUMMYFUNCTION("""COMPUTED_VALUE"""),"Nazar Dizhak")</f>
        <v>Nazar Dizhak</v>
      </c>
      <c r="E145" s="7" t="str">
        <f>IFERROR(__xludf.DUMMYFUNCTION("""COMPUTED_VALUE"""),"SBI-code: 4120 - Algemene burgerlijke en utiliteitsbouw")</f>
        <v>SBI-code: 4120 - Algemene burgerlijke en utiliteitsbouw</v>
      </c>
      <c r="F145" s="7" t="str">
        <f>IFERROR(__xludf.DUMMYFUNCTION("""COMPUTED_VALUE"""),"0687252199")</f>
        <v>0687252199</v>
      </c>
      <c r="G145" s="6" t="str">
        <f>IFERROR(__xludf.DUMMYFUNCTION("""COMPUTED_VALUE"""),"maluk250190@gmail.com")</f>
        <v>maluk250190@gmail.com</v>
      </c>
      <c r="H145" s="6" t="str">
        <f>IFERROR(__xludf.DUMMYFUNCTION("""COMPUTED_VALUE"""),"Beeklaan 225a")</f>
        <v>Beeklaan 225a</v>
      </c>
      <c r="I145" s="6" t="str">
        <f>IFERROR(__xludf.DUMMYFUNCTION("""COMPUTED_VALUE"""),"2562AG")</f>
        <v>2562AG</v>
      </c>
      <c r="J145" s="6" t="str">
        <f>IFERROR(__xludf.DUMMYFUNCTION("""COMPUTED_VALUE"""),"s-Gravenhage")</f>
        <v>s-Gravenhage</v>
      </c>
      <c r="K145" s="6" t="str">
        <f>IFERROR(__xludf.DUMMYFUNCTION("""COMPUTED_VALUE"""),"Nederland")</f>
        <v>Nederland</v>
      </c>
      <c r="L145" s="6" t="str">
        <f>IFERROR(__xludf.DUMMYFUNCTION("""COMPUTED_VALUE"""),"Дiжак")</f>
        <v>Дiжак</v>
      </c>
      <c r="M145" s="8">
        <f>IFERROR(__xludf.DUMMYFUNCTION("""COMPUTED_VALUE"""),45393.0)</f>
        <v>45393</v>
      </c>
      <c r="N145" s="6" t="str">
        <f>IFERROR(__xludf.DUMMYFUNCTION("""COMPUTED_VALUE"""),"NL675219383B01")</f>
        <v>NL675219383B01</v>
      </c>
      <c r="O145" s="6">
        <f>IFERROR(__xludf.DUMMYFUNCTION("""COMPUTED_VALUE"""),9.3562373E7)</f>
        <v>93562373</v>
      </c>
      <c r="P145" s="6" t="str">
        <f>IFERROR(__xludf.DUMMYFUNCTION("""COMPUTED_VALUE"""),"NL18INGB0105621153")</f>
        <v>NL18INGB0105621153</v>
      </c>
      <c r="Q145" s="9">
        <f>IFERROR(__xludf.DUMMYFUNCTION("""COMPUTED_VALUE"""),45393.0)</f>
        <v>45393</v>
      </c>
      <c r="R145" s="6"/>
      <c r="S145" s="6" t="str">
        <f>IFERROR(__xludf.DUMMYFUNCTION("""COMPUTED_VALUE"""),"NL005027436B60")</f>
        <v>NL005027436B60</v>
      </c>
      <c r="T145" s="6">
        <f>IFERROR(__xludf.DUMMYFUNCTION("""COMPUTED_VALUE"""),6.75219383E8)</f>
        <v>675219383</v>
      </c>
      <c r="U145" s="7" t="str">
        <f>IFERROR(__xludf.DUMMYFUNCTION("""COMPUTED_VALUE"""),"Eenmanszaak")</f>
        <v>Eenmanszaak</v>
      </c>
      <c r="V145" s="7" t="str">
        <f>IFERROR(__xludf.DUMMYFUNCTION("""COMPUTED_VALUE"""),"000059094427")</f>
        <v>000059094427</v>
      </c>
      <c r="W145" s="6" t="str">
        <f>IFERROR(__xludf.DUMMYFUNCTION("""COMPUTED_VALUE"""),"ink.dizhak.2288aa@zarabota.nl")</f>
        <v>ink.dizhak.2288aa@zarabota.nl</v>
      </c>
      <c r="X145" s="6" t="str">
        <f>IFERROR(__xludf.DUMMYFUNCTION("""COMPUTED_VALUE"""),"ver.dizhak.2288aa@zarabota.nl")</f>
        <v>ver.dizhak.2288aa@zarabota.nl</v>
      </c>
      <c r="Y145" s="6" t="str">
        <f>IFERROR(__xludf.DUMMYFUNCTION("""COMPUTED_VALUE"""),"Hr.")</f>
        <v>Hr.</v>
      </c>
      <c r="Z145" s="6" t="str">
        <f>IFERROR(__xludf.DUMMYFUNCTION("""COMPUTED_VALUE"""),"Nazar")</f>
        <v>Nazar</v>
      </c>
      <c r="AA145" s="6" t="str">
        <f>IFERROR(__xludf.DUMMYFUNCTION("""COMPUTED_VALUE"""),"Dizhak")</f>
        <v>Dizhak</v>
      </c>
      <c r="AB145" s="6" t="str">
        <f>IFERROR(__xludf.DUMMYFUNCTION("""COMPUTED_VALUE"""),"N.")</f>
        <v>N.</v>
      </c>
      <c r="AC145" s="6">
        <f>IFERROR(__xludf.DUMMYFUNCTION("""COMPUTED_VALUE"""),6.75219383E8)</f>
        <v>675219383</v>
      </c>
      <c r="AD145" s="9">
        <f>IFERROR(__xludf.DUMMYFUNCTION("""COMPUTED_VALUE"""),32898.0)</f>
        <v>32898</v>
      </c>
      <c r="AE145" s="6" t="str">
        <f>IFERROR(__xludf.DUMMYFUNCTION("""COMPUTED_VALUE"""),"ru")</f>
        <v>ru</v>
      </c>
      <c r="AF145" s="6" t="str">
        <f>IFERROR(__xludf.DUMMYFUNCTION("""COMPUTED_VALUE"""),"Lvov")</f>
        <v>Lvov</v>
      </c>
      <c r="AG145" s="6" t="str">
        <f>IFERROR(__xludf.DUMMYFUNCTION("""COMPUTED_VALUE"""),"Hr. N. Dizhak")</f>
        <v>Hr. N. Dizhak</v>
      </c>
      <c r="AH145" s="6" t="str">
        <f>IFERROR(__xludf.DUMMYFUNCTION("""COMPUTED_VALUE"""),"NL07INGB0105784699")</f>
        <v>NL07INGB0105784699</v>
      </c>
      <c r="AI145" s="9">
        <f>IFERROR(__xludf.DUMMYFUNCTION("""COMPUTED_VALUE"""),45323.0)</f>
        <v>45323</v>
      </c>
      <c r="AJ145" s="6" t="str">
        <f>IFERROR(__xludf.DUMMYFUNCTION("""COMPUTED_VALUE"""),"Paspoort")</f>
        <v>Paspoort</v>
      </c>
      <c r="AK145" s="6" t="str">
        <f>IFERROR(__xludf.DUMMYFUNCTION("""COMPUTED_VALUE"""),"FM483005")</f>
        <v>FM483005</v>
      </c>
      <c r="AL145" s="9">
        <f>IFERROR(__xludf.DUMMYFUNCTION("""COMPUTED_VALUE"""),46839.0)</f>
        <v>46839</v>
      </c>
      <c r="AM145" s="6" t="str">
        <f>IFERROR(__xludf.DUMMYFUNCTION("""COMPUTED_VALUE"""),"Sovjet-Unie")</f>
        <v>Sovjet-Unie</v>
      </c>
      <c r="AN145" s="6" t="str">
        <f>IFERROR(__xludf.DUMMYFUNCTION("""COMPUTED_VALUE"""),"Nazar Dizhak")</f>
        <v>Nazar Dizhak</v>
      </c>
      <c r="AO145" s="6">
        <f>IFERROR(__xludf.DUMMYFUNCTION("""COMPUTED_VALUE"""),1602.0)</f>
        <v>1602</v>
      </c>
    </row>
    <row r="146">
      <c r="A146" s="6" t="str">
        <f>IFERROR(__xludf.DUMMYFUNCTION("""COMPUTED_VALUE"""),"Djani.R Bouw VOF")</f>
        <v>Djani.R Bouw VOF</v>
      </c>
      <c r="B146" s="6" t="str">
        <f>IFERROR(__xludf.DUMMYFUNCTION("""COMPUTED_VALUE"""),"Djani.R Bouw VOF")</f>
        <v>Djani.R Bouw VOF</v>
      </c>
      <c r="C146" s="6">
        <f>IFERROR(__xludf.DUMMYFUNCTION("""COMPUTED_VALUE"""),953.0)</f>
        <v>953</v>
      </c>
      <c r="D146" s="7" t="str">
        <f>IFERROR(__xludf.DUMMYFUNCTION("""COMPUTED_VALUE"""),"Ramadan Habib Arif")</f>
        <v>Ramadan Habib Arif</v>
      </c>
      <c r="E146" s="7" t="str">
        <f>IFERROR(__xludf.DUMMYFUNCTION("""COMPUTED_VALUE"""),"SBI-code: 4120 - Algemene burgerlijke en utiliteitsbouw")</f>
        <v>SBI-code: 4120 - Algemene burgerlijke en utiliteitsbouw</v>
      </c>
      <c r="F146" s="7" t="str">
        <f>IFERROR(__xludf.DUMMYFUNCTION("""COMPUTED_VALUE"""),"0616282515")</f>
        <v>0616282515</v>
      </c>
      <c r="G146" s="6" t="str">
        <f>IFERROR(__xludf.DUMMYFUNCTION("""COMPUTED_VALUE"""),"ramadan.h.arif@gmail.com")</f>
        <v>ramadan.h.arif@gmail.com</v>
      </c>
      <c r="H146" s="6" t="str">
        <f>IFERROR(__xludf.DUMMYFUNCTION("""COMPUTED_VALUE"""),"Vinkensteynstraat 130")</f>
        <v>Vinkensteynstraat 130</v>
      </c>
      <c r="I146" s="6" t="str">
        <f>IFERROR(__xludf.DUMMYFUNCTION("""COMPUTED_VALUE"""),"2562TV")</f>
        <v>2562TV</v>
      </c>
      <c r="J146" s="6" t="str">
        <f>IFERROR(__xludf.DUMMYFUNCTION("""COMPUTED_VALUE"""),"s-Gravenhage")</f>
        <v>s-Gravenhage</v>
      </c>
      <c r="K146" s="6" t="str">
        <f>IFERROR(__xludf.DUMMYFUNCTION("""COMPUTED_VALUE"""),"Nederland")</f>
        <v>Nederland</v>
      </c>
      <c r="L146" s="6" t="str">
        <f>IFERROR(__xludf.DUMMYFUNCTION("""COMPUTED_VALUE"""),"Рамадан")</f>
        <v>Рамадан</v>
      </c>
      <c r="M146" s="8">
        <f>IFERROR(__xludf.DUMMYFUNCTION("""COMPUTED_VALUE"""),43831.0)</f>
        <v>43831</v>
      </c>
      <c r="N146" s="6" t="str">
        <f>IFERROR(__xludf.DUMMYFUNCTION("""COMPUTED_VALUE"""),"NL861094220B01")</f>
        <v>NL861094220B01</v>
      </c>
      <c r="O146" s="6">
        <f>IFERROR(__xludf.DUMMYFUNCTION("""COMPUTED_VALUE"""),7.7679768E7)</f>
        <v>77679768</v>
      </c>
      <c r="P146" s="6" t="str">
        <f>IFERROR(__xludf.DUMMYFUNCTION("""COMPUTED_VALUE"""),"NL55INGB0008277301")</f>
        <v>NL55INGB0008277301</v>
      </c>
      <c r="Q146" s="9">
        <f>IFERROR(__xludf.DUMMYFUNCTION("""COMPUTED_VALUE"""),43831.0)</f>
        <v>43831</v>
      </c>
      <c r="R146" s="6"/>
      <c r="S146" s="6" t="str">
        <f>IFERROR(__xludf.DUMMYFUNCTION("""COMPUTED_VALUE"""),"NL861094220B01")</f>
        <v>NL861094220B01</v>
      </c>
      <c r="T146" s="6">
        <f>IFERROR(__xludf.DUMMYFUNCTION("""COMPUTED_VALUE"""),8.6109422E8)</f>
        <v>861094220</v>
      </c>
      <c r="U146" s="7" t="str">
        <f>IFERROR(__xludf.DUMMYFUNCTION("""COMPUTED_VALUE"""),"Eenmanszaak")</f>
        <v>Eenmanszaak</v>
      </c>
      <c r="V146" s="7" t="str">
        <f>IFERROR(__xludf.DUMMYFUNCTION("""COMPUTED_VALUE"""),"000039248232")</f>
        <v>000039248232</v>
      </c>
      <c r="W146" s="6" t="str">
        <f>IFERROR(__xludf.DUMMYFUNCTION("""COMPUTED_VALUE"""),"ink.djani.rbouwvof.2288aa@zarabota.nl")</f>
        <v>ink.djani.rbouwvof.2288aa@zarabota.nl</v>
      </c>
      <c r="X146" s="6" t="str">
        <f>IFERROR(__xludf.DUMMYFUNCTION("""COMPUTED_VALUE"""),"ver.djani.rbouwvof.2288aa@zarabota.nl")</f>
        <v>ver.djani.rbouwvof.2288aa@zarabota.nl</v>
      </c>
      <c r="Y146" s="6" t="str">
        <f>IFERROR(__xludf.DUMMYFUNCTION("""COMPUTED_VALUE"""),"Hr.")</f>
        <v>Hr.</v>
      </c>
      <c r="Z146" s="6" t="str">
        <f>IFERROR(__xludf.DUMMYFUNCTION("""COMPUTED_VALUE"""),"Ramadan Habib")</f>
        <v>Ramadan Habib</v>
      </c>
      <c r="AA146" s="6" t="str">
        <f>IFERROR(__xludf.DUMMYFUNCTION("""COMPUTED_VALUE"""),"Arif")</f>
        <v>Arif</v>
      </c>
      <c r="AB146" s="6" t="str">
        <f>IFERROR(__xludf.DUMMYFUNCTION("""COMPUTED_VALUE"""),"R.H.")</f>
        <v>R.H.</v>
      </c>
      <c r="AC146" s="6">
        <f>IFERROR(__xludf.DUMMYFUNCTION("""COMPUTED_VALUE"""),2.642316E8)</f>
        <v>264231600</v>
      </c>
      <c r="AD146" s="9">
        <f>IFERROR(__xludf.DUMMYFUNCTION("""COMPUTED_VALUE"""),25543.0)</f>
        <v>25543</v>
      </c>
      <c r="AE146" s="6" t="str">
        <f>IFERROR(__xludf.DUMMYFUNCTION("""COMPUTED_VALUE"""),"bg")</f>
        <v>bg</v>
      </c>
      <c r="AF146" s="6" t="str">
        <f>IFERROR(__xludf.DUMMYFUNCTION("""COMPUTED_VALUE"""),"Karamantsi")</f>
        <v>Karamantsi</v>
      </c>
      <c r="AG146" s="6" t="str">
        <f>IFERROR(__xludf.DUMMYFUNCTION("""COMPUTED_VALUE"""),"Hr. R.H. Arif")</f>
        <v>Hr. R.H. Arif</v>
      </c>
      <c r="AH146" s="6"/>
      <c r="AI146" s="6"/>
      <c r="AJ146" s="6" t="str">
        <f>IFERROR(__xludf.DUMMYFUNCTION("""COMPUTED_VALUE"""),"ID Kaart")</f>
        <v>ID Kaart</v>
      </c>
      <c r="AK146" s="6">
        <f>IFERROR(__xludf.DUMMYFUNCTION("""COMPUTED_VALUE"""),6.40452452E8)</f>
        <v>640452452</v>
      </c>
      <c r="AL146" s="9">
        <f>IFERROR(__xludf.DUMMYFUNCTION("""COMPUTED_VALUE"""),44024.0)</f>
        <v>44024</v>
      </c>
      <c r="AM146" s="6"/>
      <c r="AN146" s="6" t="str">
        <f>IFERROR(__xludf.DUMMYFUNCTION("""COMPUTED_VALUE"""),"Ramadan Habib Arif")</f>
        <v>Ramadan Habib Arif</v>
      </c>
      <c r="AO146" s="6"/>
    </row>
    <row r="147">
      <c r="A147" s="6" t="str">
        <f>IFERROR(__xludf.DUMMYFUNCTION("""COMPUTED_VALUE"""),"DJR-Services")</f>
        <v>DJR-Services</v>
      </c>
      <c r="B147" s="6" t="str">
        <f>IFERROR(__xludf.DUMMYFUNCTION("""COMPUTED_VALUE"""),"DJR-Services")</f>
        <v>DJR-Services</v>
      </c>
      <c r="C147" s="6">
        <f>IFERROR(__xludf.DUMMYFUNCTION("""COMPUTED_VALUE"""),1699.0)</f>
        <v>1699</v>
      </c>
      <c r="D147" s="7" t="str">
        <f>IFERROR(__xludf.DUMMYFUNCTION("""COMPUTED_VALUE"""),"David Slavchov Lashkov")</f>
        <v>David Slavchov Lashkov</v>
      </c>
      <c r="E147" s="7" t="str">
        <f>IFERROR(__xludf.DUMMYFUNCTION("""COMPUTED_VALUE"""),"SBI-code: 4120 - Algemene burgerlijke en utiliteitsbouw")</f>
        <v>SBI-code: 4120 - Algemene burgerlijke en utiliteitsbouw</v>
      </c>
      <c r="F147" s="7" t="str">
        <f>IFERROR(__xludf.DUMMYFUNCTION("""COMPUTED_VALUE"""),"0625218822")</f>
        <v>0625218822</v>
      </c>
      <c r="G147" s="6" t="str">
        <f>IFERROR(__xludf.DUMMYFUNCTION("""COMPUTED_VALUE"""),"david.lashkov@abv.bg")</f>
        <v>david.lashkov@abv.bg</v>
      </c>
      <c r="H147" s="6" t="str">
        <f>IFERROR(__xludf.DUMMYFUNCTION("""COMPUTED_VALUE"""),"Zegenstraat 5")</f>
        <v>Zegenstraat 5</v>
      </c>
      <c r="I147" s="6" t="str">
        <f>IFERROR(__xludf.DUMMYFUNCTION("""COMPUTED_VALUE"""),"3082XM")</f>
        <v>3082XM</v>
      </c>
      <c r="J147" s="6" t="str">
        <f>IFERROR(__xludf.DUMMYFUNCTION("""COMPUTED_VALUE"""),"Rotterdam")</f>
        <v>Rotterdam</v>
      </c>
      <c r="K147" s="6" t="str">
        <f>IFERROR(__xludf.DUMMYFUNCTION("""COMPUTED_VALUE"""),"Nederland")</f>
        <v>Nederland</v>
      </c>
      <c r="L147" s="6" t="str">
        <f>IFERROR(__xludf.DUMMYFUNCTION("""COMPUTED_VALUE"""),"Лашков")</f>
        <v>Лашков</v>
      </c>
      <c r="M147" s="8">
        <f>IFERROR(__xludf.DUMMYFUNCTION("""COMPUTED_VALUE"""),45658.0)</f>
        <v>45658</v>
      </c>
      <c r="N147" s="6" t="str">
        <f>IFERROR(__xludf.DUMMYFUNCTION("""COMPUTED_VALUE"""),"NL415072657B01")</f>
        <v>NL415072657B01</v>
      </c>
      <c r="O147" s="6">
        <f>IFERROR(__xludf.DUMMYFUNCTION("""COMPUTED_VALUE"""),8.8481735E7)</f>
        <v>88481735</v>
      </c>
      <c r="P147" s="6" t="str">
        <f>IFERROR(__xludf.DUMMYFUNCTION("""COMPUTED_VALUE"""),"NL57INGB0774265507")</f>
        <v>NL57INGB0774265507</v>
      </c>
      <c r="Q147" s="9">
        <f>IFERROR(__xludf.DUMMYFUNCTION("""COMPUTED_VALUE"""),44835.0)</f>
        <v>44835</v>
      </c>
      <c r="R147" s="6"/>
      <c r="S147" s="6" t="str">
        <f>IFERROR(__xludf.DUMMYFUNCTION("""COMPUTED_VALUE"""),"NL004612460B53")</f>
        <v>NL004612460B53</v>
      </c>
      <c r="T147" s="6">
        <f>IFERROR(__xludf.DUMMYFUNCTION("""COMPUTED_VALUE"""),4.15072657E8)</f>
        <v>415072657</v>
      </c>
      <c r="U147" s="7" t="str">
        <f>IFERROR(__xludf.DUMMYFUNCTION("""COMPUTED_VALUE"""),"Eenmanszaak")</f>
        <v>Eenmanszaak</v>
      </c>
      <c r="V147" s="7" t="str">
        <f>IFERROR(__xludf.DUMMYFUNCTION("""COMPUTED_VALUE"""),"000054344328")</f>
        <v>000054344328</v>
      </c>
      <c r="W147" s="6" t="str">
        <f>IFERROR(__xludf.DUMMYFUNCTION("""COMPUTED_VALUE"""),"ink.djrservices.2288aa@zarabota.nl")</f>
        <v>ink.djrservices.2288aa@zarabota.nl</v>
      </c>
      <c r="X147" s="6" t="str">
        <f>IFERROR(__xludf.DUMMYFUNCTION("""COMPUTED_VALUE"""),"ver.djrservices.2288aa@zarabota.nl")</f>
        <v>ver.djrservices.2288aa@zarabota.nl</v>
      </c>
      <c r="Y147" s="6" t="str">
        <f>IFERROR(__xludf.DUMMYFUNCTION("""COMPUTED_VALUE"""),"Hr.")</f>
        <v>Hr.</v>
      </c>
      <c r="Z147" s="6" t="str">
        <f>IFERROR(__xludf.DUMMYFUNCTION("""COMPUTED_VALUE"""),"David Slavchov")</f>
        <v>David Slavchov</v>
      </c>
      <c r="AA147" s="6" t="str">
        <f>IFERROR(__xludf.DUMMYFUNCTION("""COMPUTED_VALUE"""),"Lashkov")</f>
        <v>Lashkov</v>
      </c>
      <c r="AB147" s="6" t="str">
        <f>IFERROR(__xludf.DUMMYFUNCTION("""COMPUTED_VALUE"""),"D.S.")</f>
        <v>D.S.</v>
      </c>
      <c r="AC147" s="6">
        <f>IFERROR(__xludf.DUMMYFUNCTION("""COMPUTED_VALUE"""),4.15072657E8)</f>
        <v>415072657</v>
      </c>
      <c r="AD147" s="9">
        <f>IFERROR(__xludf.DUMMYFUNCTION("""COMPUTED_VALUE"""),35849.0)</f>
        <v>35849</v>
      </c>
      <c r="AE147" s="6" t="str">
        <f>IFERROR(__xludf.DUMMYFUNCTION("""COMPUTED_VALUE"""),"bg")</f>
        <v>bg</v>
      </c>
      <c r="AF147" s="6" t="str">
        <f>IFERROR(__xludf.DUMMYFUNCTION("""COMPUTED_VALUE"""),"Lom")</f>
        <v>Lom</v>
      </c>
      <c r="AG147" s="6" t="str">
        <f>IFERROR(__xludf.DUMMYFUNCTION("""COMPUTED_VALUE"""),"Hr. D.S. Lashkov")</f>
        <v>Hr. D.S. Lashkov</v>
      </c>
      <c r="AH147" s="6" t="str">
        <f>IFERROR(__xludf.DUMMYFUNCTION("""COMPUTED_VALUE"""),"NL19INGB0709780591")</f>
        <v>NL19INGB0709780591</v>
      </c>
      <c r="AI147" s="6"/>
      <c r="AJ147" s="6" t="str">
        <f>IFERROR(__xludf.DUMMYFUNCTION("""COMPUTED_VALUE"""),"ID Kaart")</f>
        <v>ID Kaart</v>
      </c>
      <c r="AK147" s="6">
        <f>IFERROR(__xludf.DUMMYFUNCTION("""COMPUTED_VALUE"""),6.48105415E8)</f>
        <v>648105415</v>
      </c>
      <c r="AL147" s="9">
        <f>IFERROR(__xludf.DUMMYFUNCTION("""COMPUTED_VALUE"""),47184.0)</f>
        <v>47184</v>
      </c>
      <c r="AM147" s="6" t="str">
        <f>IFERROR(__xludf.DUMMYFUNCTION("""COMPUTED_VALUE"""),"Bulgarije")</f>
        <v>Bulgarije</v>
      </c>
      <c r="AN147" s="6" t="str">
        <f>IFERROR(__xludf.DUMMYFUNCTION("""COMPUTED_VALUE"""),"David Slavchov Lashkov")</f>
        <v>David Slavchov Lashkov</v>
      </c>
      <c r="AO147" s="6">
        <f>IFERROR(__xludf.DUMMYFUNCTION("""COMPUTED_VALUE"""),1699.0)</f>
        <v>1699</v>
      </c>
    </row>
    <row r="148">
      <c r="A148" s="6" t="str">
        <f>IFERROR(__xludf.DUMMYFUNCTION("""COMPUTED_VALUE"""),"DMK Totaal Afbouw B.V.")</f>
        <v>DMK Totaal Afbouw B.V.</v>
      </c>
      <c r="B148" s="6" t="str">
        <f>IFERROR(__xludf.DUMMYFUNCTION("""COMPUTED_VALUE"""),"DMK Totaal Afbouw B.V.")</f>
        <v>DMK Totaal Afbouw B.V.</v>
      </c>
      <c r="C148" s="6">
        <f>IFERROR(__xludf.DUMMYFUNCTION("""COMPUTED_VALUE"""),783.0)</f>
        <v>783</v>
      </c>
      <c r="D148" s="7" t="str">
        <f>IFERROR(__xludf.DUMMYFUNCTION("""COMPUTED_VALUE"""),"Denislav Milanov Kosov")</f>
        <v>Denislav Milanov Kosov</v>
      </c>
      <c r="E148" s="7" t="str">
        <f>IFERROR(__xludf.DUMMYFUNCTION("""COMPUTED_VALUE"""),"SBI-code: 4120 - Algemene burgerlijke en utiliteitsbouw")</f>
        <v>SBI-code: 4120 - Algemene burgerlijke en utiliteitsbouw</v>
      </c>
      <c r="F148" s="7" t="str">
        <f>IFERROR(__xludf.DUMMYFUNCTION("""COMPUTED_VALUE"""),"0638151816")</f>
        <v>0638151816</v>
      </c>
      <c r="G148" s="6" t="str">
        <f>IFERROR(__xludf.DUMMYFUNCTION("""COMPUTED_VALUE"""),"denislavkosov@gmail.com")</f>
        <v>denislavkosov@gmail.com</v>
      </c>
      <c r="H148" s="6" t="str">
        <f>IFERROR(__xludf.DUMMYFUNCTION("""COMPUTED_VALUE"""),"David Blesstraat 88")</f>
        <v>David Blesstraat 88</v>
      </c>
      <c r="I148" s="6" t="str">
        <f>IFERROR(__xludf.DUMMYFUNCTION("""COMPUTED_VALUE"""),"2526BK")</f>
        <v>2526BK</v>
      </c>
      <c r="J148" s="6" t="str">
        <f>IFERROR(__xludf.DUMMYFUNCTION("""COMPUTED_VALUE"""),"s-Gravenhage")</f>
        <v>s-Gravenhage</v>
      </c>
      <c r="K148" s="6" t="str">
        <f>IFERROR(__xludf.DUMMYFUNCTION("""COMPUTED_VALUE"""),"Nederland")</f>
        <v>Nederland</v>
      </c>
      <c r="L148" s="6" t="str">
        <f>IFERROR(__xludf.DUMMYFUNCTION("""COMPUTED_VALUE"""),"Косов")</f>
        <v>Косов</v>
      </c>
      <c r="M148" s="8">
        <f>IFERROR(__xludf.DUMMYFUNCTION("""COMPUTED_VALUE"""),43594.0)</f>
        <v>43594</v>
      </c>
      <c r="N148" s="6" t="str">
        <f>IFERROR(__xludf.DUMMYFUNCTION("""COMPUTED_VALUE"""),"NL860028902B01")</f>
        <v>NL860028902B01</v>
      </c>
      <c r="O148" s="6">
        <f>IFERROR(__xludf.DUMMYFUNCTION("""COMPUTED_VALUE"""),7.479462E7)</f>
        <v>74794620</v>
      </c>
      <c r="P148" s="6" t="str">
        <f>IFERROR(__xludf.DUMMYFUNCTION("""COMPUTED_VALUE"""),"NL76INGB0009430835")</f>
        <v>NL76INGB0009430835</v>
      </c>
      <c r="Q148" s="9">
        <f>IFERROR(__xludf.DUMMYFUNCTION("""COMPUTED_VALUE"""),43594.0)</f>
        <v>43594</v>
      </c>
      <c r="R148" s="6"/>
      <c r="S148" s="6" t="str">
        <f>IFERROR(__xludf.DUMMYFUNCTION("""COMPUTED_VALUE"""),"NL860028902B01")</f>
        <v>NL860028902B01</v>
      </c>
      <c r="T148" s="6">
        <f>IFERROR(__xludf.DUMMYFUNCTION("""COMPUTED_VALUE"""),8.60028902E8)</f>
        <v>860028902</v>
      </c>
      <c r="U148" s="7" t="str">
        <f>IFERROR(__xludf.DUMMYFUNCTION("""COMPUTED_VALUE"""),"Eenmanszaak")</f>
        <v>Eenmanszaak</v>
      </c>
      <c r="V148" s="7" t="str">
        <f>IFERROR(__xludf.DUMMYFUNCTION("""COMPUTED_VALUE"""),"000042726603")</f>
        <v>000042726603</v>
      </c>
      <c r="W148" s="6" t="str">
        <f>IFERROR(__xludf.DUMMYFUNCTION("""COMPUTED_VALUE"""),"ink.dmktotaalafbouwbv.2288aa@zarabota.nl")</f>
        <v>ink.dmktotaalafbouwbv.2288aa@zarabota.nl</v>
      </c>
      <c r="X148" s="6" t="str">
        <f>IFERROR(__xludf.DUMMYFUNCTION("""COMPUTED_VALUE"""),"ver.dmktotaalafbouwbv.2288aa@zarabota.nl")</f>
        <v>ver.dmktotaalafbouwbv.2288aa@zarabota.nl</v>
      </c>
      <c r="Y148" s="6" t="str">
        <f>IFERROR(__xludf.DUMMYFUNCTION("""COMPUTED_VALUE"""),"Hr.")</f>
        <v>Hr.</v>
      </c>
      <c r="Z148" s="6" t="str">
        <f>IFERROR(__xludf.DUMMYFUNCTION("""COMPUTED_VALUE"""),"Denislav Milanov")</f>
        <v>Denislav Milanov</v>
      </c>
      <c r="AA148" s="6" t="str">
        <f>IFERROR(__xludf.DUMMYFUNCTION("""COMPUTED_VALUE"""),"Kosov")</f>
        <v>Kosov</v>
      </c>
      <c r="AB148" s="6" t="str">
        <f>IFERROR(__xludf.DUMMYFUNCTION("""COMPUTED_VALUE"""),"D.M.")</f>
        <v>D.M.</v>
      </c>
      <c r="AC148" s="6">
        <f>IFERROR(__xludf.DUMMYFUNCTION("""COMPUTED_VALUE"""),4.86963949E8)</f>
        <v>486963949</v>
      </c>
      <c r="AD148" s="9">
        <f>IFERROR(__xludf.DUMMYFUNCTION("""COMPUTED_VALUE"""),32945.0)</f>
        <v>32945</v>
      </c>
      <c r="AE148" s="6" t="str">
        <f>IFERROR(__xludf.DUMMYFUNCTION("""COMPUTED_VALUE"""),"bg")</f>
        <v>bg</v>
      </c>
      <c r="AF148" s="6" t="str">
        <f>IFERROR(__xludf.DUMMYFUNCTION("""COMPUTED_VALUE"""),"Ardino")</f>
        <v>Ardino</v>
      </c>
      <c r="AG148" s="6" t="str">
        <f>IFERROR(__xludf.DUMMYFUNCTION("""COMPUTED_VALUE"""),"Hr. D.M. Kosov")</f>
        <v>Hr. D.M. Kosov</v>
      </c>
      <c r="AH148" s="6" t="str">
        <f>IFERROR(__xludf.DUMMYFUNCTION("""COMPUTED_VALUE"""),"NL29INGB0684194236")</f>
        <v>NL29INGB0684194236</v>
      </c>
      <c r="AI148" s="6"/>
      <c r="AJ148" s="6"/>
      <c r="AK148" s="6"/>
      <c r="AL148" s="6"/>
      <c r="AM148" s="6"/>
      <c r="AN148" s="6" t="str">
        <f>IFERROR(__xludf.DUMMYFUNCTION("""COMPUTED_VALUE"""),"Denislav Milanov Kosov")</f>
        <v>Denislav Milanov Kosov</v>
      </c>
      <c r="AO148" s="6"/>
    </row>
    <row r="149">
      <c r="A149" s="6" t="str">
        <f>IFERROR(__xludf.DUMMYFUNCTION("""COMPUTED_VALUE"""),"DMK Totaal B.V.")</f>
        <v>DMK Totaal B.V.</v>
      </c>
      <c r="B149" s="6" t="str">
        <f>IFERROR(__xludf.DUMMYFUNCTION("""COMPUTED_VALUE"""),"DMK Totaal B.V.")</f>
        <v>DMK Totaal B.V.</v>
      </c>
      <c r="C149" s="6">
        <f>IFERROR(__xludf.DUMMYFUNCTION("""COMPUTED_VALUE"""),782.0)</f>
        <v>782</v>
      </c>
      <c r="D149" s="7" t="str">
        <f>IFERROR(__xludf.DUMMYFUNCTION("""COMPUTED_VALUE"""),"Denislav Milanov Kosov")</f>
        <v>Denislav Milanov Kosov</v>
      </c>
      <c r="E149" s="7" t="str">
        <f>IFERROR(__xludf.DUMMYFUNCTION("""COMPUTED_VALUE"""),"SBI-code: 4120 - Algemene burgerlijke en utiliteitsbouw")</f>
        <v>SBI-code: 4120 - Algemene burgerlijke en utiliteitsbouw</v>
      </c>
      <c r="F149" s="6"/>
      <c r="G149" s="6" t="str">
        <f>IFERROR(__xludf.DUMMYFUNCTION("""COMPUTED_VALUE"""),"dmktotaal@zzp-nl.nl")</f>
        <v>dmktotaal@zzp-nl.nl</v>
      </c>
      <c r="H149" s="6" t="str">
        <f>IFERROR(__xludf.DUMMYFUNCTION("""COMPUTED_VALUE"""),"David Blesstraat 88")</f>
        <v>David Blesstraat 88</v>
      </c>
      <c r="I149" s="6" t="str">
        <f>IFERROR(__xludf.DUMMYFUNCTION("""COMPUTED_VALUE"""),"2526BK")</f>
        <v>2526BK</v>
      </c>
      <c r="J149" s="6" t="str">
        <f>IFERROR(__xludf.DUMMYFUNCTION("""COMPUTED_VALUE"""),"s-Gravenhage")</f>
        <v>s-Gravenhage</v>
      </c>
      <c r="K149" s="6" t="str">
        <f>IFERROR(__xludf.DUMMYFUNCTION("""COMPUTED_VALUE"""),"Nederland")</f>
        <v>Nederland</v>
      </c>
      <c r="L149" s="6" t="str">
        <f>IFERROR(__xludf.DUMMYFUNCTION("""COMPUTED_VALUE"""),"Косов")</f>
        <v>Косов</v>
      </c>
      <c r="M149" s="8">
        <f>IFERROR(__xludf.DUMMYFUNCTION("""COMPUTED_VALUE"""),43594.0)</f>
        <v>43594</v>
      </c>
      <c r="N149" s="6" t="str">
        <f>IFERROR(__xludf.DUMMYFUNCTION("""COMPUTED_VALUE"""),"NL860028185B01")</f>
        <v>NL860028185B01</v>
      </c>
      <c r="O149" s="6">
        <f>IFERROR(__xludf.DUMMYFUNCTION("""COMPUTED_VALUE"""),7.4792407E7)</f>
        <v>74792407</v>
      </c>
      <c r="P149" s="6" t="str">
        <f>IFERROR(__xludf.DUMMYFUNCTION("""COMPUTED_VALUE"""),"NL87INGB0006753631")</f>
        <v>NL87INGB0006753631</v>
      </c>
      <c r="Q149" s="9">
        <f>IFERROR(__xludf.DUMMYFUNCTION("""COMPUTED_VALUE"""),43594.0)</f>
        <v>43594</v>
      </c>
      <c r="R149" s="6"/>
      <c r="S149" s="6" t="str">
        <f>IFERROR(__xludf.DUMMYFUNCTION("""COMPUTED_VALUE"""),"NL860028185B01")</f>
        <v>NL860028185B01</v>
      </c>
      <c r="T149" s="6">
        <f>IFERROR(__xludf.DUMMYFUNCTION("""COMPUTED_VALUE"""),8.60028185E8)</f>
        <v>860028185</v>
      </c>
      <c r="U149" s="7" t="str">
        <f>IFERROR(__xludf.DUMMYFUNCTION("""COMPUTED_VALUE"""),"Eenmanszaak")</f>
        <v>Eenmanszaak</v>
      </c>
      <c r="V149" s="7" t="str">
        <f>IFERROR(__xludf.DUMMYFUNCTION("""COMPUTED_VALUE"""),"000042724511")</f>
        <v>000042724511</v>
      </c>
      <c r="W149" s="6" t="str">
        <f>IFERROR(__xludf.DUMMYFUNCTION("""COMPUTED_VALUE"""),"ink.dmktotaalbv.2288aa@zarabota.nl")</f>
        <v>ink.dmktotaalbv.2288aa@zarabota.nl</v>
      </c>
      <c r="X149" s="6" t="str">
        <f>IFERROR(__xludf.DUMMYFUNCTION("""COMPUTED_VALUE"""),"ver.dmktotaalbv.2288aa@zarabota.nl")</f>
        <v>ver.dmktotaalbv.2288aa@zarabota.nl</v>
      </c>
      <c r="Y149" s="6" t="str">
        <f>IFERROR(__xludf.DUMMYFUNCTION("""COMPUTED_VALUE"""),"Hr.")</f>
        <v>Hr.</v>
      </c>
      <c r="Z149" s="6" t="str">
        <f>IFERROR(__xludf.DUMMYFUNCTION("""COMPUTED_VALUE"""),"Denislav Milanov")</f>
        <v>Denislav Milanov</v>
      </c>
      <c r="AA149" s="6" t="str">
        <f>IFERROR(__xludf.DUMMYFUNCTION("""COMPUTED_VALUE"""),"Kosov")</f>
        <v>Kosov</v>
      </c>
      <c r="AB149" s="6" t="str">
        <f>IFERROR(__xludf.DUMMYFUNCTION("""COMPUTED_VALUE"""),"D.M.")</f>
        <v>D.M.</v>
      </c>
      <c r="AC149" s="6">
        <f>IFERROR(__xludf.DUMMYFUNCTION("""COMPUTED_VALUE"""),4.86963949E8)</f>
        <v>486963949</v>
      </c>
      <c r="AD149" s="9">
        <f>IFERROR(__xludf.DUMMYFUNCTION("""COMPUTED_VALUE"""),32945.0)</f>
        <v>32945</v>
      </c>
      <c r="AE149" s="6" t="str">
        <f>IFERROR(__xludf.DUMMYFUNCTION("""COMPUTED_VALUE"""),"bg")</f>
        <v>bg</v>
      </c>
      <c r="AF149" s="6" t="str">
        <f>IFERROR(__xludf.DUMMYFUNCTION("""COMPUTED_VALUE"""),"Ardino")</f>
        <v>Ardino</v>
      </c>
      <c r="AG149" s="6" t="str">
        <f>IFERROR(__xludf.DUMMYFUNCTION("""COMPUTED_VALUE"""),"Hr. D.M. Kosov")</f>
        <v>Hr. D.M. Kosov</v>
      </c>
      <c r="AH149" s="6" t="str">
        <f>IFERROR(__xludf.DUMMYFUNCTION("""COMPUTED_VALUE"""),"NL29INGB0684194236")</f>
        <v>NL29INGB0684194236</v>
      </c>
      <c r="AI149" s="6"/>
      <c r="AJ149" s="6"/>
      <c r="AK149" s="6"/>
      <c r="AL149" s="6"/>
      <c r="AM149" s="6"/>
      <c r="AN149" s="6" t="str">
        <f>IFERROR(__xludf.DUMMYFUNCTION("""COMPUTED_VALUE"""),"Denislav Milanov Kosov")</f>
        <v>Denislav Milanov Kosov</v>
      </c>
      <c r="AO149" s="6"/>
    </row>
    <row r="150">
      <c r="A150" s="6" t="str">
        <f>IFERROR(__xludf.DUMMYFUNCTION("""COMPUTED_VALUE"""),"Donev VOF")</f>
        <v>Donev VOF</v>
      </c>
      <c r="B150" s="6" t="str">
        <f>IFERROR(__xludf.DUMMYFUNCTION("""COMPUTED_VALUE"""),"Donev VOF")</f>
        <v>Donev VOF</v>
      </c>
      <c r="C150" s="6">
        <f>IFERROR(__xludf.DUMMYFUNCTION("""COMPUTED_VALUE"""),1550.0)</f>
        <v>1550</v>
      </c>
      <c r="D150" s="7" t="str">
        <f>IFERROR(__xludf.DUMMYFUNCTION("""COMPUTED_VALUE"""),"Yanko Atanasov Donev")</f>
        <v>Yanko Atanasov Donev</v>
      </c>
      <c r="E150" s="7" t="str">
        <f>IFERROR(__xludf.DUMMYFUNCTION("""COMPUTED_VALUE"""),"SBI-code: 4120 - Algemene burgerlijke en utiliteitsbouw")</f>
        <v>SBI-code: 4120 - Algemene burgerlijke en utiliteitsbouw</v>
      </c>
      <c r="F150" s="7" t="str">
        <f>IFERROR(__xludf.DUMMYFUNCTION("""COMPUTED_VALUE"""),"0616030426")</f>
        <v>0616030426</v>
      </c>
      <c r="G150" s="6" t="str">
        <f>IFERROR(__xludf.DUMMYFUNCTION("""COMPUTED_VALUE"""),"qnko_atanasov881988@abv.bg")</f>
        <v>qnko_atanasov881988@abv.bg</v>
      </c>
      <c r="H150" s="6" t="str">
        <f>IFERROR(__xludf.DUMMYFUNCTION("""COMPUTED_VALUE"""),"Guido Gezellestraat 7")</f>
        <v>Guido Gezellestraat 7</v>
      </c>
      <c r="I150" s="6" t="str">
        <f>IFERROR(__xludf.DUMMYFUNCTION("""COMPUTED_VALUE"""),"2524CK")</f>
        <v>2524CK</v>
      </c>
      <c r="J150" s="6" t="str">
        <f>IFERROR(__xludf.DUMMYFUNCTION("""COMPUTED_VALUE"""),"s-Gravenhage")</f>
        <v>s-Gravenhage</v>
      </c>
      <c r="K150" s="6" t="str">
        <f>IFERROR(__xludf.DUMMYFUNCTION("""COMPUTED_VALUE"""),"Nederland")</f>
        <v>Nederland</v>
      </c>
      <c r="L150" s="6" t="str">
        <f>IFERROR(__xludf.DUMMYFUNCTION("""COMPUTED_VALUE"""),"Донев")</f>
        <v>Донев</v>
      </c>
      <c r="M150" s="8">
        <f>IFERROR(__xludf.DUMMYFUNCTION("""COMPUTED_VALUE"""),45170.0)</f>
        <v>45170</v>
      </c>
      <c r="N150" s="6" t="str">
        <f>IFERROR(__xludf.DUMMYFUNCTION("""COMPUTED_VALUE"""),"NL865667597B01")</f>
        <v>NL865667597B01</v>
      </c>
      <c r="O150" s="6">
        <f>IFERROR(__xludf.DUMMYFUNCTION("""COMPUTED_VALUE"""),9.1483565E7)</f>
        <v>91483565</v>
      </c>
      <c r="P150" s="6" t="str">
        <f>IFERROR(__xludf.DUMMYFUNCTION("""COMPUTED_VALUE"""),"NL51INGB0007516408")</f>
        <v>NL51INGB0007516408</v>
      </c>
      <c r="Q150" s="9">
        <f>IFERROR(__xludf.DUMMYFUNCTION("""COMPUTED_VALUE"""),45170.0)</f>
        <v>45170</v>
      </c>
      <c r="R150" s="6"/>
      <c r="S150" s="6" t="str">
        <f>IFERROR(__xludf.DUMMYFUNCTION("""COMPUTED_VALUE"""),"NL865667597B01")</f>
        <v>NL865667597B01</v>
      </c>
      <c r="T150" s="6">
        <f>IFERROR(__xludf.DUMMYFUNCTION("""COMPUTED_VALUE"""),8.65667597E8)</f>
        <v>865667597</v>
      </c>
      <c r="U150" s="7" t="str">
        <f>IFERROR(__xludf.DUMMYFUNCTION("""COMPUTED_VALUE"""),"Eenmanszaak")</f>
        <v>Eenmanszaak</v>
      </c>
      <c r="V150" s="7" t="str">
        <f>IFERROR(__xludf.DUMMYFUNCTION("""COMPUTED_VALUE"""),"000035679859")</f>
        <v>000035679859</v>
      </c>
      <c r="W150" s="6" t="str">
        <f>IFERROR(__xludf.DUMMYFUNCTION("""COMPUTED_VALUE"""),"ink.donev.2288aa@zarabota.nl")</f>
        <v>ink.donev.2288aa@zarabota.nl</v>
      </c>
      <c r="X150" s="6" t="str">
        <f>IFERROR(__xludf.DUMMYFUNCTION("""COMPUTED_VALUE"""),"ver.donev.2288aa@zarabota.nl")</f>
        <v>ver.donev.2288aa@zarabota.nl</v>
      </c>
      <c r="Y150" s="6" t="str">
        <f>IFERROR(__xludf.DUMMYFUNCTION("""COMPUTED_VALUE"""),"Hr.")</f>
        <v>Hr.</v>
      </c>
      <c r="Z150" s="6" t="str">
        <f>IFERROR(__xludf.DUMMYFUNCTION("""COMPUTED_VALUE"""),"Yanko Atanasov")</f>
        <v>Yanko Atanasov</v>
      </c>
      <c r="AA150" s="6" t="str">
        <f>IFERROR(__xludf.DUMMYFUNCTION("""COMPUTED_VALUE"""),"Donev")</f>
        <v>Donev</v>
      </c>
      <c r="AB150" s="6" t="str">
        <f>IFERROR(__xludf.DUMMYFUNCTION("""COMPUTED_VALUE"""),"Y.A.")</f>
        <v>Y.A.</v>
      </c>
      <c r="AC150" s="6">
        <f>IFERROR(__xludf.DUMMYFUNCTION("""COMPUTED_VALUE"""),3.50715853E8)</f>
        <v>350715853</v>
      </c>
      <c r="AD150" s="9">
        <f>IFERROR(__xludf.DUMMYFUNCTION("""COMPUTED_VALUE"""),32182.0)</f>
        <v>32182</v>
      </c>
      <c r="AE150" s="6" t="str">
        <f>IFERROR(__xludf.DUMMYFUNCTION("""COMPUTED_VALUE"""),"bg")</f>
        <v>bg</v>
      </c>
      <c r="AF150" s="6" t="str">
        <f>IFERROR(__xludf.DUMMYFUNCTION("""COMPUTED_VALUE"""),"Haskovo")</f>
        <v>Haskovo</v>
      </c>
      <c r="AG150" s="6" t="str">
        <f>IFERROR(__xludf.DUMMYFUNCTION("""COMPUTED_VALUE"""),"Hr. Y.A. Donev")</f>
        <v>Hr. Y.A. Donev</v>
      </c>
      <c r="AH150" s="6"/>
      <c r="AI150" s="6"/>
      <c r="AJ150" s="6" t="str">
        <f>IFERROR(__xludf.DUMMYFUNCTION("""COMPUTED_VALUE"""),"ID Kaart")</f>
        <v>ID Kaart</v>
      </c>
      <c r="AK150" s="6">
        <f>IFERROR(__xludf.DUMMYFUNCTION("""COMPUTED_VALUE"""),6.473697E8)</f>
        <v>647369700</v>
      </c>
      <c r="AL150" s="9">
        <f>IFERROR(__xludf.DUMMYFUNCTION("""COMPUTED_VALUE"""),46750.0)</f>
        <v>46750</v>
      </c>
      <c r="AM150" s="6" t="str">
        <f>IFERROR(__xludf.DUMMYFUNCTION("""COMPUTED_VALUE"""),"Bulgarije")</f>
        <v>Bulgarije</v>
      </c>
      <c r="AN150" s="6" t="str">
        <f>IFERROR(__xludf.DUMMYFUNCTION("""COMPUTED_VALUE"""),"Yanko Atanasov Donev")</f>
        <v>Yanko Atanasov Donev</v>
      </c>
      <c r="AO150" s="6"/>
    </row>
    <row r="151">
      <c r="A151" s="6" t="str">
        <f>IFERROR(__xludf.DUMMYFUNCTION("""COMPUTED_VALUE"""),"Doons Daam")</f>
        <v>Doons Daam</v>
      </c>
      <c r="B151" s="6" t="str">
        <f>IFERROR(__xludf.DUMMYFUNCTION("""COMPUTED_VALUE"""),"Doons Daam")</f>
        <v>Doons Daam</v>
      </c>
      <c r="C151" s="6">
        <f>IFERROR(__xludf.DUMMYFUNCTION("""COMPUTED_VALUE"""),342.0)</f>
        <v>342</v>
      </c>
      <c r="D151" s="7" t="str">
        <f>IFERROR(__xludf.DUMMYFUNCTION("""COMPUTED_VALUE"""),"Yuriy Manolov Donev")</f>
        <v>Yuriy Manolov Donev</v>
      </c>
      <c r="E151" s="7" t="str">
        <f>IFERROR(__xludf.DUMMYFUNCTION("""COMPUTED_VALUE"""),"SBI-code: 4120 - Algemene burgerlijke en utiliteitsbouw")</f>
        <v>SBI-code: 4120 - Algemene burgerlijke en utiliteitsbouw</v>
      </c>
      <c r="F151" s="7" t="str">
        <f>IFERROR(__xludf.DUMMYFUNCTION("""COMPUTED_VALUE"""),"0685241538")</f>
        <v>0685241538</v>
      </c>
      <c r="G151" s="6" t="str">
        <f>IFERROR(__xludf.DUMMYFUNCTION("""COMPUTED_VALUE"""),"yuriymanolovdonev@gmail.com")</f>
        <v>yuriymanolovdonev@gmail.com</v>
      </c>
      <c r="H151" s="6" t="str">
        <f>IFERROR(__xludf.DUMMYFUNCTION("""COMPUTED_VALUE"""),"Mijnsherenplein 52B")</f>
        <v>Mijnsherenplein 52B</v>
      </c>
      <c r="I151" s="6" t="str">
        <f>IFERROR(__xludf.DUMMYFUNCTION("""COMPUTED_VALUE"""),"3081CT")</f>
        <v>3081CT</v>
      </c>
      <c r="J151" s="6" t="str">
        <f>IFERROR(__xludf.DUMMYFUNCTION("""COMPUTED_VALUE"""),"s-Gravenhage")</f>
        <v>s-Gravenhage</v>
      </c>
      <c r="K151" s="6" t="str">
        <f>IFERROR(__xludf.DUMMYFUNCTION("""COMPUTED_VALUE"""),"Nederland")</f>
        <v>Nederland</v>
      </c>
      <c r="L151" s="6" t="str">
        <f>IFERROR(__xludf.DUMMYFUNCTION("""COMPUTED_VALUE"""),"Донев")</f>
        <v>Донев</v>
      </c>
      <c r="M151" s="8">
        <f>IFERROR(__xludf.DUMMYFUNCTION("""COMPUTED_VALUE"""),42528.0)</f>
        <v>42528</v>
      </c>
      <c r="N151" s="6" t="str">
        <f>IFERROR(__xludf.DUMMYFUNCTION("""COMPUTED_VALUE"""),"NL661849181B01")</f>
        <v>NL661849181B01</v>
      </c>
      <c r="O151" s="6">
        <f>IFERROR(__xludf.DUMMYFUNCTION("""COMPUTED_VALUE"""),6.6186846E7)</f>
        <v>66186846</v>
      </c>
      <c r="P151" s="6" t="str">
        <f>IFERROR(__xludf.DUMMYFUNCTION("""COMPUTED_VALUE"""),"NL95INGB0008294914")</f>
        <v>NL95INGB0008294914</v>
      </c>
      <c r="Q151" s="9">
        <f>IFERROR(__xludf.DUMMYFUNCTION("""COMPUTED_VALUE"""),42528.0)</f>
        <v>42528</v>
      </c>
      <c r="R151" s="6"/>
      <c r="S151" s="6" t="str">
        <f>IFERROR(__xludf.DUMMYFUNCTION("""COMPUTED_VALUE"""),"NL002512976B03")</f>
        <v>NL002512976B03</v>
      </c>
      <c r="T151" s="6">
        <f>IFERROR(__xludf.DUMMYFUNCTION("""COMPUTED_VALUE"""),6.61849181E8)</f>
        <v>661849181</v>
      </c>
      <c r="U151" s="7" t="str">
        <f>IFERROR(__xludf.DUMMYFUNCTION("""COMPUTED_VALUE"""),"Eenmanszaak")</f>
        <v>Eenmanszaak</v>
      </c>
      <c r="V151" s="7" t="str">
        <f>IFERROR(__xludf.DUMMYFUNCTION("""COMPUTED_VALUE"""),"000034833420")</f>
        <v>000034833420</v>
      </c>
      <c r="W151" s="6" t="str">
        <f>IFERROR(__xludf.DUMMYFUNCTION("""COMPUTED_VALUE"""),"ink.doonsdaam.2288aa@zarabota.nl")</f>
        <v>ink.doonsdaam.2288aa@zarabota.nl</v>
      </c>
      <c r="X151" s="6" t="str">
        <f>IFERROR(__xludf.DUMMYFUNCTION("""COMPUTED_VALUE"""),"ver.doonsdaam.2288aa@zarabota.nl")</f>
        <v>ver.doonsdaam.2288aa@zarabota.nl</v>
      </c>
      <c r="Y151" s="6" t="str">
        <f>IFERROR(__xludf.DUMMYFUNCTION("""COMPUTED_VALUE"""),"Hr.")</f>
        <v>Hr.</v>
      </c>
      <c r="Z151" s="6" t="str">
        <f>IFERROR(__xludf.DUMMYFUNCTION("""COMPUTED_VALUE"""),"Yuriy Manolov")</f>
        <v>Yuriy Manolov</v>
      </c>
      <c r="AA151" s="6" t="str">
        <f>IFERROR(__xludf.DUMMYFUNCTION("""COMPUTED_VALUE"""),"Donev")</f>
        <v>Donev</v>
      </c>
      <c r="AB151" s="6" t="str">
        <f>IFERROR(__xludf.DUMMYFUNCTION("""COMPUTED_VALUE"""),"Y.M.")</f>
        <v>Y.M.</v>
      </c>
      <c r="AC151" s="6">
        <f>IFERROR(__xludf.DUMMYFUNCTION("""COMPUTED_VALUE"""),6.61849181E8)</f>
        <v>661849181</v>
      </c>
      <c r="AD151" s="9">
        <f>IFERROR(__xludf.DUMMYFUNCTION("""COMPUTED_VALUE"""),28046.0)</f>
        <v>28046</v>
      </c>
      <c r="AE151" s="6" t="str">
        <f>IFERROR(__xludf.DUMMYFUNCTION("""COMPUTED_VALUE"""),"bg")</f>
        <v>bg</v>
      </c>
      <c r="AF151" s="6" t="str">
        <f>IFERROR(__xludf.DUMMYFUNCTION("""COMPUTED_VALUE"""),"Stara Zagora")</f>
        <v>Stara Zagora</v>
      </c>
      <c r="AG151" s="6" t="str">
        <f>IFERROR(__xludf.DUMMYFUNCTION("""COMPUTED_VALUE"""),"Hr. Y.M. Donev")</f>
        <v>Hr. Y.M. Donev</v>
      </c>
      <c r="AH151" s="6" t="str">
        <f>IFERROR(__xludf.DUMMYFUNCTION("""COMPUTED_VALUE"""),"NL82INGB0701448903")</f>
        <v>NL82INGB0701448903</v>
      </c>
      <c r="AI151" s="9">
        <f>IFERROR(__xludf.DUMMYFUNCTION("""COMPUTED_VALUE"""),42362.0)</f>
        <v>42362</v>
      </c>
      <c r="AJ151" s="6" t="str">
        <f>IFERROR(__xludf.DUMMYFUNCTION("""COMPUTED_VALUE"""),"ID Kaart")</f>
        <v>ID Kaart</v>
      </c>
      <c r="AK151" s="6">
        <f>IFERROR(__xludf.DUMMYFUNCTION("""COMPUTED_VALUE"""),6.41291843E8)</f>
        <v>641291843</v>
      </c>
      <c r="AL151" s="9">
        <f>IFERROR(__xludf.DUMMYFUNCTION("""COMPUTED_VALUE"""),44147.0)</f>
        <v>44147</v>
      </c>
      <c r="AM151" s="6"/>
      <c r="AN151" s="6" t="str">
        <f>IFERROR(__xludf.DUMMYFUNCTION("""COMPUTED_VALUE"""),"Yuriy Manolov Donev")</f>
        <v>Yuriy Manolov Donev</v>
      </c>
      <c r="AO151" s="6"/>
    </row>
    <row r="152">
      <c r="A152" s="6" t="str">
        <f>IFERROR(__xludf.DUMMYFUNCTION("""COMPUTED_VALUE"""),"Dora Onderhoud VOF")</f>
        <v>Dora Onderhoud VOF</v>
      </c>
      <c r="B152" s="6" t="str">
        <f>IFERROR(__xludf.DUMMYFUNCTION("""COMPUTED_VALUE"""),"Dora Onderhoud VOF")</f>
        <v>Dora Onderhoud VOF</v>
      </c>
      <c r="C152" s="6">
        <f>IFERROR(__xludf.DUMMYFUNCTION("""COMPUTED_VALUE"""),450.0)</f>
        <v>450</v>
      </c>
      <c r="D152" s="7" t="str">
        <f>IFERROR(__xludf.DUMMYFUNCTION("""COMPUTED_VALUE"""),"Racho Marinov Mirchev")</f>
        <v>Racho Marinov Mirchev</v>
      </c>
      <c r="E152" s="7" t="str">
        <f>IFERROR(__xludf.DUMMYFUNCTION("""COMPUTED_VALUE"""),"SBI-code: 4120 - Algemene burgerlijke en utiliteitsbouw")</f>
        <v>SBI-code: 4120 - Algemene burgerlijke en utiliteitsbouw</v>
      </c>
      <c r="F152" s="7" t="str">
        <f>IFERROR(__xludf.DUMMYFUNCTION("""COMPUTED_VALUE"""),"0626590314")</f>
        <v>0626590314</v>
      </c>
      <c r="G152" s="6" t="str">
        <f>IFERROR(__xludf.DUMMYFUNCTION("""COMPUTED_VALUE"""),"mariyana.mircheva72@gmail.com")</f>
        <v>mariyana.mircheva72@gmail.com</v>
      </c>
      <c r="H152" s="6" t="str">
        <f>IFERROR(__xludf.DUMMYFUNCTION("""COMPUTED_VALUE"""),"Goeverneurlaan 571")</f>
        <v>Goeverneurlaan 571</v>
      </c>
      <c r="I152" s="6" t="str">
        <f>IFERROR(__xludf.DUMMYFUNCTION("""COMPUTED_VALUE"""),"2523CG")</f>
        <v>2523CG</v>
      </c>
      <c r="J152" s="6" t="str">
        <f>IFERROR(__xludf.DUMMYFUNCTION("""COMPUTED_VALUE"""),"s-Gravenhage")</f>
        <v>s-Gravenhage</v>
      </c>
      <c r="K152" s="6" t="str">
        <f>IFERROR(__xludf.DUMMYFUNCTION("""COMPUTED_VALUE"""),"Nederland")</f>
        <v>Nederland</v>
      </c>
      <c r="L152" s="6" t="str">
        <f>IFERROR(__xludf.DUMMYFUNCTION("""COMPUTED_VALUE"""),"Мирчев")</f>
        <v>Мирчев</v>
      </c>
      <c r="M152" s="8">
        <f>IFERROR(__xludf.DUMMYFUNCTION("""COMPUTED_VALUE"""),43175.0)</f>
        <v>43175</v>
      </c>
      <c r="N152" s="6" t="str">
        <f>IFERROR(__xludf.DUMMYFUNCTION("""COMPUTED_VALUE"""),"NL857989741B01")</f>
        <v>NL857989741B01</v>
      </c>
      <c r="O152" s="6">
        <f>IFERROR(__xludf.DUMMYFUNCTION("""COMPUTED_VALUE"""),6.9735336E7)</f>
        <v>69735336</v>
      </c>
      <c r="P152" s="6" t="str">
        <f>IFERROR(__xludf.DUMMYFUNCTION("""COMPUTED_VALUE"""),"NL46INGB0008019152")</f>
        <v>NL46INGB0008019152</v>
      </c>
      <c r="Q152" s="9">
        <f>IFERROR(__xludf.DUMMYFUNCTION("""COMPUTED_VALUE"""),43010.0)</f>
        <v>43010</v>
      </c>
      <c r="R152" s="6"/>
      <c r="S152" s="6" t="str">
        <f>IFERROR(__xludf.DUMMYFUNCTION("""COMPUTED_VALUE"""),"NL857989741B01")</f>
        <v>NL857989741B01</v>
      </c>
      <c r="T152" s="6">
        <f>IFERROR(__xludf.DUMMYFUNCTION("""COMPUTED_VALUE"""),8.57989741E8)</f>
        <v>857989741</v>
      </c>
      <c r="U152" s="7" t="str">
        <f>IFERROR(__xludf.DUMMYFUNCTION("""COMPUTED_VALUE"""),"Eenmanszaak")</f>
        <v>Eenmanszaak</v>
      </c>
      <c r="V152" s="7" t="str">
        <f>IFERROR(__xludf.DUMMYFUNCTION("""COMPUTED_VALUE"""),"000038066424")</f>
        <v>000038066424</v>
      </c>
      <c r="W152" s="6" t="str">
        <f>IFERROR(__xludf.DUMMYFUNCTION("""COMPUTED_VALUE"""),"ink.doraonderhoud.2288aa@zarabota.nl")</f>
        <v>ink.doraonderhoud.2288aa@zarabota.nl</v>
      </c>
      <c r="X152" s="6" t="str">
        <f>IFERROR(__xludf.DUMMYFUNCTION("""COMPUTED_VALUE"""),"ver.doraonderhoud.2288aa@zarabota.nl")</f>
        <v>ver.doraonderhoud.2288aa@zarabota.nl</v>
      </c>
      <c r="Y152" s="6" t="str">
        <f>IFERROR(__xludf.DUMMYFUNCTION("""COMPUTED_VALUE"""),"Hr.")</f>
        <v>Hr.</v>
      </c>
      <c r="Z152" s="6" t="str">
        <f>IFERROR(__xludf.DUMMYFUNCTION("""COMPUTED_VALUE"""),"Racho Marinov")</f>
        <v>Racho Marinov</v>
      </c>
      <c r="AA152" s="6" t="str">
        <f>IFERROR(__xludf.DUMMYFUNCTION("""COMPUTED_VALUE"""),"Mirchev")</f>
        <v>Mirchev</v>
      </c>
      <c r="AB152" s="6" t="str">
        <f>IFERROR(__xludf.DUMMYFUNCTION("""COMPUTED_VALUE"""),"R.M.")</f>
        <v>R.M.</v>
      </c>
      <c r="AC152" s="6">
        <f>IFERROR(__xludf.DUMMYFUNCTION("""COMPUTED_VALUE"""),3.50934952E8)</f>
        <v>350934952</v>
      </c>
      <c r="AD152" s="9">
        <f>IFERROR(__xludf.DUMMYFUNCTION("""COMPUTED_VALUE"""),23711.0)</f>
        <v>23711</v>
      </c>
      <c r="AE152" s="6" t="str">
        <f>IFERROR(__xludf.DUMMYFUNCTION("""COMPUTED_VALUE"""),"bg")</f>
        <v>bg</v>
      </c>
      <c r="AF152" s="6" t="str">
        <f>IFERROR(__xludf.DUMMYFUNCTION("""COMPUTED_VALUE"""),"Dralfa")</f>
        <v>Dralfa</v>
      </c>
      <c r="AG152" s="6" t="str">
        <f>IFERROR(__xludf.DUMMYFUNCTION("""COMPUTED_VALUE"""),"Hr. R.M. Mirchev")</f>
        <v>Hr. R.M. Mirchev</v>
      </c>
      <c r="AH152" s="6" t="str">
        <f>IFERROR(__xludf.DUMMYFUNCTION("""COMPUTED_VALUE"""),"NL08INGB0657879290")</f>
        <v>NL08INGB0657879290</v>
      </c>
      <c r="AI152" s="9">
        <f>IFERROR(__xludf.DUMMYFUNCTION("""COMPUTED_VALUE"""),42997.0)</f>
        <v>42997</v>
      </c>
      <c r="AJ152" s="6"/>
      <c r="AK152" s="6"/>
      <c r="AL152" s="6"/>
      <c r="AM152" s="6"/>
      <c r="AN152" s="6" t="str">
        <f>IFERROR(__xludf.DUMMYFUNCTION("""COMPUTED_VALUE"""),"Racho Marinov Mirchev")</f>
        <v>Racho Marinov Mirchev</v>
      </c>
      <c r="AO152" s="6"/>
    </row>
    <row r="153">
      <c r="A153" s="6" t="str">
        <f>IFERROR(__xludf.DUMMYFUNCTION("""COMPUTED_VALUE"""),"Doverie Bouw")</f>
        <v>Doverie Bouw</v>
      </c>
      <c r="B153" s="6" t="str">
        <f>IFERROR(__xludf.DUMMYFUNCTION("""COMPUTED_VALUE"""),"Doverie Bouw")</f>
        <v>Doverie Bouw</v>
      </c>
      <c r="C153" s="6">
        <f>IFERROR(__xludf.DUMMYFUNCTION("""COMPUTED_VALUE"""),1254.0)</f>
        <v>1254</v>
      </c>
      <c r="D153" s="7" t="str">
        <f>IFERROR(__xludf.DUMMYFUNCTION("""COMPUTED_VALUE"""),"Ivan Todorov Todorov")</f>
        <v>Ivan Todorov Todorov</v>
      </c>
      <c r="E153" s="7" t="str">
        <f>IFERROR(__xludf.DUMMYFUNCTION("""COMPUTED_VALUE"""),"SBI-code: 4120 - Algemene burgerlijke en utiliteitsbouw")</f>
        <v>SBI-code: 4120 - Algemene burgerlijke en utiliteitsbouw</v>
      </c>
      <c r="F153" s="7" t="str">
        <f>IFERROR(__xludf.DUMMYFUNCTION("""COMPUTED_VALUE"""),"0621371757")</f>
        <v>0621371757</v>
      </c>
      <c r="G153" s="6" t="str">
        <f>IFERROR(__xludf.DUMMYFUNCTION("""COMPUTED_VALUE"""),"vipsitistyle@gmail.com")</f>
        <v>vipsitistyle@gmail.com</v>
      </c>
      <c r="H153" s="6" t="str">
        <f>IFERROR(__xludf.DUMMYFUNCTION("""COMPUTED_VALUE"""),"Guntersteinweg 383")</f>
        <v>Guntersteinweg 383</v>
      </c>
      <c r="I153" s="6" t="str">
        <f>IFERROR(__xludf.DUMMYFUNCTION("""COMPUTED_VALUE"""),"2531KA")</f>
        <v>2531KA</v>
      </c>
      <c r="J153" s="6" t="str">
        <f>IFERROR(__xludf.DUMMYFUNCTION("""COMPUTED_VALUE"""),"s-Gravenhage")</f>
        <v>s-Gravenhage</v>
      </c>
      <c r="K153" s="6" t="str">
        <f>IFERROR(__xludf.DUMMYFUNCTION("""COMPUTED_VALUE"""),"Nederland")</f>
        <v>Nederland</v>
      </c>
      <c r="L153" s="6" t="str">
        <f>IFERROR(__xludf.DUMMYFUNCTION("""COMPUTED_VALUE"""),"Тодоров")</f>
        <v>Тодоров</v>
      </c>
      <c r="M153" s="8">
        <f>IFERROR(__xludf.DUMMYFUNCTION("""COMPUTED_VALUE"""),44523.0)</f>
        <v>44523</v>
      </c>
      <c r="N153" s="6" t="str">
        <f>IFERROR(__xludf.DUMMYFUNCTION("""COMPUTED_VALUE"""),"NL466903728B01")</f>
        <v>NL466903728B01</v>
      </c>
      <c r="O153" s="6">
        <f>IFERROR(__xludf.DUMMYFUNCTION("""COMPUTED_VALUE"""),8.4568925E7)</f>
        <v>84568925</v>
      </c>
      <c r="P153" s="6" t="str">
        <f>IFERROR(__xludf.DUMMYFUNCTION("""COMPUTED_VALUE"""),"NL16INGB0674729501")</f>
        <v>NL16INGB0674729501</v>
      </c>
      <c r="Q153" s="9">
        <f>IFERROR(__xludf.DUMMYFUNCTION("""COMPUTED_VALUE"""),44523.0)</f>
        <v>44523</v>
      </c>
      <c r="R153" s="6"/>
      <c r="S153" s="6" t="str">
        <f>IFERROR(__xludf.DUMMYFUNCTION("""COMPUTED_VALUE"""),"NL003983916B06")</f>
        <v>NL003983916B06</v>
      </c>
      <c r="T153" s="6">
        <f>IFERROR(__xludf.DUMMYFUNCTION("""COMPUTED_VALUE"""),4.66903728E8)</f>
        <v>466903728</v>
      </c>
      <c r="U153" s="7" t="str">
        <f>IFERROR(__xludf.DUMMYFUNCTION("""COMPUTED_VALUE"""),"Eenmanszaak")</f>
        <v>Eenmanszaak</v>
      </c>
      <c r="V153" s="7" t="str">
        <f>IFERROR(__xludf.DUMMYFUNCTION("""COMPUTED_VALUE"""),"000050680919")</f>
        <v>000050680919</v>
      </c>
      <c r="W153" s="6" t="str">
        <f>IFERROR(__xludf.DUMMYFUNCTION("""COMPUTED_VALUE"""),"ink.doveriebouw.2288aa@zarabota.nl")</f>
        <v>ink.doveriebouw.2288aa@zarabota.nl</v>
      </c>
      <c r="X153" s="6" t="str">
        <f>IFERROR(__xludf.DUMMYFUNCTION("""COMPUTED_VALUE"""),"ver.doveriebouw.2288aa@zarabota.nl")</f>
        <v>ver.doveriebouw.2288aa@zarabota.nl</v>
      </c>
      <c r="Y153" s="6" t="str">
        <f>IFERROR(__xludf.DUMMYFUNCTION("""COMPUTED_VALUE"""),"Hr.")</f>
        <v>Hr.</v>
      </c>
      <c r="Z153" s="6" t="str">
        <f>IFERROR(__xludf.DUMMYFUNCTION("""COMPUTED_VALUE"""),"Ivan Todorov")</f>
        <v>Ivan Todorov</v>
      </c>
      <c r="AA153" s="6" t="str">
        <f>IFERROR(__xludf.DUMMYFUNCTION("""COMPUTED_VALUE"""),"Todorov")</f>
        <v>Todorov</v>
      </c>
      <c r="AB153" s="6" t="str">
        <f>IFERROR(__xludf.DUMMYFUNCTION("""COMPUTED_VALUE"""),"I.T.")</f>
        <v>I.T.</v>
      </c>
      <c r="AC153" s="6">
        <f>IFERROR(__xludf.DUMMYFUNCTION("""COMPUTED_VALUE"""),4.66903728E8)</f>
        <v>466903728</v>
      </c>
      <c r="AD153" s="9">
        <f>IFERROR(__xludf.DUMMYFUNCTION("""COMPUTED_VALUE"""),28748.0)</f>
        <v>28748</v>
      </c>
      <c r="AE153" s="6" t="str">
        <f>IFERROR(__xludf.DUMMYFUNCTION("""COMPUTED_VALUE"""),"bg")</f>
        <v>bg</v>
      </c>
      <c r="AF153" s="6" t="str">
        <f>IFERROR(__xludf.DUMMYFUNCTION("""COMPUTED_VALUE"""),"Sofia")</f>
        <v>Sofia</v>
      </c>
      <c r="AG153" s="6" t="str">
        <f>IFERROR(__xludf.DUMMYFUNCTION("""COMPUTED_VALUE"""),"Hr. I.T. Todorov")</f>
        <v>Hr. I.T. Todorov</v>
      </c>
      <c r="AH153" s="6" t="str">
        <f>IFERROR(__xludf.DUMMYFUNCTION("""COMPUTED_VALUE"""),"NL47INGB0518828700")</f>
        <v>NL47INGB0518828700</v>
      </c>
      <c r="AI153" s="9">
        <f>IFERROR(__xludf.DUMMYFUNCTION("""COMPUTED_VALUE"""),44468.0)</f>
        <v>44468</v>
      </c>
      <c r="AJ153" s="6" t="str">
        <f>IFERROR(__xludf.DUMMYFUNCTION("""COMPUTED_VALUE"""),"ID Kaart")</f>
        <v>ID Kaart</v>
      </c>
      <c r="AK153" s="6"/>
      <c r="AL153" s="6"/>
      <c r="AM153" s="6" t="str">
        <f>IFERROR(__xludf.DUMMYFUNCTION("""COMPUTED_VALUE"""),"Bulgarije")</f>
        <v>Bulgarije</v>
      </c>
      <c r="AN153" s="6" t="str">
        <f>IFERROR(__xludf.DUMMYFUNCTION("""COMPUTED_VALUE"""),"Ivan Todorov Todorov")</f>
        <v>Ivan Todorov Todorov</v>
      </c>
      <c r="AO153" s="6">
        <f>IFERROR(__xludf.DUMMYFUNCTION("""COMPUTED_VALUE"""),1254.0)</f>
        <v>1254</v>
      </c>
    </row>
    <row r="154">
      <c r="A154" s="6" t="str">
        <f>IFERROR(__xludf.DUMMYFUNCTION("""COMPUTED_VALUE"""),"Drago Steigerbouw")</f>
        <v>Drago Steigerbouw</v>
      </c>
      <c r="B154" s="6" t="str">
        <f>IFERROR(__xludf.DUMMYFUNCTION("""COMPUTED_VALUE"""),"Drago Steigerbouw")</f>
        <v>Drago Steigerbouw</v>
      </c>
      <c r="C154" s="6">
        <f>IFERROR(__xludf.DUMMYFUNCTION("""COMPUTED_VALUE"""),279.0)</f>
        <v>279</v>
      </c>
      <c r="D154" s="7" t="str">
        <f>IFERROR(__xludf.DUMMYFUNCTION("""COMPUTED_VALUE"""),"Dragomir Denev Bonev")</f>
        <v>Dragomir Denev Bonev</v>
      </c>
      <c r="E154" s="7" t="str">
        <f>IFERROR(__xludf.DUMMYFUNCTION("""COMPUTED_VALUE"""),"SBI-code: 4120 - Algemene burgerlijke en utiliteitsbouw")</f>
        <v>SBI-code: 4120 - Algemene burgerlijke en utiliteitsbouw</v>
      </c>
      <c r="F154" s="7" t="str">
        <f>IFERROR(__xludf.DUMMYFUNCTION("""COMPUTED_VALUE"""),"0654113151")</f>
        <v>0654113151</v>
      </c>
      <c r="G154" s="6" t="str">
        <f>IFERROR(__xludf.DUMMYFUNCTION("""COMPUTED_VALUE"""),"ddbonev@abv.bg")</f>
        <v>ddbonev@abv.bg</v>
      </c>
      <c r="H154" s="6" t="str">
        <f>IFERROR(__xludf.DUMMYFUNCTION("""COMPUTED_VALUE"""),"Jan Wapstraat 90")</f>
        <v>Jan Wapstraat 90</v>
      </c>
      <c r="I154" s="6" t="str">
        <f>IFERROR(__xludf.DUMMYFUNCTION("""COMPUTED_VALUE"""),"2523GK")</f>
        <v>2523GK</v>
      </c>
      <c r="J154" s="6" t="str">
        <f>IFERROR(__xludf.DUMMYFUNCTION("""COMPUTED_VALUE"""),"s-Gravenhage")</f>
        <v>s-Gravenhage</v>
      </c>
      <c r="K154" s="6" t="str">
        <f>IFERROR(__xludf.DUMMYFUNCTION("""COMPUTED_VALUE"""),"Nederland")</f>
        <v>Nederland</v>
      </c>
      <c r="L154" s="6" t="str">
        <f>IFERROR(__xludf.DUMMYFUNCTION("""COMPUTED_VALUE"""),"Бонев")</f>
        <v>Бонев</v>
      </c>
      <c r="M154" s="8">
        <f>IFERROR(__xludf.DUMMYFUNCTION("""COMPUTED_VALUE"""),43175.0)</f>
        <v>43175</v>
      </c>
      <c r="N154" s="6" t="str">
        <f>IFERROR(__xludf.DUMMYFUNCTION("""COMPUTED_VALUE"""),"NL264813881B01")</f>
        <v>NL264813881B01</v>
      </c>
      <c r="O154" s="6">
        <f>IFERROR(__xludf.DUMMYFUNCTION("""COMPUTED_VALUE"""),2.7318933E7)</f>
        <v>27318933</v>
      </c>
      <c r="P154" s="6" t="str">
        <f>IFERROR(__xludf.DUMMYFUNCTION("""COMPUTED_VALUE"""),"NL08INGB0005287734")</f>
        <v>NL08INGB0005287734</v>
      </c>
      <c r="Q154" s="9">
        <f>IFERROR(__xludf.DUMMYFUNCTION("""COMPUTED_VALUE"""),39205.0)</f>
        <v>39205</v>
      </c>
      <c r="R154" s="6"/>
      <c r="S154" s="6" t="str">
        <f>IFERROR(__xludf.DUMMYFUNCTION("""COMPUTED_VALUE"""),"NL002456958B56")</f>
        <v>NL002456958B56</v>
      </c>
      <c r="T154" s="6">
        <f>IFERROR(__xludf.DUMMYFUNCTION("""COMPUTED_VALUE"""),2.64813881E8)</f>
        <v>264813881</v>
      </c>
      <c r="U154" s="7" t="str">
        <f>IFERROR(__xludf.DUMMYFUNCTION("""COMPUTED_VALUE"""),"Eenmanszaak")</f>
        <v>Eenmanszaak</v>
      </c>
      <c r="V154" s="7" t="str">
        <f>IFERROR(__xludf.DUMMYFUNCTION("""COMPUTED_VALUE"""),"000009531505")</f>
        <v>000009531505</v>
      </c>
      <c r="W154" s="6" t="str">
        <f>IFERROR(__xludf.DUMMYFUNCTION("""COMPUTED_VALUE"""),"ink.dragosteigerbouw.2288aa@zarabota.nl")</f>
        <v>ink.dragosteigerbouw.2288aa@zarabota.nl</v>
      </c>
      <c r="X154" s="6" t="str">
        <f>IFERROR(__xludf.DUMMYFUNCTION("""COMPUTED_VALUE"""),"ver.dragosteigerbouw.2288aa@zarabota.nl")</f>
        <v>ver.dragosteigerbouw.2288aa@zarabota.nl</v>
      </c>
      <c r="Y154" s="6" t="str">
        <f>IFERROR(__xludf.DUMMYFUNCTION("""COMPUTED_VALUE"""),"Hr.")</f>
        <v>Hr.</v>
      </c>
      <c r="Z154" s="6" t="str">
        <f>IFERROR(__xludf.DUMMYFUNCTION("""COMPUTED_VALUE"""),"Dragomir Denev")</f>
        <v>Dragomir Denev</v>
      </c>
      <c r="AA154" s="6" t="str">
        <f>IFERROR(__xludf.DUMMYFUNCTION("""COMPUTED_VALUE"""),"Bonev")</f>
        <v>Bonev</v>
      </c>
      <c r="AB154" s="6" t="str">
        <f>IFERROR(__xludf.DUMMYFUNCTION("""COMPUTED_VALUE"""),"D.D.")</f>
        <v>D.D.</v>
      </c>
      <c r="AC154" s="6">
        <f>IFERROR(__xludf.DUMMYFUNCTION("""COMPUTED_VALUE"""),2.64813881E8)</f>
        <v>264813881</v>
      </c>
      <c r="AD154" s="9">
        <f>IFERROR(__xludf.DUMMYFUNCTION("""COMPUTED_VALUE"""),28610.0)</f>
        <v>28610</v>
      </c>
      <c r="AE154" s="6" t="str">
        <f>IFERROR(__xludf.DUMMYFUNCTION("""COMPUTED_VALUE"""),"bg")</f>
        <v>bg</v>
      </c>
      <c r="AF154" s="6" t="str">
        <f>IFERROR(__xludf.DUMMYFUNCTION("""COMPUTED_VALUE"""),"Gorna Oryahovitsa")</f>
        <v>Gorna Oryahovitsa</v>
      </c>
      <c r="AG154" s="6" t="str">
        <f>IFERROR(__xludf.DUMMYFUNCTION("""COMPUTED_VALUE"""),"Hr. D.D. Bonev")</f>
        <v>Hr. D.D. Bonev</v>
      </c>
      <c r="AH154" s="6"/>
      <c r="AI154" s="6"/>
      <c r="AJ154" s="6"/>
      <c r="AK154" s="6"/>
      <c r="AL154" s="6"/>
      <c r="AM154" s="6"/>
      <c r="AN154" s="6" t="str">
        <f>IFERROR(__xludf.DUMMYFUNCTION("""COMPUTED_VALUE"""),"Dragomir Denev Bonev")</f>
        <v>Dragomir Denev Bonev</v>
      </c>
      <c r="AO154" s="6"/>
    </row>
    <row r="155">
      <c r="A155" s="6" t="str">
        <f>IFERROR(__xludf.DUMMYFUNCTION("""COMPUTED_VALUE"""),"Dream Future")</f>
        <v>Dream Future</v>
      </c>
      <c r="B155" s="6" t="str">
        <f>IFERROR(__xludf.DUMMYFUNCTION("""COMPUTED_VALUE"""),"Dream Future")</f>
        <v>Dream Future</v>
      </c>
      <c r="C155" s="6">
        <f>IFERROR(__xludf.DUMMYFUNCTION("""COMPUTED_VALUE"""),1196.0)</f>
        <v>1196</v>
      </c>
      <c r="D155" s="7" t="str">
        <f>IFERROR(__xludf.DUMMYFUNCTION("""COMPUTED_VALUE"""),"Rositsa Ilkova Makedonska")</f>
        <v>Rositsa Ilkova Makedonska</v>
      </c>
      <c r="E155" s="7" t="str">
        <f>IFERROR(__xludf.DUMMYFUNCTION("""COMPUTED_VALUE"""),"SBI-code: 4120 - Algemene burgerlijke en utiliteitsbouw")</f>
        <v>SBI-code: 4120 - Algemene burgerlijke en utiliteitsbouw</v>
      </c>
      <c r="F155" s="7" t="str">
        <f>IFERROR(__xludf.DUMMYFUNCTION("""COMPUTED_VALUE"""),"+31687106041")</f>
        <v>+31687106041</v>
      </c>
      <c r="G155" s="6" t="str">
        <f>IFERROR(__xludf.DUMMYFUNCTION("""COMPUTED_VALUE"""),"dream2021future@gmail.com")</f>
        <v>dream2021future@gmail.com</v>
      </c>
      <c r="H155" s="6" t="str">
        <f>IFERROR(__xludf.DUMMYFUNCTION("""COMPUTED_VALUE"""),"Garderenstraat 23")</f>
        <v>Garderenstraat 23</v>
      </c>
      <c r="I155" s="6" t="str">
        <f>IFERROR(__xludf.DUMMYFUNCTION("""COMPUTED_VALUE"""),"2573VW")</f>
        <v>2573VW</v>
      </c>
      <c r="J155" s="6" t="str">
        <f>IFERROR(__xludf.DUMMYFUNCTION("""COMPUTED_VALUE"""),"s-Gravenhage")</f>
        <v>s-Gravenhage</v>
      </c>
      <c r="K155" s="6" t="str">
        <f>IFERROR(__xludf.DUMMYFUNCTION("""COMPUTED_VALUE"""),"Nederland")</f>
        <v>Nederland</v>
      </c>
      <c r="L155" s="6" t="str">
        <f>IFERROR(__xludf.DUMMYFUNCTION("""COMPUTED_VALUE"""),"Македонска")</f>
        <v>Македонска</v>
      </c>
      <c r="M155" s="8">
        <f>IFERROR(__xludf.DUMMYFUNCTION("""COMPUTED_VALUE"""),44333.0)</f>
        <v>44333</v>
      </c>
      <c r="N155" s="6" t="str">
        <f>IFERROR(__xludf.DUMMYFUNCTION("""COMPUTED_VALUE"""),"NL580233480B01")</f>
        <v>NL580233480B01</v>
      </c>
      <c r="O155" s="6">
        <f>IFERROR(__xludf.DUMMYFUNCTION("""COMPUTED_VALUE"""),8.2790795E7)</f>
        <v>82790795</v>
      </c>
      <c r="P155" s="6" t="str">
        <f>IFERROR(__xludf.DUMMYFUNCTION("""COMPUTED_VALUE"""),"NL82INGB0006340792")</f>
        <v>NL82INGB0006340792</v>
      </c>
      <c r="Q155" s="9">
        <f>IFERROR(__xludf.DUMMYFUNCTION("""COMPUTED_VALUE"""),44333.0)</f>
        <v>44333</v>
      </c>
      <c r="R155" s="6"/>
      <c r="S155" s="6" t="str">
        <f>IFERROR(__xludf.DUMMYFUNCTION("""COMPUTED_VALUE"""),"NL003729174B89")</f>
        <v>NL003729174B89</v>
      </c>
      <c r="T155" s="6">
        <f>IFERROR(__xludf.DUMMYFUNCTION("""COMPUTED_VALUE"""),5.8023348E8)</f>
        <v>580233480</v>
      </c>
      <c r="U155" s="7" t="str">
        <f>IFERROR(__xludf.DUMMYFUNCTION("""COMPUTED_VALUE"""),"Eenmanszaak")</f>
        <v>Eenmanszaak</v>
      </c>
      <c r="V155" s="7" t="str">
        <f>IFERROR(__xludf.DUMMYFUNCTION("""COMPUTED_VALUE"""),"000049004611")</f>
        <v>000049004611</v>
      </c>
      <c r="W155" s="6" t="str">
        <f>IFERROR(__xludf.DUMMYFUNCTION("""COMPUTED_VALUE"""),"ink.dreamfuture.2288aa@zarabota.nl")</f>
        <v>ink.dreamfuture.2288aa@zarabota.nl</v>
      </c>
      <c r="X155" s="6" t="str">
        <f>IFERROR(__xludf.DUMMYFUNCTION("""COMPUTED_VALUE"""),"ver.dreamfuture.2288aa@zarabota.nl")</f>
        <v>ver.dreamfuture.2288aa@zarabota.nl</v>
      </c>
      <c r="Y155" s="6" t="str">
        <f>IFERROR(__xludf.DUMMYFUNCTION("""COMPUTED_VALUE"""),"Mw.")</f>
        <v>Mw.</v>
      </c>
      <c r="Z155" s="6" t="str">
        <f>IFERROR(__xludf.DUMMYFUNCTION("""COMPUTED_VALUE"""),"Rositsa Ilkova")</f>
        <v>Rositsa Ilkova</v>
      </c>
      <c r="AA155" s="6" t="str">
        <f>IFERROR(__xludf.DUMMYFUNCTION("""COMPUTED_VALUE"""),"Makedonska")</f>
        <v>Makedonska</v>
      </c>
      <c r="AB155" s="6" t="str">
        <f>IFERROR(__xludf.DUMMYFUNCTION("""COMPUTED_VALUE"""),"R.I.")</f>
        <v>R.I.</v>
      </c>
      <c r="AC155" s="6">
        <f>IFERROR(__xludf.DUMMYFUNCTION("""COMPUTED_VALUE"""),5.8023348E8)</f>
        <v>580233480</v>
      </c>
      <c r="AD155" s="9">
        <f>IFERROR(__xludf.DUMMYFUNCTION("""COMPUTED_VALUE"""),31090.0)</f>
        <v>31090</v>
      </c>
      <c r="AE155" s="6" t="str">
        <f>IFERROR(__xludf.DUMMYFUNCTION("""COMPUTED_VALUE"""),"bg")</f>
        <v>bg</v>
      </c>
      <c r="AF155" s="6" t="str">
        <f>IFERROR(__xludf.DUMMYFUNCTION("""COMPUTED_VALUE"""),"Pazardzhik")</f>
        <v>Pazardzhik</v>
      </c>
      <c r="AG155" s="6" t="str">
        <f>IFERROR(__xludf.DUMMYFUNCTION("""COMPUTED_VALUE"""),"Mw. R.I. Makedonska")</f>
        <v>Mw. R.I. Makedonska</v>
      </c>
      <c r="AH155" s="6"/>
      <c r="AI155" s="6"/>
      <c r="AJ155" s="6" t="str">
        <f>IFERROR(__xludf.DUMMYFUNCTION("""COMPUTED_VALUE"""),"ID Kaart")</f>
        <v>ID Kaart</v>
      </c>
      <c r="AK155" s="6">
        <f>IFERROR(__xludf.DUMMYFUNCTION("""COMPUTED_VALUE"""),6.45433686E8)</f>
        <v>645433686</v>
      </c>
      <c r="AL155" s="9">
        <f>IFERROR(__xludf.DUMMYFUNCTION("""COMPUTED_VALUE"""),45564.0)</f>
        <v>45564</v>
      </c>
      <c r="AM155" s="6" t="str">
        <f>IFERROR(__xludf.DUMMYFUNCTION("""COMPUTED_VALUE"""),"Bulgarije")</f>
        <v>Bulgarije</v>
      </c>
      <c r="AN155" s="6" t="str">
        <f>IFERROR(__xludf.DUMMYFUNCTION("""COMPUTED_VALUE"""),"Rositsa Ilkova Makedonska")</f>
        <v>Rositsa Ilkova Makedonska</v>
      </c>
      <c r="AO155" s="6"/>
    </row>
    <row r="156">
      <c r="A156" s="6" t="str">
        <f>IFERROR(__xludf.DUMMYFUNCTION("""COMPUTED_VALUE"""),"Dream Wild")</f>
        <v>Dream Wild</v>
      </c>
      <c r="B156" s="6" t="str">
        <f>IFERROR(__xludf.DUMMYFUNCTION("""COMPUTED_VALUE"""),"Dream Wild")</f>
        <v>Dream Wild</v>
      </c>
      <c r="C156" s="6">
        <f>IFERROR(__xludf.DUMMYFUNCTION("""COMPUTED_VALUE"""),1655.0)</f>
        <v>1655</v>
      </c>
      <c r="D156" s="7" t="str">
        <f>IFERROR(__xludf.DUMMYFUNCTION("""COMPUTED_VALUE"""),"Radostina Georgieva Genadieva")</f>
        <v>Radostina Georgieva Genadieva</v>
      </c>
      <c r="E156" s="7" t="str">
        <f>IFERROR(__xludf.DUMMYFUNCTION("""COMPUTED_VALUE"""),"SBI-code: 4120 - Algemene burgerlijke en utiliteitsbouw")</f>
        <v>SBI-code: 4120 - Algemene burgerlijke en utiliteitsbouw</v>
      </c>
      <c r="F156" s="7" t="str">
        <f>IFERROR(__xludf.DUMMYFUNCTION("""COMPUTED_VALUE"""),"0685261175")</f>
        <v>0685261175</v>
      </c>
      <c r="G156" s="6" t="str">
        <f>IFERROR(__xludf.DUMMYFUNCTION("""COMPUTED_VALUE"""),"dreamwild1992@gmail.com")</f>
        <v>dreamwild1992@gmail.com</v>
      </c>
      <c r="H156" s="6" t="str">
        <f>IFERROR(__xludf.DUMMYFUNCTION("""COMPUTED_VALUE"""),"Melis Stokelaan 195")</f>
        <v>Melis Stokelaan 195</v>
      </c>
      <c r="I156" s="6" t="str">
        <f>IFERROR(__xludf.DUMMYFUNCTION("""COMPUTED_VALUE"""),"2533CS")</f>
        <v>2533CS</v>
      </c>
      <c r="J156" s="6" t="str">
        <f>IFERROR(__xludf.DUMMYFUNCTION("""COMPUTED_VALUE"""),"s-Gravenhage")</f>
        <v>s-Gravenhage</v>
      </c>
      <c r="K156" s="6" t="str">
        <f>IFERROR(__xludf.DUMMYFUNCTION("""COMPUTED_VALUE"""),"Nederland")</f>
        <v>Nederland</v>
      </c>
      <c r="L156" s="6" t="str">
        <f>IFERROR(__xludf.DUMMYFUNCTION("""COMPUTED_VALUE"""),"Генадиева")</f>
        <v>Генадиева</v>
      </c>
      <c r="M156" s="8">
        <f>IFERROR(__xludf.DUMMYFUNCTION("""COMPUTED_VALUE"""),45495.0)</f>
        <v>45495</v>
      </c>
      <c r="N156" s="6" t="str">
        <f>IFERROR(__xludf.DUMMYFUNCTION("""COMPUTED_VALUE"""),"NL457955399B02")</f>
        <v>NL457955399B02</v>
      </c>
      <c r="O156" s="6">
        <f>IFERROR(__xludf.DUMMYFUNCTION("""COMPUTED_VALUE"""),9.4583161E7)</f>
        <v>94583161</v>
      </c>
      <c r="P156" s="6" t="str">
        <f>IFERROR(__xludf.DUMMYFUNCTION("""COMPUTED_VALUE"""),"NL18ABNA0135962129")</f>
        <v>NL18ABNA0135962129</v>
      </c>
      <c r="Q156" s="9">
        <f>IFERROR(__xludf.DUMMYFUNCTION("""COMPUTED_VALUE"""),45495.0)</f>
        <v>45495</v>
      </c>
      <c r="R156" s="6"/>
      <c r="S156" s="6" t="str">
        <f>IFERROR(__xludf.DUMMYFUNCTION("""COMPUTED_VALUE"""),"NL005092719B42")</f>
        <v>NL005092719B42</v>
      </c>
      <c r="T156" s="6">
        <f>IFERROR(__xludf.DUMMYFUNCTION("""COMPUTED_VALUE"""),4.57955399E8)</f>
        <v>457955399</v>
      </c>
      <c r="U156" s="7" t="str">
        <f>IFERROR(__xludf.DUMMYFUNCTION("""COMPUTED_VALUE"""),"Eenmanszaak")</f>
        <v>Eenmanszaak</v>
      </c>
      <c r="V156" s="7" t="str">
        <f>IFERROR(__xludf.DUMMYFUNCTION("""COMPUTED_VALUE"""),"000060042311")</f>
        <v>000060042311</v>
      </c>
      <c r="W156" s="6" t="str">
        <f>IFERROR(__xludf.DUMMYFUNCTION("""COMPUTED_VALUE"""),"ink.dreamwild.2288aa@zarabota.nl")</f>
        <v>ink.dreamwild.2288aa@zarabota.nl</v>
      </c>
      <c r="X156" s="6" t="str">
        <f>IFERROR(__xludf.DUMMYFUNCTION("""COMPUTED_VALUE"""),"ver.dreamwild.2288aa@zarabota.nl")</f>
        <v>ver.dreamwild.2288aa@zarabota.nl</v>
      </c>
      <c r="Y156" s="6" t="str">
        <f>IFERROR(__xludf.DUMMYFUNCTION("""COMPUTED_VALUE"""),"Mw.")</f>
        <v>Mw.</v>
      </c>
      <c r="Z156" s="6" t="str">
        <f>IFERROR(__xludf.DUMMYFUNCTION("""COMPUTED_VALUE"""),"Radostina Georgieva")</f>
        <v>Radostina Georgieva</v>
      </c>
      <c r="AA156" s="6" t="str">
        <f>IFERROR(__xludf.DUMMYFUNCTION("""COMPUTED_VALUE"""),"Genadieva")</f>
        <v>Genadieva</v>
      </c>
      <c r="AB156" s="6" t="str">
        <f>IFERROR(__xludf.DUMMYFUNCTION("""COMPUTED_VALUE"""),"R.G.")</f>
        <v>R.G.</v>
      </c>
      <c r="AC156" s="6">
        <f>IFERROR(__xludf.DUMMYFUNCTION("""COMPUTED_VALUE"""),4.57955399E8)</f>
        <v>457955399</v>
      </c>
      <c r="AD156" s="9">
        <f>IFERROR(__xludf.DUMMYFUNCTION("""COMPUTED_VALUE"""),33644.0)</f>
        <v>33644</v>
      </c>
      <c r="AE156" s="6" t="str">
        <f>IFERROR(__xludf.DUMMYFUNCTION("""COMPUTED_VALUE"""),"bg")</f>
        <v>bg</v>
      </c>
      <c r="AF156" s="6" t="str">
        <f>IFERROR(__xludf.DUMMYFUNCTION("""COMPUTED_VALUE"""),"Sofia")</f>
        <v>Sofia</v>
      </c>
      <c r="AG156" s="6" t="str">
        <f>IFERROR(__xludf.DUMMYFUNCTION("""COMPUTED_VALUE"""),"Mw. R.G. Genadieva")</f>
        <v>Mw. R.G. Genadieva</v>
      </c>
      <c r="AH156" s="6"/>
      <c r="AI156" s="6"/>
      <c r="AJ156" s="6" t="str">
        <f>IFERROR(__xludf.DUMMYFUNCTION("""COMPUTED_VALUE"""),"ID Kaart")</f>
        <v>ID Kaart</v>
      </c>
      <c r="AK156" s="6">
        <f>IFERROR(__xludf.DUMMYFUNCTION("""COMPUTED_VALUE"""),6.48662691E8)</f>
        <v>648662691</v>
      </c>
      <c r="AL156" s="9">
        <f>IFERROR(__xludf.DUMMYFUNCTION("""COMPUTED_VALUE"""),47443.0)</f>
        <v>47443</v>
      </c>
      <c r="AM156" s="6" t="str">
        <f>IFERROR(__xludf.DUMMYFUNCTION("""COMPUTED_VALUE"""),"Bulgarije")</f>
        <v>Bulgarije</v>
      </c>
      <c r="AN156" s="6" t="str">
        <f>IFERROR(__xludf.DUMMYFUNCTION("""COMPUTED_VALUE"""),"Radostina Georgieva Genadieva")</f>
        <v>Radostina Georgieva Genadieva</v>
      </c>
      <c r="AO156" s="6">
        <f>IFERROR(__xludf.DUMMYFUNCTION("""COMPUTED_VALUE"""),1655.0)</f>
        <v>1655</v>
      </c>
    </row>
    <row r="157">
      <c r="A157" s="6" t="str">
        <f>IFERROR(__xludf.DUMMYFUNCTION("""COMPUTED_VALUE"""),"DS Schoonmaak")</f>
        <v>DS Schoonmaak</v>
      </c>
      <c r="B157" s="6" t="str">
        <f>IFERROR(__xludf.DUMMYFUNCTION("""COMPUTED_VALUE"""),"DS Schoonmaak")</f>
        <v>DS Schoonmaak</v>
      </c>
      <c r="C157" s="6">
        <f>IFERROR(__xludf.DUMMYFUNCTION("""COMPUTED_VALUE"""),1760.0)</f>
        <v>1760</v>
      </c>
      <c r="D157" s="7" t="str">
        <f>IFERROR(__xludf.DUMMYFUNCTION("""COMPUTED_VALUE"""),"Delyana Emilova Stoimenova")</f>
        <v>Delyana Emilova Stoimenova</v>
      </c>
      <c r="E157" s="7" t="str">
        <f>IFERROR(__xludf.DUMMYFUNCTION("""COMPUTED_VALUE"""),"SBI-code: 8121 - Interieurreiniging van gebouwen")</f>
        <v>SBI-code: 8121 - Interieurreiniging van gebouwen</v>
      </c>
      <c r="F157" s="7" t="str">
        <f>IFERROR(__xludf.DUMMYFUNCTION("""COMPUTED_VALUE"""),"0644224432")</f>
        <v>0644224432</v>
      </c>
      <c r="G157" s="6" t="str">
        <f>IFERROR(__xludf.DUMMYFUNCTION("""COMPUTED_VALUE"""),"dru4kast@gmail.com")</f>
        <v>dru4kast@gmail.com</v>
      </c>
      <c r="H157" s="6" t="str">
        <f>IFERROR(__xludf.DUMMYFUNCTION("""COMPUTED_VALUE"""),"Hordijk 14")</f>
        <v>Hordijk 14</v>
      </c>
      <c r="I157" s="6" t="str">
        <f>IFERROR(__xludf.DUMMYFUNCTION("""COMPUTED_VALUE"""),"3079DJ")</f>
        <v>3079DJ</v>
      </c>
      <c r="J157" s="6" t="str">
        <f>IFERROR(__xludf.DUMMYFUNCTION("""COMPUTED_VALUE"""),"Rotterdam")</f>
        <v>Rotterdam</v>
      </c>
      <c r="K157" s="6" t="str">
        <f>IFERROR(__xludf.DUMMYFUNCTION("""COMPUTED_VALUE"""),"Nederland")</f>
        <v>Nederland</v>
      </c>
      <c r="L157" s="6" t="str">
        <f>IFERROR(__xludf.DUMMYFUNCTION("""COMPUTED_VALUE"""),"Стоименова")</f>
        <v>Стоименова</v>
      </c>
      <c r="M157" s="8">
        <f>IFERROR(__xludf.DUMMYFUNCTION("""COMPUTED_VALUE"""),45931.0)</f>
        <v>45931</v>
      </c>
      <c r="N157" s="6" t="str">
        <f>IFERROR(__xludf.DUMMYFUNCTION("""COMPUTED_VALUE"""),"NL368649404B01")</f>
        <v>NL368649404B01</v>
      </c>
      <c r="O157" s="6">
        <f>IFERROR(__xludf.DUMMYFUNCTION("""COMPUTED_VALUE"""),5.7462275E7)</f>
        <v>57462275</v>
      </c>
      <c r="P157" s="6" t="str">
        <f>IFERROR(__xludf.DUMMYFUNCTION("""COMPUTED_VALUE"""),"NL52KNAB0606395245")</f>
        <v>NL52KNAB0606395245</v>
      </c>
      <c r="Q157" s="9">
        <f>IFERROR(__xludf.DUMMYFUNCTION("""COMPUTED_VALUE"""),41334.0)</f>
        <v>41334</v>
      </c>
      <c r="R157" s="6"/>
      <c r="S157" s="6" t="str">
        <f>IFERROR(__xludf.DUMMYFUNCTION("""COMPUTED_VALUE"""),"NL002474198B96")</f>
        <v>NL002474198B96</v>
      </c>
      <c r="T157" s="6">
        <f>IFERROR(__xludf.DUMMYFUNCTION("""COMPUTED_VALUE"""),3.68649404E8)</f>
        <v>368649404</v>
      </c>
      <c r="U157" s="7" t="str">
        <f>IFERROR(__xludf.DUMMYFUNCTION("""COMPUTED_VALUE"""),"Eenmanszaak")</f>
        <v>Eenmanszaak</v>
      </c>
      <c r="V157" s="7" t="str">
        <f>IFERROR(__xludf.DUMMYFUNCTION("""COMPUTED_VALUE"""),"000026904853")</f>
        <v>000026904853</v>
      </c>
      <c r="W157" s="6" t="str">
        <f>IFERROR(__xludf.DUMMYFUNCTION("""COMPUTED_VALUE"""),"ink.dsschoon.2288aa@zarabota.nl")</f>
        <v>ink.dsschoon.2288aa@zarabota.nl</v>
      </c>
      <c r="X157" s="6" t="str">
        <f>IFERROR(__xludf.DUMMYFUNCTION("""COMPUTED_VALUE"""),"ver.dsschoon.2288aa@zarabota.nl")</f>
        <v>ver.dsschoon.2288aa@zarabota.nl</v>
      </c>
      <c r="Y157" s="6" t="str">
        <f>IFERROR(__xludf.DUMMYFUNCTION("""COMPUTED_VALUE"""),"Mw.")</f>
        <v>Mw.</v>
      </c>
      <c r="Z157" s="6" t="str">
        <f>IFERROR(__xludf.DUMMYFUNCTION("""COMPUTED_VALUE"""),"Delyana Emilova")</f>
        <v>Delyana Emilova</v>
      </c>
      <c r="AA157" s="6" t="str">
        <f>IFERROR(__xludf.DUMMYFUNCTION("""COMPUTED_VALUE"""),"Stoimenova")</f>
        <v>Stoimenova</v>
      </c>
      <c r="AB157" s="6" t="str">
        <f>IFERROR(__xludf.DUMMYFUNCTION("""COMPUTED_VALUE"""),"D.E.")</f>
        <v>D.E.</v>
      </c>
      <c r="AC157" s="6">
        <f>IFERROR(__xludf.DUMMYFUNCTION("""COMPUTED_VALUE"""),3.68649404E8)</f>
        <v>368649404</v>
      </c>
      <c r="AD157" s="9">
        <f>IFERROR(__xludf.DUMMYFUNCTION("""COMPUTED_VALUE"""),25829.0)</f>
        <v>25829</v>
      </c>
      <c r="AE157" s="6" t="str">
        <f>IFERROR(__xludf.DUMMYFUNCTION("""COMPUTED_VALUE"""),"bg")</f>
        <v>bg</v>
      </c>
      <c r="AF157" s="6"/>
      <c r="AG157" s="6" t="str">
        <f>IFERROR(__xludf.DUMMYFUNCTION("""COMPUTED_VALUE"""),"Mw. D.E. Stoimenova")</f>
        <v>Mw. D.E. Stoimenova</v>
      </c>
      <c r="AH157" s="6"/>
      <c r="AI157" s="6"/>
      <c r="AJ157" s="6"/>
      <c r="AK157" s="6"/>
      <c r="AL157" s="6"/>
      <c r="AM157" s="6" t="str">
        <f>IFERROR(__xludf.DUMMYFUNCTION("""COMPUTED_VALUE"""),"Bulgarije")</f>
        <v>Bulgarije</v>
      </c>
      <c r="AN157" s="6" t="str">
        <f>IFERROR(__xludf.DUMMYFUNCTION("""COMPUTED_VALUE"""),"Delyana Emilova Stoimenova")</f>
        <v>Delyana Emilova Stoimenova</v>
      </c>
      <c r="AO157" s="6"/>
    </row>
    <row r="158">
      <c r="A158" s="6" t="str">
        <f>IFERROR(__xludf.DUMMYFUNCTION("""COMPUTED_VALUE"""),"Dudu VOF")</f>
        <v>Dudu VOF</v>
      </c>
      <c r="B158" s="6" t="str">
        <f>IFERROR(__xludf.DUMMYFUNCTION("""COMPUTED_VALUE"""),"Dudu VOF")</f>
        <v>Dudu VOF</v>
      </c>
      <c r="C158" s="6">
        <f>IFERROR(__xludf.DUMMYFUNCTION("""COMPUTED_VALUE"""),1400.0)</f>
        <v>1400</v>
      </c>
      <c r="D158" s="7" t="str">
        <f>IFERROR(__xludf.DUMMYFUNCTION("""COMPUTED_VALUE"""),"Yumer Ahmed Mehmed")</f>
        <v>Yumer Ahmed Mehmed</v>
      </c>
      <c r="E158" s="7" t="str">
        <f>IFERROR(__xludf.DUMMYFUNCTION("""COMPUTED_VALUE"""),"SBI-code: 4120 - Algemene burgerlijke en utiliteitsbouw")</f>
        <v>SBI-code: 4120 - Algemene burgerlijke en utiliteitsbouw</v>
      </c>
      <c r="F158" s="7" t="str">
        <f>IFERROR(__xludf.DUMMYFUNCTION("""COMPUTED_VALUE"""),"0681167822")</f>
        <v>0681167822</v>
      </c>
      <c r="G158" s="6" t="str">
        <f>IFERROR(__xludf.DUMMYFUNCTION("""COMPUTED_VALUE"""),"krepost200.om@gmail.com")</f>
        <v>krepost200.om@gmail.com</v>
      </c>
      <c r="H158" s="6" t="str">
        <f>IFERROR(__xludf.DUMMYFUNCTION("""COMPUTED_VALUE"""),"Velpsestraat 12")</f>
        <v>Velpsestraat 12</v>
      </c>
      <c r="I158" s="6" t="str">
        <f>IFERROR(__xludf.DUMMYFUNCTION("""COMPUTED_VALUE"""),"2573SM")</f>
        <v>2573SM</v>
      </c>
      <c r="J158" s="6" t="str">
        <f>IFERROR(__xludf.DUMMYFUNCTION("""COMPUTED_VALUE"""),"s-Gravenhage")</f>
        <v>s-Gravenhage</v>
      </c>
      <c r="K158" s="6" t="str">
        <f>IFERROR(__xludf.DUMMYFUNCTION("""COMPUTED_VALUE"""),"Nederland")</f>
        <v>Nederland</v>
      </c>
      <c r="L158" s="6" t="str">
        <f>IFERROR(__xludf.DUMMYFUNCTION("""COMPUTED_VALUE"""),"Мехмед")</f>
        <v>Мехмед</v>
      </c>
      <c r="M158" s="8">
        <f>IFERROR(__xludf.DUMMYFUNCTION("""COMPUTED_VALUE"""),44774.0)</f>
        <v>44774</v>
      </c>
      <c r="N158" s="6" t="str">
        <f>IFERROR(__xludf.DUMMYFUNCTION("""COMPUTED_VALUE"""),"NL864286454B01")</f>
        <v>NL864286454B01</v>
      </c>
      <c r="O158" s="6">
        <f>IFERROR(__xludf.DUMMYFUNCTION("""COMPUTED_VALUE"""),8.7409852E7)</f>
        <v>87409852</v>
      </c>
      <c r="P158" s="6" t="str">
        <f>IFERROR(__xludf.DUMMYFUNCTION("""COMPUTED_VALUE"""),"NL94INGB0003461228")</f>
        <v>NL94INGB0003461228</v>
      </c>
      <c r="Q158" s="9">
        <f>IFERROR(__xludf.DUMMYFUNCTION("""COMPUTED_VALUE"""),39722.0)</f>
        <v>39722</v>
      </c>
      <c r="R158" s="6"/>
      <c r="S158" s="6" t="str">
        <f>IFERROR(__xludf.DUMMYFUNCTION("""COMPUTED_VALUE"""),"NL864286454B01")</f>
        <v>NL864286454B01</v>
      </c>
      <c r="T158" s="6">
        <f>IFERROR(__xludf.DUMMYFUNCTION("""COMPUTED_VALUE"""),8.64286454E8)</f>
        <v>864286454</v>
      </c>
      <c r="U158" s="7" t="str">
        <f>IFERROR(__xludf.DUMMYFUNCTION("""COMPUTED_VALUE"""),"Eenmanszaak")</f>
        <v>Eenmanszaak</v>
      </c>
      <c r="V158" s="7" t="str">
        <f>IFERROR(__xludf.DUMMYFUNCTION("""COMPUTED_VALUE"""),"000008670323")</f>
        <v>000008670323</v>
      </c>
      <c r="W158" s="6" t="str">
        <f>IFERROR(__xludf.DUMMYFUNCTION("""COMPUTED_VALUE"""),"ink.duduloonbedrijf.2288aa@zarabota.nl")</f>
        <v>ink.duduloonbedrijf.2288aa@zarabota.nl</v>
      </c>
      <c r="X158" s="6" t="str">
        <f>IFERROR(__xludf.DUMMYFUNCTION("""COMPUTED_VALUE"""),"ver.duduloonbedrijf.2288aa@zarabota.nl")</f>
        <v>ver.duduloonbedrijf.2288aa@zarabota.nl</v>
      </c>
      <c r="Y158" s="6" t="str">
        <f>IFERROR(__xludf.DUMMYFUNCTION("""COMPUTED_VALUE"""),"Hr.")</f>
        <v>Hr.</v>
      </c>
      <c r="Z158" s="6" t="str">
        <f>IFERROR(__xludf.DUMMYFUNCTION("""COMPUTED_VALUE"""),"Yumer Ahmed")</f>
        <v>Yumer Ahmed</v>
      </c>
      <c r="AA158" s="6" t="str">
        <f>IFERROR(__xludf.DUMMYFUNCTION("""COMPUTED_VALUE"""),"Mehmed")</f>
        <v>Mehmed</v>
      </c>
      <c r="AB158" s="6" t="str">
        <f>IFERROR(__xludf.DUMMYFUNCTION("""COMPUTED_VALUE"""),"Y.A.")</f>
        <v>Y.A.</v>
      </c>
      <c r="AC158" s="6">
        <f>IFERROR(__xludf.DUMMYFUNCTION("""COMPUTED_VALUE"""),2.67976458E8)</f>
        <v>267976458</v>
      </c>
      <c r="AD158" s="9">
        <f>IFERROR(__xludf.DUMMYFUNCTION("""COMPUTED_VALUE"""),29186.0)</f>
        <v>29186</v>
      </c>
      <c r="AE158" s="6" t="str">
        <f>IFERROR(__xludf.DUMMYFUNCTION("""COMPUTED_VALUE"""),"bg")</f>
        <v>bg</v>
      </c>
      <c r="AF158" s="6" t="str">
        <f>IFERROR(__xludf.DUMMYFUNCTION("""COMPUTED_VALUE"""),"Kardzhali")</f>
        <v>Kardzhali</v>
      </c>
      <c r="AG158" s="6" t="str">
        <f>IFERROR(__xludf.DUMMYFUNCTION("""COMPUTED_VALUE"""),"Hr. Y.A. Mehmed")</f>
        <v>Hr. Y.A. Mehmed</v>
      </c>
      <c r="AH158" s="6"/>
      <c r="AI158" s="6"/>
      <c r="AJ158" s="6" t="str">
        <f>IFERROR(__xludf.DUMMYFUNCTION("""COMPUTED_VALUE"""),"ID Kaart")</f>
        <v>ID Kaart</v>
      </c>
      <c r="AK158" s="6"/>
      <c r="AL158" s="6"/>
      <c r="AM158" s="6" t="str">
        <f>IFERROR(__xludf.DUMMYFUNCTION("""COMPUTED_VALUE"""),"Bulgarije")</f>
        <v>Bulgarije</v>
      </c>
      <c r="AN158" s="6" t="str">
        <f>IFERROR(__xludf.DUMMYFUNCTION("""COMPUTED_VALUE"""),"Yumer Ahmed Mehmed")</f>
        <v>Yumer Ahmed Mehmed</v>
      </c>
      <c r="AO158" s="6">
        <f>IFERROR(__xludf.DUMMYFUNCTION("""COMPUTED_VALUE"""),1400.0)</f>
        <v>1400</v>
      </c>
    </row>
    <row r="159">
      <c r="A159" s="6" t="str">
        <f>IFERROR(__xludf.DUMMYFUNCTION("""COMPUTED_VALUE"""),"DVD Trans VOF")</f>
        <v>DVD Trans VOF</v>
      </c>
      <c r="B159" s="6" t="str">
        <f>IFERROR(__xludf.DUMMYFUNCTION("""COMPUTED_VALUE"""),"DVD Trans VOF")</f>
        <v>DVD Trans VOF</v>
      </c>
      <c r="C159" s="6">
        <f>IFERROR(__xludf.DUMMYFUNCTION("""COMPUTED_VALUE"""),1054.0)</f>
        <v>1054</v>
      </c>
      <c r="D159" s="7" t="str">
        <f>IFERROR(__xludf.DUMMYFUNCTION("""COMPUTED_VALUE"""),"Diyan Vasilev Vladimirov")</f>
        <v>Diyan Vasilev Vladimirov</v>
      </c>
      <c r="E159" s="7" t="str">
        <f>IFERROR(__xludf.DUMMYFUNCTION("""COMPUTED_VALUE"""),"SBI-code: 4120 - Algemene burgerlijke en utiliteitsbouw")</f>
        <v>SBI-code: 4120 - Algemene burgerlijke en utiliteitsbouw</v>
      </c>
      <c r="F159" s="7" t="str">
        <f>IFERROR(__xludf.DUMMYFUNCTION("""COMPUTED_VALUE"""),"0614493487")</f>
        <v>0614493487</v>
      </c>
      <c r="G159" s="6" t="str">
        <f>IFERROR(__xludf.DUMMYFUNCTION("""COMPUTED_VALUE"""),"dvdtrans19@gmail.com")</f>
        <v>dvdtrans19@gmail.com</v>
      </c>
      <c r="H159" s="6" t="str">
        <f>IFERROR(__xludf.DUMMYFUNCTION("""COMPUTED_VALUE"""),"Parkdreef 115")</f>
        <v>Parkdreef 115</v>
      </c>
      <c r="I159" s="6" t="str">
        <f>IFERROR(__xludf.DUMMYFUNCTION("""COMPUTED_VALUE"""),"2724ES")</f>
        <v>2724ES</v>
      </c>
      <c r="J159" s="6" t="str">
        <f>IFERROR(__xludf.DUMMYFUNCTION("""COMPUTED_VALUE"""),"s-Gravenhage")</f>
        <v>s-Gravenhage</v>
      </c>
      <c r="K159" s="6" t="str">
        <f>IFERROR(__xludf.DUMMYFUNCTION("""COMPUTED_VALUE"""),"Nederland")</f>
        <v>Nederland</v>
      </c>
      <c r="L159" s="6" t="str">
        <f>IFERROR(__xludf.DUMMYFUNCTION("""COMPUTED_VALUE"""),"Владимиров")</f>
        <v>Владимиров</v>
      </c>
      <c r="M159" s="8">
        <f>IFERROR(__xludf.DUMMYFUNCTION("""COMPUTED_VALUE"""),45292.0)</f>
        <v>45292</v>
      </c>
      <c r="N159" s="6" t="str">
        <f>IFERROR(__xludf.DUMMYFUNCTION("""COMPUTED_VALUE"""),"NL866108919B01")</f>
        <v>NL866108919B01</v>
      </c>
      <c r="O159" s="6">
        <f>IFERROR(__xludf.DUMMYFUNCTION("""COMPUTED_VALUE"""),9.2589936E7)</f>
        <v>92589936</v>
      </c>
      <c r="P159" s="6" t="str">
        <f>IFERROR(__xludf.DUMMYFUNCTION("""COMPUTED_VALUE"""),"NL90 INGB 0009 6359 32")</f>
        <v>NL90 INGB 0009 6359 32</v>
      </c>
      <c r="Q159" s="9">
        <f>IFERROR(__xludf.DUMMYFUNCTION("""COMPUTED_VALUE"""),43773.0)</f>
        <v>43773</v>
      </c>
      <c r="R159" s="6"/>
      <c r="S159" s="6" t="str">
        <f>IFERROR(__xludf.DUMMYFUNCTION("""COMPUTED_VALUE"""),"NL866108919B01")</f>
        <v>NL866108919B01</v>
      </c>
      <c r="T159" s="6">
        <f>IFERROR(__xludf.DUMMYFUNCTION("""COMPUTED_VALUE"""),8.66108919E8)</f>
        <v>866108919</v>
      </c>
      <c r="U159" s="7" t="str">
        <f>IFERROR(__xludf.DUMMYFUNCTION("""COMPUTED_VALUE"""),"Eenmanszaak")</f>
        <v>Eenmanszaak</v>
      </c>
      <c r="V159" s="7" t="str">
        <f>IFERROR(__xludf.DUMMYFUNCTION("""COMPUTED_VALUE"""),"000044089252")</f>
        <v>000044089252</v>
      </c>
      <c r="W159" s="6" t="str">
        <f>IFERROR(__xludf.DUMMYFUNCTION("""COMPUTED_VALUE"""),"ink.dvdtrans.2288aa@zarabota.nl")</f>
        <v>ink.dvdtrans.2288aa@zarabota.nl</v>
      </c>
      <c r="X159" s="6" t="str">
        <f>IFERROR(__xludf.DUMMYFUNCTION("""COMPUTED_VALUE"""),"ver.dvdtrans.2288aa@zarabota.nl")</f>
        <v>ver.dvdtrans.2288aa@zarabota.nl</v>
      </c>
      <c r="Y159" s="6" t="str">
        <f>IFERROR(__xludf.DUMMYFUNCTION("""COMPUTED_VALUE"""),"Hr.")</f>
        <v>Hr.</v>
      </c>
      <c r="Z159" s="6" t="str">
        <f>IFERROR(__xludf.DUMMYFUNCTION("""COMPUTED_VALUE"""),"Diyan Vasilev")</f>
        <v>Diyan Vasilev</v>
      </c>
      <c r="AA159" s="6" t="str">
        <f>IFERROR(__xludf.DUMMYFUNCTION("""COMPUTED_VALUE"""),"Vladimirov")</f>
        <v>Vladimirov</v>
      </c>
      <c r="AB159" s="6" t="str">
        <f>IFERROR(__xludf.DUMMYFUNCTION("""COMPUTED_VALUE"""),"D.V.")</f>
        <v>D.V.</v>
      </c>
      <c r="AC159" s="6">
        <f>IFERROR(__xludf.DUMMYFUNCTION("""COMPUTED_VALUE"""),4.23088713E8)</f>
        <v>423088713</v>
      </c>
      <c r="AD159" s="9">
        <f>IFERROR(__xludf.DUMMYFUNCTION("""COMPUTED_VALUE"""),27972.0)</f>
        <v>27972</v>
      </c>
      <c r="AE159" s="6" t="str">
        <f>IFERROR(__xludf.DUMMYFUNCTION("""COMPUTED_VALUE"""),"bg")</f>
        <v>bg</v>
      </c>
      <c r="AF159" s="6" t="str">
        <f>IFERROR(__xludf.DUMMYFUNCTION("""COMPUTED_VALUE"""),"Shumen")</f>
        <v>Shumen</v>
      </c>
      <c r="AG159" s="6" t="str">
        <f>IFERROR(__xludf.DUMMYFUNCTION("""COMPUTED_VALUE"""),"Hr. D.V. Vladimirov")</f>
        <v>Hr. D.V. Vladimirov</v>
      </c>
      <c r="AH159" s="6" t="str">
        <f>IFERROR(__xludf.DUMMYFUNCTION("""COMPUTED_VALUE"""),"NL42INGB0670742430")</f>
        <v>NL42INGB0670742430</v>
      </c>
      <c r="AI159" s="6"/>
      <c r="AJ159" s="6" t="str">
        <f>IFERROR(__xludf.DUMMYFUNCTION("""COMPUTED_VALUE"""),"ID Kaart")</f>
        <v>ID Kaart</v>
      </c>
      <c r="AK159" s="6">
        <f>IFERROR(__xludf.DUMMYFUNCTION("""COMPUTED_VALUE"""),6.48526028E8)</f>
        <v>648526028</v>
      </c>
      <c r="AL159" s="9">
        <f>IFERROR(__xludf.DUMMYFUNCTION("""COMPUTED_VALUE"""),47405.0)</f>
        <v>47405</v>
      </c>
      <c r="AM159" s="6" t="str">
        <f>IFERROR(__xludf.DUMMYFUNCTION("""COMPUTED_VALUE"""),"Bulgarije")</f>
        <v>Bulgarije</v>
      </c>
      <c r="AN159" s="6" t="str">
        <f>IFERROR(__xludf.DUMMYFUNCTION("""COMPUTED_VALUE"""),"Diyan Vasilev Vladimirov")</f>
        <v>Diyan Vasilev Vladimirov</v>
      </c>
      <c r="AO159" s="6">
        <f>IFERROR(__xludf.DUMMYFUNCTION("""COMPUTED_VALUE"""),1054.0)</f>
        <v>1054</v>
      </c>
    </row>
    <row r="160">
      <c r="A160" s="6" t="str">
        <f>IFERROR(__xludf.DUMMYFUNCTION("""COMPUTED_VALUE"""),"Edi 2008 VOF")</f>
        <v>Edi 2008 VOF</v>
      </c>
      <c r="B160" s="6" t="str">
        <f>IFERROR(__xludf.DUMMYFUNCTION("""COMPUTED_VALUE"""),"Edi 2008 VOF")</f>
        <v>Edi 2008 VOF</v>
      </c>
      <c r="C160" s="6">
        <f>IFERROR(__xludf.DUMMYFUNCTION("""COMPUTED_VALUE"""),855.0)</f>
        <v>855</v>
      </c>
      <c r="D160" s="7" t="str">
        <f>IFERROR(__xludf.DUMMYFUNCTION("""COMPUTED_VALUE"""),"Evgeny Plamenov Hadzhijski")</f>
        <v>Evgeny Plamenov Hadzhijski</v>
      </c>
      <c r="E160" s="7" t="str">
        <f>IFERROR(__xludf.DUMMYFUNCTION("""COMPUTED_VALUE"""),"SBI-code: 4120 - Algemene burgerlijke en utiliteitsbouw")</f>
        <v>SBI-code: 4120 - Algemene burgerlijke en utiliteitsbouw</v>
      </c>
      <c r="F160" s="7" t="str">
        <f>IFERROR(__xludf.DUMMYFUNCTION("""COMPUTED_VALUE"""),"0657401355")</f>
        <v>0657401355</v>
      </c>
      <c r="G160" s="6" t="str">
        <f>IFERROR(__xludf.DUMMYFUNCTION("""COMPUTED_VALUE"""),"edi__2008@hotmail.com")</f>
        <v>edi__2008@hotmail.com</v>
      </c>
      <c r="H160" s="6" t="str">
        <f>IFERROR(__xludf.DUMMYFUNCTION("""COMPUTED_VALUE"""),"Trekweg 197")</f>
        <v>Trekweg 197</v>
      </c>
      <c r="I160" s="6" t="str">
        <f>IFERROR(__xludf.DUMMYFUNCTION("""COMPUTED_VALUE"""),"2516SH")</f>
        <v>2516SH</v>
      </c>
      <c r="J160" s="6" t="str">
        <f>IFERROR(__xludf.DUMMYFUNCTION("""COMPUTED_VALUE"""),"Den Haag")</f>
        <v>Den Haag</v>
      </c>
      <c r="K160" s="6" t="str">
        <f>IFERROR(__xludf.DUMMYFUNCTION("""COMPUTED_VALUE"""),"Nederland")</f>
        <v>Nederland</v>
      </c>
      <c r="L160" s="6" t="str">
        <f>IFERROR(__xludf.DUMMYFUNCTION("""COMPUTED_VALUE"""),"Хаджийски")</f>
        <v>Хаджийски</v>
      </c>
      <c r="M160" s="8">
        <f>IFERROR(__xludf.DUMMYFUNCTION("""COMPUTED_VALUE"""),43739.0)</f>
        <v>43739</v>
      </c>
      <c r="N160" s="6" t="str">
        <f>IFERROR(__xludf.DUMMYFUNCTION("""COMPUTED_VALUE"""),"NL860447893B01")</f>
        <v>NL860447893B01</v>
      </c>
      <c r="O160" s="6">
        <f>IFERROR(__xludf.DUMMYFUNCTION("""COMPUTED_VALUE"""),7.5936003E7)</f>
        <v>75936003</v>
      </c>
      <c r="P160" s="6" t="str">
        <f>IFERROR(__xludf.DUMMYFUNCTION("""COMPUTED_VALUE"""),"NL82INGB0391293052")</f>
        <v>NL82INGB0391293052</v>
      </c>
      <c r="Q160" s="9">
        <f>IFERROR(__xludf.DUMMYFUNCTION("""COMPUTED_VALUE"""),43739.0)</f>
        <v>43739</v>
      </c>
      <c r="R160" s="6"/>
      <c r="S160" s="6" t="str">
        <f>IFERROR(__xludf.DUMMYFUNCTION("""COMPUTED_VALUE"""),"NL860447893B01")</f>
        <v>NL860447893B01</v>
      </c>
      <c r="T160" s="6">
        <f>IFERROR(__xludf.DUMMYFUNCTION("""COMPUTED_VALUE"""),8.60447893E8)</f>
        <v>860447893</v>
      </c>
      <c r="U160" s="7" t="str">
        <f>IFERROR(__xludf.DUMMYFUNCTION("""COMPUTED_VALUE"""),"Vennootschap Onder Firma")</f>
        <v>Vennootschap Onder Firma</v>
      </c>
      <c r="V160" s="7" t="str">
        <f>IFERROR(__xludf.DUMMYFUNCTION("""COMPUTED_VALUE"""),"000043779751")</f>
        <v>000043779751</v>
      </c>
      <c r="W160" s="6" t="str">
        <f>IFERROR(__xludf.DUMMYFUNCTION("""COMPUTED_VALUE"""),"ink.edi2008vof.2288aa@zarabota.nl")</f>
        <v>ink.edi2008vof.2288aa@zarabota.nl</v>
      </c>
      <c r="X160" s="6" t="str">
        <f>IFERROR(__xludf.DUMMYFUNCTION("""COMPUTED_VALUE"""),"ver.edi2008vof.2288aa@zarabota.nl")</f>
        <v>ver.edi2008vof.2288aa@zarabota.nl</v>
      </c>
      <c r="Y160" s="6" t="str">
        <f>IFERROR(__xludf.DUMMYFUNCTION("""COMPUTED_VALUE"""),"Hr.")</f>
        <v>Hr.</v>
      </c>
      <c r="Z160" s="6" t="str">
        <f>IFERROR(__xludf.DUMMYFUNCTION("""COMPUTED_VALUE"""),"Evgeny Plamenov")</f>
        <v>Evgeny Plamenov</v>
      </c>
      <c r="AA160" s="6" t="str">
        <f>IFERROR(__xludf.DUMMYFUNCTION("""COMPUTED_VALUE"""),"Hadzhiyski")</f>
        <v>Hadzhiyski</v>
      </c>
      <c r="AB160" s="6" t="str">
        <f>IFERROR(__xludf.DUMMYFUNCTION("""COMPUTED_VALUE"""),"E.P.")</f>
        <v>E.P.</v>
      </c>
      <c r="AC160" s="6">
        <f>IFERROR(__xludf.DUMMYFUNCTION("""COMPUTED_VALUE"""),3.77406491E8)</f>
        <v>377406491</v>
      </c>
      <c r="AD160" s="9">
        <f>IFERROR(__xludf.DUMMYFUNCTION("""COMPUTED_VALUE"""),29040.0)</f>
        <v>29040</v>
      </c>
      <c r="AE160" s="6" t="str">
        <f>IFERROR(__xludf.DUMMYFUNCTION("""COMPUTED_VALUE"""),"bg")</f>
        <v>bg</v>
      </c>
      <c r="AF160" s="6" t="str">
        <f>IFERROR(__xludf.DUMMYFUNCTION("""COMPUTED_VALUE"""),"Ustina")</f>
        <v>Ustina</v>
      </c>
      <c r="AG160" s="6" t="str">
        <f>IFERROR(__xludf.DUMMYFUNCTION("""COMPUTED_VALUE"""),"Hr. E.P. Hadzhiyski")</f>
        <v>Hr. E.P. Hadzhiyski</v>
      </c>
      <c r="AH160" s="6" t="str">
        <f>IFERROR(__xludf.DUMMYFUNCTION("""COMPUTED_VALUE"""),"NL15INGB0750526289")</f>
        <v>NL15INGB0750526289</v>
      </c>
      <c r="AI160" s="6"/>
      <c r="AJ160" s="6" t="str">
        <f>IFERROR(__xludf.DUMMYFUNCTION("""COMPUTED_VALUE"""),"ID Kaart")</f>
        <v>ID Kaart</v>
      </c>
      <c r="AK160" s="6">
        <f>IFERROR(__xludf.DUMMYFUNCTION("""COMPUTED_VALUE"""),6.49297132E8)</f>
        <v>649297132</v>
      </c>
      <c r="AL160" s="9">
        <f>IFERROR(__xludf.DUMMYFUNCTION("""COMPUTED_VALUE"""),47688.0)</f>
        <v>47688</v>
      </c>
      <c r="AM160" s="6"/>
      <c r="AN160" s="6" t="str">
        <f>IFERROR(__xludf.DUMMYFUNCTION("""COMPUTED_VALUE"""),"Evgeny Plamenov Hadzhiyski")</f>
        <v>Evgeny Plamenov Hadzhiyski</v>
      </c>
      <c r="AO160" s="6"/>
    </row>
    <row r="161">
      <c r="A161" s="6" t="str">
        <f>IFERROR(__xludf.DUMMYFUNCTION("""COMPUTED_VALUE"""),"Edi81 VOF")</f>
        <v>Edi81 VOF</v>
      </c>
      <c r="B161" s="6" t="str">
        <f>IFERROR(__xludf.DUMMYFUNCTION("""COMPUTED_VALUE"""),"Edi81 VOF")</f>
        <v>Edi81 VOF</v>
      </c>
      <c r="C161" s="6">
        <f>IFERROR(__xludf.DUMMYFUNCTION("""COMPUTED_VALUE"""),891.0)</f>
        <v>891</v>
      </c>
      <c r="D161" s="7" t="str">
        <f>IFERROR(__xludf.DUMMYFUNCTION("""COMPUTED_VALUE"""),"Emil Sergeev Hadzhiev")</f>
        <v>Emil Sergeev Hadzhiev</v>
      </c>
      <c r="E161" s="7" t="str">
        <f>IFERROR(__xludf.DUMMYFUNCTION("""COMPUTED_VALUE"""),"SBI-code: 4120 - Algemene burgerlijke en utiliteitsbouw")</f>
        <v>SBI-code: 4120 - Algemene burgerlijke en utiliteitsbouw</v>
      </c>
      <c r="F161" s="7" t="str">
        <f>IFERROR(__xludf.DUMMYFUNCTION("""COMPUTED_VALUE"""),"0610969468")</f>
        <v>0610969468</v>
      </c>
      <c r="G161" s="6" t="str">
        <f>IFERROR(__xludf.DUMMYFUNCTION("""COMPUTED_VALUE"""),"emilhadzhiev81@gmail.com")</f>
        <v>emilhadzhiev81@gmail.com</v>
      </c>
      <c r="H161" s="6" t="str">
        <f>IFERROR(__xludf.DUMMYFUNCTION("""COMPUTED_VALUE"""),"Drebbelstraat 304")</f>
        <v>Drebbelstraat 304</v>
      </c>
      <c r="I161" s="6" t="str">
        <f>IFERROR(__xludf.DUMMYFUNCTION("""COMPUTED_VALUE"""),"2522DJ")</f>
        <v>2522DJ</v>
      </c>
      <c r="J161" s="6" t="str">
        <f>IFERROR(__xludf.DUMMYFUNCTION("""COMPUTED_VALUE"""),"s-Gravenhage")</f>
        <v>s-Gravenhage</v>
      </c>
      <c r="K161" s="6" t="str">
        <f>IFERROR(__xludf.DUMMYFUNCTION("""COMPUTED_VALUE"""),"Nederland")</f>
        <v>Nederland</v>
      </c>
      <c r="L161" s="6" t="str">
        <f>IFERROR(__xludf.DUMMYFUNCTION("""COMPUTED_VALUE"""),"Хаджиев")</f>
        <v>Хаджиев</v>
      </c>
      <c r="M161" s="8">
        <f>IFERROR(__xludf.DUMMYFUNCTION("""COMPUTED_VALUE"""),43831.0)</f>
        <v>43831</v>
      </c>
      <c r="N161" s="6" t="str">
        <f>IFERROR(__xludf.DUMMYFUNCTION("""COMPUTED_VALUE"""),"NL860862781B01")</f>
        <v>NL860862781B01</v>
      </c>
      <c r="O161" s="6">
        <f>IFERROR(__xludf.DUMMYFUNCTION("""COMPUTED_VALUE"""),7.6984648E7)</f>
        <v>76984648</v>
      </c>
      <c r="P161" s="6" t="str">
        <f>IFERROR(__xludf.DUMMYFUNCTION("""COMPUTED_VALUE"""),"NL98INGB0007293917")</f>
        <v>NL98INGB0007293917</v>
      </c>
      <c r="Q161" s="9">
        <f>IFERROR(__xludf.DUMMYFUNCTION("""COMPUTED_VALUE"""),43831.0)</f>
        <v>43831</v>
      </c>
      <c r="R161" s="6"/>
      <c r="S161" s="6" t="str">
        <f>IFERROR(__xludf.DUMMYFUNCTION("""COMPUTED_VALUE"""),"NL860862781B01")</f>
        <v>NL860862781B01</v>
      </c>
      <c r="T161" s="6">
        <f>IFERROR(__xludf.DUMMYFUNCTION("""COMPUTED_VALUE"""),8.60862781E8)</f>
        <v>860862781</v>
      </c>
      <c r="U161" s="7" t="str">
        <f>IFERROR(__xludf.DUMMYFUNCTION("""COMPUTED_VALUE"""),"Vennootschap Onder Firma")</f>
        <v>Vennootschap Onder Firma</v>
      </c>
      <c r="V161" s="7" t="str">
        <f>IFERROR(__xludf.DUMMYFUNCTION("""COMPUTED_VALUE"""),"000034550801")</f>
        <v>000034550801</v>
      </c>
      <c r="W161" s="6" t="str">
        <f>IFERROR(__xludf.DUMMYFUNCTION("""COMPUTED_VALUE"""),"ink.edi81vof.2288aa@zarabota.nl")</f>
        <v>ink.edi81vof.2288aa@zarabota.nl</v>
      </c>
      <c r="X161" s="6" t="str">
        <f>IFERROR(__xludf.DUMMYFUNCTION("""COMPUTED_VALUE"""),"ver.edi81vof.2288aa@zarabota.nl")</f>
        <v>ver.edi81vof.2288aa@zarabota.nl</v>
      </c>
      <c r="Y161" s="6" t="str">
        <f>IFERROR(__xludf.DUMMYFUNCTION("""COMPUTED_VALUE"""),"Hr.")</f>
        <v>Hr.</v>
      </c>
      <c r="Z161" s="6" t="str">
        <f>IFERROR(__xludf.DUMMYFUNCTION("""COMPUTED_VALUE"""),"Emil Sergeev")</f>
        <v>Emil Sergeev</v>
      </c>
      <c r="AA161" s="6" t="str">
        <f>IFERROR(__xludf.DUMMYFUNCTION("""COMPUTED_VALUE"""),"Hadzhiev")</f>
        <v>Hadzhiev</v>
      </c>
      <c r="AB161" s="6" t="str">
        <f>IFERROR(__xludf.DUMMYFUNCTION("""COMPUTED_VALUE"""),"E.S.")</f>
        <v>E.S.</v>
      </c>
      <c r="AC161" s="6">
        <f>IFERROR(__xludf.DUMMYFUNCTION("""COMPUTED_VALUE"""),4.93769407E8)</f>
        <v>493769407</v>
      </c>
      <c r="AD161" s="9">
        <f>IFERROR(__xludf.DUMMYFUNCTION("""COMPUTED_VALUE"""),29914.0)</f>
        <v>29914</v>
      </c>
      <c r="AE161" s="6" t="str">
        <f>IFERROR(__xludf.DUMMYFUNCTION("""COMPUTED_VALUE"""),"bg")</f>
        <v>bg</v>
      </c>
      <c r="AF161" s="6" t="str">
        <f>IFERROR(__xludf.DUMMYFUNCTION("""COMPUTED_VALUE"""),"Ardino")</f>
        <v>Ardino</v>
      </c>
      <c r="AG161" s="6" t="str">
        <f>IFERROR(__xludf.DUMMYFUNCTION("""COMPUTED_VALUE"""),"Hr. E.S. Hadzhiev")</f>
        <v>Hr. E.S. Hadzhiev</v>
      </c>
      <c r="AH161" s="6"/>
      <c r="AI161" s="6"/>
      <c r="AJ161" s="6" t="str">
        <f>IFERROR(__xludf.DUMMYFUNCTION("""COMPUTED_VALUE"""),"ID Kaart")</f>
        <v>ID Kaart</v>
      </c>
      <c r="AK161" s="6">
        <f>IFERROR(__xludf.DUMMYFUNCTION("""COMPUTED_VALUE"""),6.4085942E8)</f>
        <v>640859420</v>
      </c>
      <c r="AL161" s="9">
        <f>IFERROR(__xludf.DUMMYFUNCTION("""COMPUTED_VALUE"""),44159.0)</f>
        <v>44159</v>
      </c>
      <c r="AM161" s="6" t="str">
        <f>IFERROR(__xludf.DUMMYFUNCTION("""COMPUTED_VALUE"""),"Bulgarije")</f>
        <v>Bulgarije</v>
      </c>
      <c r="AN161" s="6" t="str">
        <f>IFERROR(__xludf.DUMMYFUNCTION("""COMPUTED_VALUE"""),"Emil Sergeev Hadzhiev")</f>
        <v>Emil Sergeev Hadzhiev</v>
      </c>
      <c r="AO161" s="6"/>
    </row>
    <row r="162">
      <c r="A162" s="6" t="str">
        <f>IFERROR(__xludf.DUMMYFUNCTION("""COMPUTED_VALUE"""),"Edrev Bouw")</f>
        <v>Edrev Bouw</v>
      </c>
      <c r="B162" s="6" t="str">
        <f>IFERROR(__xludf.DUMMYFUNCTION("""COMPUTED_VALUE"""),"Edrev Bouw")</f>
        <v>Edrev Bouw</v>
      </c>
      <c r="C162" s="6">
        <f>IFERROR(__xludf.DUMMYFUNCTION("""COMPUTED_VALUE"""),592.0)</f>
        <v>592</v>
      </c>
      <c r="D162" s="7" t="str">
        <f>IFERROR(__xludf.DUMMYFUNCTION("""COMPUTED_VALUE"""),"Hristo Dimitrov Edrev")</f>
        <v>Hristo Dimitrov Edrev</v>
      </c>
      <c r="E162" s="7" t="str">
        <f>IFERROR(__xludf.DUMMYFUNCTION("""COMPUTED_VALUE"""),"SBI-code: 4120 - Algemene burgerlijke en utiliteitsbouw")</f>
        <v>SBI-code: 4120 - Algemene burgerlijke en utiliteitsbouw</v>
      </c>
      <c r="F162" s="7" t="str">
        <f>IFERROR(__xludf.DUMMYFUNCTION("""COMPUTED_VALUE"""),"0685221439")</f>
        <v>0685221439</v>
      </c>
      <c r="G162" s="6" t="str">
        <f>IFERROR(__xludf.DUMMYFUNCTION("""COMPUTED_VALUE"""),"hristoedrev@abv.bg")</f>
        <v>hristoedrev@abv.bg</v>
      </c>
      <c r="H162" s="6" t="str">
        <f>IFERROR(__xludf.DUMMYFUNCTION("""COMPUTED_VALUE"""),"Flakkeesestraat 101C")</f>
        <v>Flakkeesestraat 101C</v>
      </c>
      <c r="I162" s="6" t="str">
        <f>IFERROR(__xludf.DUMMYFUNCTION("""COMPUTED_VALUE"""),"3083CE")</f>
        <v>3083CE</v>
      </c>
      <c r="J162" s="6" t="str">
        <f>IFERROR(__xludf.DUMMYFUNCTION("""COMPUTED_VALUE"""),"Rotterdam")</f>
        <v>Rotterdam</v>
      </c>
      <c r="K162" s="6" t="str">
        <f>IFERROR(__xludf.DUMMYFUNCTION("""COMPUTED_VALUE"""),"Nederland")</f>
        <v>Nederland</v>
      </c>
      <c r="L162" s="6" t="str">
        <f>IFERROR(__xludf.DUMMYFUNCTION("""COMPUTED_VALUE"""),"Едрев")</f>
        <v>Едрев</v>
      </c>
      <c r="M162" s="8">
        <f>IFERROR(__xludf.DUMMYFUNCTION("""COMPUTED_VALUE"""),43242.0)</f>
        <v>43242</v>
      </c>
      <c r="N162" s="6" t="str">
        <f>IFERROR(__xludf.DUMMYFUNCTION("""COMPUTED_VALUE"""),"NL299678040B01")</f>
        <v>NL299678040B01</v>
      </c>
      <c r="O162" s="6">
        <f>IFERROR(__xludf.DUMMYFUNCTION("""COMPUTED_VALUE"""),7.1691316E7)</f>
        <v>71691316</v>
      </c>
      <c r="P162" s="6" t="str">
        <f>IFERROR(__xludf.DUMMYFUNCTION("""COMPUTED_VALUE"""),"NL53INGB0008551265")</f>
        <v>NL53INGB0008551265</v>
      </c>
      <c r="Q162" s="9">
        <f>IFERROR(__xludf.DUMMYFUNCTION("""COMPUTED_VALUE"""),43242.0)</f>
        <v>43242</v>
      </c>
      <c r="R162" s="6"/>
      <c r="S162" s="6" t="str">
        <f>IFERROR(__xludf.DUMMYFUNCTION("""COMPUTED_VALUE"""),"NL002465755B35")</f>
        <v>NL002465755B35</v>
      </c>
      <c r="T162" s="6">
        <f>IFERROR(__xludf.DUMMYFUNCTION("""COMPUTED_VALUE"""),2.9967804E8)</f>
        <v>299678040</v>
      </c>
      <c r="U162" s="7" t="str">
        <f>IFERROR(__xludf.DUMMYFUNCTION("""COMPUTED_VALUE"""),"Eenmanszaak")</f>
        <v>Eenmanszaak</v>
      </c>
      <c r="V162" s="7" t="str">
        <f>IFERROR(__xludf.DUMMYFUNCTION("""COMPUTED_VALUE"""),"000039859347")</f>
        <v>000039859347</v>
      </c>
      <c r="W162" s="6" t="str">
        <f>IFERROR(__xludf.DUMMYFUNCTION("""COMPUTED_VALUE"""),"ink.edrevbouw.2288aa@zarabota.nl")</f>
        <v>ink.edrevbouw.2288aa@zarabota.nl</v>
      </c>
      <c r="X162" s="6" t="str">
        <f>IFERROR(__xludf.DUMMYFUNCTION("""COMPUTED_VALUE"""),"ver.edrevbouw.2288aa@zarabota.nl")</f>
        <v>ver.edrevbouw.2288aa@zarabota.nl</v>
      </c>
      <c r="Y162" s="6" t="str">
        <f>IFERROR(__xludf.DUMMYFUNCTION("""COMPUTED_VALUE"""),"Hr.")</f>
        <v>Hr.</v>
      </c>
      <c r="Z162" s="6" t="str">
        <f>IFERROR(__xludf.DUMMYFUNCTION("""COMPUTED_VALUE"""),"Hristo Dimitrov")</f>
        <v>Hristo Dimitrov</v>
      </c>
      <c r="AA162" s="6" t="str">
        <f>IFERROR(__xludf.DUMMYFUNCTION("""COMPUTED_VALUE"""),"Edrev")</f>
        <v>Edrev</v>
      </c>
      <c r="AB162" s="6" t="str">
        <f>IFERROR(__xludf.DUMMYFUNCTION("""COMPUTED_VALUE"""),"H.D.")</f>
        <v>H.D.</v>
      </c>
      <c r="AC162" s="6">
        <f>IFERROR(__xludf.DUMMYFUNCTION("""COMPUTED_VALUE"""),2.9967804E8)</f>
        <v>299678040</v>
      </c>
      <c r="AD162" s="9">
        <f>IFERROR(__xludf.DUMMYFUNCTION("""COMPUTED_VALUE"""),25985.0)</f>
        <v>25985</v>
      </c>
      <c r="AE162" s="6" t="str">
        <f>IFERROR(__xludf.DUMMYFUNCTION("""COMPUTED_VALUE"""),"bg")</f>
        <v>bg</v>
      </c>
      <c r="AF162" s="6" t="str">
        <f>IFERROR(__xludf.DUMMYFUNCTION("""COMPUTED_VALUE"""),"Pomorie")</f>
        <v>Pomorie</v>
      </c>
      <c r="AG162" s="6" t="str">
        <f>IFERROR(__xludf.DUMMYFUNCTION("""COMPUTED_VALUE"""),"Hr. H.D. Edrev")</f>
        <v>Hr. H.D. Edrev</v>
      </c>
      <c r="AH162" s="6" t="str">
        <f>IFERROR(__xludf.DUMMYFUNCTION("""COMPUTED_VALUE"""),"NL81INGB0665129114")</f>
        <v>NL81INGB0665129114</v>
      </c>
      <c r="AI162" s="6"/>
      <c r="AJ162" s="6" t="str">
        <f>IFERROR(__xludf.DUMMYFUNCTION("""COMPUTED_VALUE"""),"ID Kaart")</f>
        <v>ID Kaart</v>
      </c>
      <c r="AK162" s="6">
        <f>IFERROR(__xludf.DUMMYFUNCTION("""COMPUTED_VALUE"""),6.44995734E8)</f>
        <v>644995734</v>
      </c>
      <c r="AL162" s="9">
        <f>IFERROR(__xludf.DUMMYFUNCTION("""COMPUTED_VALUE"""),45265.0)</f>
        <v>45265</v>
      </c>
      <c r="AM162" s="6"/>
      <c r="AN162" s="6" t="str">
        <f>IFERROR(__xludf.DUMMYFUNCTION("""COMPUTED_VALUE"""),"Hristo Dimitrov Edrev")</f>
        <v>Hristo Dimitrov Edrev</v>
      </c>
      <c r="AO162" s="6"/>
    </row>
    <row r="163">
      <c r="A163" s="6" t="str">
        <f>IFERROR(__xludf.DUMMYFUNCTION("""COMPUTED_VALUE"""),"Elshadai")</f>
        <v>Elshadai</v>
      </c>
      <c r="B163" s="6" t="str">
        <f>IFERROR(__xludf.DUMMYFUNCTION("""COMPUTED_VALUE"""),"Elshadai")</f>
        <v>Elshadai</v>
      </c>
      <c r="C163" s="6">
        <f>IFERROR(__xludf.DUMMYFUNCTION("""COMPUTED_VALUE"""),1731.0)</f>
        <v>1731</v>
      </c>
      <c r="D163" s="7" t="str">
        <f>IFERROR(__xludf.DUMMYFUNCTION("""COMPUTED_VALUE"""),"Zapryanka Atanasova Manusheva")</f>
        <v>Zapryanka Atanasova Manusheva</v>
      </c>
      <c r="E163" s="7" t="str">
        <f>IFERROR(__xludf.DUMMYFUNCTION("""COMPUTED_VALUE"""),"SBI-code: 4120 - Algemene burgerlijke en utiliteitsbouw")</f>
        <v>SBI-code: 4120 - Algemene burgerlijke en utiliteitsbouw</v>
      </c>
      <c r="F163" s="7" t="str">
        <f>IFERROR(__xludf.DUMMYFUNCTION("""COMPUTED_VALUE"""),"0619881027")</f>
        <v>0619881027</v>
      </c>
      <c r="G163" s="6" t="str">
        <f>IFERROR(__xludf.DUMMYFUNCTION("""COMPUTED_VALUE"""),"zapryankaatanasova246@gmail.com")</f>
        <v>zapryankaatanasova246@gmail.com</v>
      </c>
      <c r="H163" s="6" t="str">
        <f>IFERROR(__xludf.DUMMYFUNCTION("""COMPUTED_VALUE"""),"Jan ten Brinkstraat 97")</f>
        <v>Jan ten Brinkstraat 97</v>
      </c>
      <c r="I163" s="6" t="str">
        <f>IFERROR(__xludf.DUMMYFUNCTION("""COMPUTED_VALUE"""),"2522HW")</f>
        <v>2522HW</v>
      </c>
      <c r="J163" s="6" t="str">
        <f>IFERROR(__xludf.DUMMYFUNCTION("""COMPUTED_VALUE"""),"s-Gravenhage")</f>
        <v>s-Gravenhage</v>
      </c>
      <c r="K163" s="6" t="str">
        <f>IFERROR(__xludf.DUMMYFUNCTION("""COMPUTED_VALUE"""),"Nederland")</f>
        <v>Nederland</v>
      </c>
      <c r="L163" s="6" t="str">
        <f>IFERROR(__xludf.DUMMYFUNCTION("""COMPUTED_VALUE"""),"Манушева")</f>
        <v>Манушева</v>
      </c>
      <c r="M163" s="8">
        <f>IFERROR(__xludf.DUMMYFUNCTION("""COMPUTED_VALUE"""),45898.0)</f>
        <v>45898</v>
      </c>
      <c r="N163" s="6" t="str">
        <f>IFERROR(__xludf.DUMMYFUNCTION("""COMPUTED_VALUE"""),"NL553648883B02")</f>
        <v>NL553648883B02</v>
      </c>
      <c r="O163" s="6">
        <f>IFERROR(__xludf.DUMMYFUNCTION("""COMPUTED_VALUE"""),9.8190148E7)</f>
        <v>98190148</v>
      </c>
      <c r="P163" s="6" t="str">
        <f>IFERROR(__xludf.DUMMYFUNCTION("""COMPUTED_VALUE"""),"NL16INGB0113193009")</f>
        <v>NL16INGB0113193009</v>
      </c>
      <c r="Q163" s="9">
        <f>IFERROR(__xludf.DUMMYFUNCTION("""COMPUTED_VALUE"""),45898.0)</f>
        <v>45898</v>
      </c>
      <c r="R163" s="6"/>
      <c r="S163" s="6" t="str">
        <f>IFERROR(__xludf.DUMMYFUNCTION("""COMPUTED_VALUE"""),"NL005314568B49")</f>
        <v>NL005314568B49</v>
      </c>
      <c r="T163" s="6">
        <f>IFERROR(__xludf.DUMMYFUNCTION("""COMPUTED_VALUE"""),5.53648883E8)</f>
        <v>553648883</v>
      </c>
      <c r="U163" s="7" t="str">
        <f>IFERROR(__xludf.DUMMYFUNCTION("""COMPUTED_VALUE"""),"Eenmanszaak")</f>
        <v>Eenmanszaak</v>
      </c>
      <c r="V163" s="7" t="str">
        <f>IFERROR(__xludf.DUMMYFUNCTION("""COMPUTED_VALUE"""),"000063371227")</f>
        <v>000063371227</v>
      </c>
      <c r="W163" s="6" t="str">
        <f>IFERROR(__xludf.DUMMYFUNCTION("""COMPUTED_VALUE"""),"ink.elshadai.2288aa@zarabota.nl")</f>
        <v>ink.elshadai.2288aa@zarabota.nl</v>
      </c>
      <c r="X163" s="6" t="str">
        <f>IFERROR(__xludf.DUMMYFUNCTION("""COMPUTED_VALUE"""),"ver.elshadai.2288aa@zarabota.nl")</f>
        <v>ver.elshadai.2288aa@zarabota.nl</v>
      </c>
      <c r="Y163" s="6" t="str">
        <f>IFERROR(__xludf.DUMMYFUNCTION("""COMPUTED_VALUE"""),"Mw.")</f>
        <v>Mw.</v>
      </c>
      <c r="Z163" s="6" t="str">
        <f>IFERROR(__xludf.DUMMYFUNCTION("""COMPUTED_VALUE"""),"Zapryanka Atanasova")</f>
        <v>Zapryanka Atanasova</v>
      </c>
      <c r="AA163" s="6" t="str">
        <f>IFERROR(__xludf.DUMMYFUNCTION("""COMPUTED_VALUE"""),"Manusheva")</f>
        <v>Manusheva</v>
      </c>
      <c r="AB163" s="6" t="str">
        <f>IFERROR(__xludf.DUMMYFUNCTION("""COMPUTED_VALUE"""),"Z.A.")</f>
        <v>Z.A.</v>
      </c>
      <c r="AC163" s="6">
        <f>IFERROR(__xludf.DUMMYFUNCTION("""COMPUTED_VALUE"""),5.53648883E8)</f>
        <v>553648883</v>
      </c>
      <c r="AD163" s="9">
        <f>IFERROR(__xludf.DUMMYFUNCTION("""COMPUTED_VALUE"""),31096.0)</f>
        <v>31096</v>
      </c>
      <c r="AE163" s="6" t="str">
        <f>IFERROR(__xludf.DUMMYFUNCTION("""COMPUTED_VALUE"""),"bg")</f>
        <v>bg</v>
      </c>
      <c r="AF163" s="6" t="str">
        <f>IFERROR(__xludf.DUMMYFUNCTION("""COMPUTED_VALUE"""),"Parvomay")</f>
        <v>Parvomay</v>
      </c>
      <c r="AG163" s="6" t="str">
        <f>IFERROR(__xludf.DUMMYFUNCTION("""COMPUTED_VALUE"""),"Mw. Z.A. Manusheva")</f>
        <v>Mw. Z.A. Manusheva</v>
      </c>
      <c r="AH163" s="6" t="str">
        <f>IFERROR(__xludf.DUMMYFUNCTION("""COMPUTED_VALUE"""),"NL93INGB0703469312")</f>
        <v>NL93INGB0703469312</v>
      </c>
      <c r="AI163" s="6"/>
      <c r="AJ163" s="6"/>
      <c r="AK163" s="6"/>
      <c r="AL163" s="6"/>
      <c r="AM163" s="6" t="str">
        <f>IFERROR(__xludf.DUMMYFUNCTION("""COMPUTED_VALUE"""),"Bulgarije")</f>
        <v>Bulgarije</v>
      </c>
      <c r="AN163" s="6" t="str">
        <f>IFERROR(__xludf.DUMMYFUNCTION("""COMPUTED_VALUE"""),"Zapryanka Atanasova Manusheva")</f>
        <v>Zapryanka Atanasova Manusheva</v>
      </c>
      <c r="AO163" s="6"/>
    </row>
    <row r="164">
      <c r="A164" s="6" t="str">
        <f>IFERROR(__xludf.DUMMYFUNCTION("""COMPUTED_VALUE"""),"Emo 69")</f>
        <v>Emo 69</v>
      </c>
      <c r="B164" s="6" t="str">
        <f>IFERROR(__xludf.DUMMYFUNCTION("""COMPUTED_VALUE"""),"Emo 69")</f>
        <v>Emo 69</v>
      </c>
      <c r="C164" s="6">
        <f>IFERROR(__xludf.DUMMYFUNCTION("""COMPUTED_VALUE"""),1257.0)</f>
        <v>1257</v>
      </c>
      <c r="D164" s="7" t="str">
        <f>IFERROR(__xludf.DUMMYFUNCTION("""COMPUTED_VALUE"""),"Emil Ognyanov Uzunov")</f>
        <v>Emil Ognyanov Uzunov</v>
      </c>
      <c r="E164" s="7" t="str">
        <f>IFERROR(__xludf.DUMMYFUNCTION("""COMPUTED_VALUE"""),"SBI-code: 4120 - Algemene burgerlijke en utiliteitsbouw")</f>
        <v>SBI-code: 4120 - Algemene burgerlijke en utiliteitsbouw</v>
      </c>
      <c r="F164" s="7" t="str">
        <f>IFERROR(__xludf.DUMMYFUNCTION("""COMPUTED_VALUE"""),"0684373059")</f>
        <v>0684373059</v>
      </c>
      <c r="G164" s="6" t="str">
        <f>IFERROR(__xludf.DUMMYFUNCTION("""COMPUTED_VALUE"""),"uzunov.emo69@gmail.com")</f>
        <v>uzunov.emo69@gmail.com</v>
      </c>
      <c r="H164" s="6" t="str">
        <f>IFERROR(__xludf.DUMMYFUNCTION("""COMPUTED_VALUE"""),"Steenwijklaan 172")</f>
        <v>Steenwijklaan 172</v>
      </c>
      <c r="I164" s="6" t="str">
        <f>IFERROR(__xludf.DUMMYFUNCTION("""COMPUTED_VALUE"""),"2541RR")</f>
        <v>2541RR</v>
      </c>
      <c r="J164" s="6" t="str">
        <f>IFERROR(__xludf.DUMMYFUNCTION("""COMPUTED_VALUE"""),"s-Gravenhage")</f>
        <v>s-Gravenhage</v>
      </c>
      <c r="K164" s="6" t="str">
        <f>IFERROR(__xludf.DUMMYFUNCTION("""COMPUTED_VALUE"""),"Nederland")</f>
        <v>Nederland</v>
      </c>
      <c r="L164" s="6" t="str">
        <f>IFERROR(__xludf.DUMMYFUNCTION("""COMPUTED_VALUE"""),"Узунов")</f>
        <v>Узунов</v>
      </c>
      <c r="M164" s="8">
        <f>IFERROR(__xludf.DUMMYFUNCTION("""COMPUTED_VALUE"""),44562.0)</f>
        <v>44562</v>
      </c>
      <c r="N164" s="6" t="str">
        <f>IFERROR(__xludf.DUMMYFUNCTION("""COMPUTED_VALUE"""),"NL687532000B01")</f>
        <v>NL687532000B01</v>
      </c>
      <c r="O164" s="6">
        <f>IFERROR(__xludf.DUMMYFUNCTION("""COMPUTED_VALUE"""),7.5349191E7)</f>
        <v>75349191</v>
      </c>
      <c r="P164" s="6" t="str">
        <f>IFERROR(__xludf.DUMMYFUNCTION("""COMPUTED_VALUE"""),"NL75INGB0009580136")</f>
        <v>NL75INGB0009580136</v>
      </c>
      <c r="Q164" s="9">
        <f>IFERROR(__xludf.DUMMYFUNCTION("""COMPUTED_VALUE"""),43658.0)</f>
        <v>43658</v>
      </c>
      <c r="R164" s="6"/>
      <c r="S164" s="6" t="str">
        <f>IFERROR(__xludf.DUMMYFUNCTION("""COMPUTED_VALUE"""),"NL002517523B14")</f>
        <v>NL002517523B14</v>
      </c>
      <c r="T164" s="6">
        <f>IFERROR(__xludf.DUMMYFUNCTION("""COMPUTED_VALUE"""),6.87532E8)</f>
        <v>687532000</v>
      </c>
      <c r="U164" s="7" t="str">
        <f>IFERROR(__xludf.DUMMYFUNCTION("""COMPUTED_VALUE"""),"Eenmanszaak")</f>
        <v>Eenmanszaak</v>
      </c>
      <c r="V164" s="7" t="str">
        <f>IFERROR(__xludf.DUMMYFUNCTION("""COMPUTED_VALUE"""),"000043224245")</f>
        <v>000043224245</v>
      </c>
      <c r="W164" s="6" t="str">
        <f>IFERROR(__xludf.DUMMYFUNCTION("""COMPUTED_VALUE"""),"ink.emo69.2288aa@zarabota.nl")</f>
        <v>ink.emo69.2288aa@zarabota.nl</v>
      </c>
      <c r="X164" s="6" t="str">
        <f>IFERROR(__xludf.DUMMYFUNCTION("""COMPUTED_VALUE"""),"ver.emo69.2288aa@zarabota.nl")</f>
        <v>ver.emo69.2288aa@zarabota.nl</v>
      </c>
      <c r="Y164" s="6" t="str">
        <f>IFERROR(__xludf.DUMMYFUNCTION("""COMPUTED_VALUE"""),"Hr.")</f>
        <v>Hr.</v>
      </c>
      <c r="Z164" s="6" t="str">
        <f>IFERROR(__xludf.DUMMYFUNCTION("""COMPUTED_VALUE"""),"Emil Ognyanov")</f>
        <v>Emil Ognyanov</v>
      </c>
      <c r="AA164" s="6" t="str">
        <f>IFERROR(__xludf.DUMMYFUNCTION("""COMPUTED_VALUE"""),"Uzunov")</f>
        <v>Uzunov</v>
      </c>
      <c r="AB164" s="6" t="str">
        <f>IFERROR(__xludf.DUMMYFUNCTION("""COMPUTED_VALUE"""),"E.O.")</f>
        <v>E.O.</v>
      </c>
      <c r="AC164" s="6">
        <f>IFERROR(__xludf.DUMMYFUNCTION("""COMPUTED_VALUE"""),6.87532E8)</f>
        <v>687532000</v>
      </c>
      <c r="AD164" s="9">
        <f>IFERROR(__xludf.DUMMYFUNCTION("""COMPUTED_VALUE"""),25380.0)</f>
        <v>25380</v>
      </c>
      <c r="AE164" s="6" t="str">
        <f>IFERROR(__xludf.DUMMYFUNCTION("""COMPUTED_VALUE"""),"bg")</f>
        <v>bg</v>
      </c>
      <c r="AF164" s="6"/>
      <c r="AG164" s="6" t="str">
        <f>IFERROR(__xludf.DUMMYFUNCTION("""COMPUTED_VALUE"""),"Hr. E.O. Uzunov")</f>
        <v>Hr. E.O. Uzunov</v>
      </c>
      <c r="AH164" s="6" t="str">
        <f>IFERROR(__xludf.DUMMYFUNCTION("""COMPUTED_VALUE"""),"NL93INGB0796060371")</f>
        <v>NL93INGB0796060371</v>
      </c>
      <c r="AI164" s="6"/>
      <c r="AJ164" s="6" t="str">
        <f>IFERROR(__xludf.DUMMYFUNCTION("""COMPUTED_VALUE"""),"ID Kaart")</f>
        <v>ID Kaart</v>
      </c>
      <c r="AK164" s="6">
        <f>IFERROR(__xludf.DUMMYFUNCTION("""COMPUTED_VALUE"""),6.48398242E8)</f>
        <v>648398242</v>
      </c>
      <c r="AL164" s="9">
        <f>IFERROR(__xludf.DUMMYFUNCTION("""COMPUTED_VALUE"""),47332.0)</f>
        <v>47332</v>
      </c>
      <c r="AM164" s="6" t="str">
        <f>IFERROR(__xludf.DUMMYFUNCTION("""COMPUTED_VALUE"""),"Bulgarije")</f>
        <v>Bulgarije</v>
      </c>
      <c r="AN164" s="6" t="str">
        <f>IFERROR(__xludf.DUMMYFUNCTION("""COMPUTED_VALUE"""),"Emil Ognyanov Uzunov")</f>
        <v>Emil Ognyanov Uzunov</v>
      </c>
      <c r="AO164" s="6">
        <f>IFERROR(__xludf.DUMMYFUNCTION("""COMPUTED_VALUE"""),1257.0)</f>
        <v>1257</v>
      </c>
    </row>
    <row r="165">
      <c r="A165" s="6" t="str">
        <f>IFERROR(__xludf.DUMMYFUNCTION("""COMPUTED_VALUE"""),"ERAM Trans B.V.")</f>
        <v>ERAM Trans B.V.</v>
      </c>
      <c r="B165" s="6" t="str">
        <f>IFERROR(__xludf.DUMMYFUNCTION("""COMPUTED_VALUE"""),"ERAM Trans B.V.")</f>
        <v>ERAM Trans B.V.</v>
      </c>
      <c r="C165" s="6">
        <f>IFERROR(__xludf.DUMMYFUNCTION("""COMPUTED_VALUE"""),1773.0)</f>
        <v>1773</v>
      </c>
      <c r="D165" s="7" t="str">
        <f>IFERROR(__xludf.DUMMYFUNCTION("""COMPUTED_VALUE"""),"Mario Naydenov Kutsev")</f>
        <v>Mario Naydenov Kutsev</v>
      </c>
      <c r="E165" s="7" t="str">
        <f>IFERROR(__xludf.DUMMYFUNCTION("""COMPUTED_VALUE"""),"SBI-code: 46772 - Groothandel in ijzer- en staalschroot en oude non-ferrometalen")</f>
        <v>SBI-code: 46772 - Groothandel in ijzer- en staalschroot en oude non-ferrometalen</v>
      </c>
      <c r="F165" s="7" t="str">
        <f>IFERROR(__xludf.DUMMYFUNCTION("""COMPUTED_VALUE"""),"0614489956")</f>
        <v>0614489956</v>
      </c>
      <c r="G165" s="6" t="str">
        <f>IFERROR(__xludf.DUMMYFUNCTION("""COMPUTED_VALUE"""),"_eram.trans@gmail.com")</f>
        <v>_eram.trans@gmail.com</v>
      </c>
      <c r="H165" s="6" t="str">
        <f>IFERROR(__xludf.DUMMYFUNCTION("""COMPUTED_VALUE"""),"Westlandseweg 10")</f>
        <v>Westlandseweg 10</v>
      </c>
      <c r="I165" s="6" t="str">
        <f>IFERROR(__xludf.DUMMYFUNCTION("""COMPUTED_VALUE"""),"2291PG")</f>
        <v>2291PG</v>
      </c>
      <c r="J165" s="6" t="str">
        <f>IFERROR(__xludf.DUMMYFUNCTION("""COMPUTED_VALUE"""),"Wateringen")</f>
        <v>Wateringen</v>
      </c>
      <c r="K165" s="6" t="str">
        <f>IFERROR(__xludf.DUMMYFUNCTION("""COMPUTED_VALUE"""),"Nederland")</f>
        <v>Nederland</v>
      </c>
      <c r="L165" s="6" t="str">
        <f>IFERROR(__xludf.DUMMYFUNCTION("""COMPUTED_VALUE"""),"Куцев")</f>
        <v>Куцев</v>
      </c>
      <c r="M165" s="8">
        <f>IFERROR(__xludf.DUMMYFUNCTION("""COMPUTED_VALUE"""),46023.0)</f>
        <v>46023</v>
      </c>
      <c r="N165" s="6" t="str">
        <f>IFERROR(__xludf.DUMMYFUNCTION("""COMPUTED_VALUE"""),"NL858615130B01")</f>
        <v>NL858615130B01</v>
      </c>
      <c r="O165" s="6">
        <f>IFERROR(__xludf.DUMMYFUNCTION("""COMPUTED_VALUE"""),9.7756563E7)</f>
        <v>97756563</v>
      </c>
      <c r="P165" s="6" t="str">
        <f>IFERROR(__xludf.DUMMYFUNCTION("""COMPUTED_VALUE"""),"NL")</f>
        <v>NL</v>
      </c>
      <c r="Q165" s="9">
        <f>IFERROR(__xludf.DUMMYFUNCTION("""COMPUTED_VALUE"""),46023.0)</f>
        <v>46023</v>
      </c>
      <c r="R165" s="6"/>
      <c r="S165" s="6" t="str">
        <f>IFERROR(__xludf.DUMMYFUNCTION("""COMPUTED_VALUE"""),"NL858615130B01")</f>
        <v>NL858615130B01</v>
      </c>
      <c r="T165" s="6">
        <f>IFERROR(__xludf.DUMMYFUNCTION("""COMPUTED_VALUE"""),8.5861513E8)</f>
        <v>858615130</v>
      </c>
      <c r="U165" s="7" t="str">
        <f>IFERROR(__xludf.DUMMYFUNCTION("""COMPUTED_VALUE"""),"Eenmanszaak")</f>
        <v>Eenmanszaak</v>
      </c>
      <c r="V165" s="7" t="str">
        <f>IFERROR(__xludf.DUMMYFUNCTION("""COMPUTED_VALUE"""),"000033380244")</f>
        <v>000033380244</v>
      </c>
      <c r="W165" s="6"/>
      <c r="X165" s="6"/>
      <c r="Y165" s="6" t="str">
        <f>IFERROR(__xludf.DUMMYFUNCTION("""COMPUTED_VALUE"""),"Hr.")</f>
        <v>Hr.</v>
      </c>
      <c r="Z165" s="6" t="str">
        <f>IFERROR(__xludf.DUMMYFUNCTION("""COMPUTED_VALUE"""),"Mario Naydenov")</f>
        <v>Mario Naydenov</v>
      </c>
      <c r="AA165" s="6" t="str">
        <f>IFERROR(__xludf.DUMMYFUNCTION("""COMPUTED_VALUE"""),"Kutsev")</f>
        <v>Kutsev</v>
      </c>
      <c r="AB165" s="6" t="str">
        <f>IFERROR(__xludf.DUMMYFUNCTION("""COMPUTED_VALUE"""),"M.N.")</f>
        <v>M.N.</v>
      </c>
      <c r="AC165" s="6">
        <f>IFERROR(__xludf.DUMMYFUNCTION("""COMPUTED_VALUE"""),6.66233573E8)</f>
        <v>666233573</v>
      </c>
      <c r="AD165" s="9">
        <f>IFERROR(__xludf.DUMMYFUNCTION("""COMPUTED_VALUE"""),27502.0)</f>
        <v>27502</v>
      </c>
      <c r="AE165" s="6" t="str">
        <f>IFERROR(__xludf.DUMMYFUNCTION("""COMPUTED_VALUE"""),"bg")</f>
        <v>bg</v>
      </c>
      <c r="AF165" s="6"/>
      <c r="AG165" s="6" t="str">
        <f>IFERROR(__xludf.DUMMYFUNCTION("""COMPUTED_VALUE"""),"Hr. M.N. Kutsev")</f>
        <v>Hr. M.N. Kutsev</v>
      </c>
      <c r="AH165" s="6"/>
      <c r="AI165" s="6"/>
      <c r="AJ165" s="6"/>
      <c r="AK165" s="6"/>
      <c r="AL165" s="6"/>
      <c r="AM165" s="6"/>
      <c r="AN165" s="6" t="str">
        <f>IFERROR(__xludf.DUMMYFUNCTION("""COMPUTED_VALUE"""),"Mario Naydenov Kutsev")</f>
        <v>Mario Naydenov Kutsev</v>
      </c>
      <c r="AO165" s="6">
        <f>IFERROR(__xludf.DUMMYFUNCTION("""COMPUTED_VALUE"""),1773.0)</f>
        <v>1773</v>
      </c>
    </row>
    <row r="166">
      <c r="A166" s="6" t="str">
        <f>IFERROR(__xludf.DUMMYFUNCTION("""COMPUTED_VALUE"""),"Erik99")</f>
        <v>Erik99</v>
      </c>
      <c r="B166" s="6" t="str">
        <f>IFERROR(__xludf.DUMMYFUNCTION("""COMPUTED_VALUE"""),"Erik99")</f>
        <v>Erik99</v>
      </c>
      <c r="C166" s="6">
        <f>IFERROR(__xludf.DUMMYFUNCTION("""COMPUTED_VALUE"""),1669.0)</f>
        <v>1669</v>
      </c>
      <c r="D166" s="7" t="str">
        <f>IFERROR(__xludf.DUMMYFUNCTION("""COMPUTED_VALUE"""),"Erkan Zekerie Halil")</f>
        <v>Erkan Zekerie Halil</v>
      </c>
      <c r="E166" s="7" t="str">
        <f>IFERROR(__xludf.DUMMYFUNCTION("""COMPUTED_VALUE"""),"SBI-code: 4120 - Algemene burgerlijke en utiliteitsbouw")</f>
        <v>SBI-code: 4120 - Algemene burgerlijke en utiliteitsbouw</v>
      </c>
      <c r="F166" s="7" t="str">
        <f>IFERROR(__xludf.DUMMYFUNCTION("""COMPUTED_VALUE"""),"0681223585")</f>
        <v>0681223585</v>
      </c>
      <c r="G166" s="6" t="str">
        <f>IFERROR(__xludf.DUMMYFUNCTION("""COMPUTED_VALUE"""),"halilerkan851@gmail.com")</f>
        <v>halilerkan851@gmail.com</v>
      </c>
      <c r="H166" s="6" t="str">
        <f>IFERROR(__xludf.DUMMYFUNCTION("""COMPUTED_VALUE"""),"Rhododendronstraat 36")</f>
        <v>Rhododendronstraat 36</v>
      </c>
      <c r="I166" s="6" t="str">
        <f>IFERROR(__xludf.DUMMYFUNCTION("""COMPUTED_VALUE"""),"2563TA")</f>
        <v>2563TA</v>
      </c>
      <c r="J166" s="6" t="str">
        <f>IFERROR(__xludf.DUMMYFUNCTION("""COMPUTED_VALUE"""),"s-Gravenhage")</f>
        <v>s-Gravenhage</v>
      </c>
      <c r="K166" s="6" t="str">
        <f>IFERROR(__xludf.DUMMYFUNCTION("""COMPUTED_VALUE"""),"Nederland")</f>
        <v>Nederland</v>
      </c>
      <c r="L166" s="6" t="str">
        <f>IFERROR(__xludf.DUMMYFUNCTION("""COMPUTED_VALUE"""),"Халил")</f>
        <v>Халил</v>
      </c>
      <c r="M166" s="8">
        <f>IFERROR(__xludf.DUMMYFUNCTION("""COMPUTED_VALUE"""),45566.0)</f>
        <v>45566</v>
      </c>
      <c r="N166" s="6" t="str">
        <f>IFERROR(__xludf.DUMMYFUNCTION("""COMPUTED_VALUE"""),"NL265584772B01")</f>
        <v>NL265584772B01</v>
      </c>
      <c r="O166" s="6">
        <f>IFERROR(__xludf.DUMMYFUNCTION("""COMPUTED_VALUE"""),8.7768038E7)</f>
        <v>87768038</v>
      </c>
      <c r="P166" s="6" t="str">
        <f>IFERROR(__xludf.DUMMYFUNCTION("""COMPUTED_VALUE"""),"NL93INGB0398509751")</f>
        <v>NL93INGB0398509751</v>
      </c>
      <c r="Q166" s="9">
        <f>IFERROR(__xludf.DUMMYFUNCTION("""COMPUTED_VALUE"""),44835.0)</f>
        <v>44835</v>
      </c>
      <c r="R166" s="6"/>
      <c r="S166" s="6" t="str">
        <f>IFERROR(__xludf.DUMMYFUNCTION("""COMPUTED_VALUE"""),"NL004475133B22")</f>
        <v>NL004475133B22</v>
      </c>
      <c r="T166" s="6">
        <f>IFERROR(__xludf.DUMMYFUNCTION("""COMPUTED_VALUE"""),2.65584772E8)</f>
        <v>265584772</v>
      </c>
      <c r="U166" s="7" t="str">
        <f>IFERROR(__xludf.DUMMYFUNCTION("""COMPUTED_VALUE"""),"Eenmanszaak")</f>
        <v>Eenmanszaak</v>
      </c>
      <c r="V166" s="7" t="str">
        <f>IFERROR(__xludf.DUMMYFUNCTION("""COMPUTED_VALUE"""),"000053664280")</f>
        <v>000053664280</v>
      </c>
      <c r="W166" s="6" t="str">
        <f>IFERROR(__xludf.DUMMYFUNCTION("""COMPUTED_VALUE"""),"ink.erik99.2288aa@zarabota.nl")</f>
        <v>ink.erik99.2288aa@zarabota.nl</v>
      </c>
      <c r="X166" s="6" t="str">
        <f>IFERROR(__xludf.DUMMYFUNCTION("""COMPUTED_VALUE"""),"ver.erik99.2288aa@zarabota.nl")</f>
        <v>ver.erik99.2288aa@zarabota.nl</v>
      </c>
      <c r="Y166" s="6" t="str">
        <f>IFERROR(__xludf.DUMMYFUNCTION("""COMPUTED_VALUE"""),"Hr.")</f>
        <v>Hr.</v>
      </c>
      <c r="Z166" s="6" t="str">
        <f>IFERROR(__xludf.DUMMYFUNCTION("""COMPUTED_VALUE"""),"Erkan Zekerie")</f>
        <v>Erkan Zekerie</v>
      </c>
      <c r="AA166" s="6" t="str">
        <f>IFERROR(__xludf.DUMMYFUNCTION("""COMPUTED_VALUE"""),"Halil")</f>
        <v>Halil</v>
      </c>
      <c r="AB166" s="6" t="str">
        <f>IFERROR(__xludf.DUMMYFUNCTION("""COMPUTED_VALUE"""),"E.Z.")</f>
        <v>E.Z.</v>
      </c>
      <c r="AC166" s="6">
        <f>IFERROR(__xludf.DUMMYFUNCTION("""COMPUTED_VALUE"""),2.65584772E8)</f>
        <v>265584772</v>
      </c>
      <c r="AD166" s="9">
        <f>IFERROR(__xludf.DUMMYFUNCTION("""COMPUTED_VALUE"""),27687.0)</f>
        <v>27687</v>
      </c>
      <c r="AE166" s="6" t="str">
        <f>IFERROR(__xludf.DUMMYFUNCTION("""COMPUTED_VALUE"""),"bg")</f>
        <v>bg</v>
      </c>
      <c r="AF166" s="6" t="str">
        <f>IFERROR(__xludf.DUMMYFUNCTION("""COMPUTED_VALUE"""),"Kardzhali")</f>
        <v>Kardzhali</v>
      </c>
      <c r="AG166" s="6" t="str">
        <f>IFERROR(__xludf.DUMMYFUNCTION("""COMPUTED_VALUE"""),"Hr. E.Z. Halil")</f>
        <v>Hr. E.Z. Halil</v>
      </c>
      <c r="AH166" s="6"/>
      <c r="AI166" s="6"/>
      <c r="AJ166" s="6"/>
      <c r="AK166" s="6"/>
      <c r="AL166" s="6"/>
      <c r="AM166" s="6" t="str">
        <f>IFERROR(__xludf.DUMMYFUNCTION("""COMPUTED_VALUE"""),"Turkije")</f>
        <v>Turkije</v>
      </c>
      <c r="AN166" s="6" t="str">
        <f>IFERROR(__xludf.DUMMYFUNCTION("""COMPUTED_VALUE"""),"Erkan Zekerie Halil")</f>
        <v>Erkan Zekerie Halil</v>
      </c>
      <c r="AO166" s="6"/>
    </row>
    <row r="167">
      <c r="A167" s="6" t="str">
        <f>IFERROR(__xludf.DUMMYFUNCTION("""COMPUTED_VALUE"""),"Erko 90 Bouwbedrijf")</f>
        <v>Erko 90 Bouwbedrijf</v>
      </c>
      <c r="B167" s="6" t="str">
        <f>IFERROR(__xludf.DUMMYFUNCTION("""COMPUTED_VALUE"""),"Erko 90 Bouwbedrijf")</f>
        <v>Erko 90 Bouwbedrijf</v>
      </c>
      <c r="C167" s="6">
        <f>IFERROR(__xludf.DUMMYFUNCTION("""COMPUTED_VALUE"""),288.0)</f>
        <v>288</v>
      </c>
      <c r="D167" s="7" t="str">
        <f>IFERROR(__xludf.DUMMYFUNCTION("""COMPUTED_VALUE"""),"Erkin Mahmud Chalak")</f>
        <v>Erkin Mahmud Chalak</v>
      </c>
      <c r="E167" s="7" t="str">
        <f>IFERROR(__xludf.DUMMYFUNCTION("""COMPUTED_VALUE"""),"SBI-code: 4120 - Algemene burgerlijke en utiliteitsbouw")</f>
        <v>SBI-code: 4120 - Algemene burgerlijke en utiliteitsbouw</v>
      </c>
      <c r="F167" s="7" t="str">
        <f>IFERROR(__xludf.DUMMYFUNCTION("""COMPUTED_VALUE"""),"0615588077")</f>
        <v>0615588077</v>
      </c>
      <c r="G167" s="6" t="str">
        <f>IFERROR(__xludf.DUMMYFUNCTION("""COMPUTED_VALUE"""),"erko90bouwbedrijf@gmail.com")</f>
        <v>erko90bouwbedrijf@gmail.com</v>
      </c>
      <c r="H167" s="6" t="str">
        <f>IFERROR(__xludf.DUMMYFUNCTION("""COMPUTED_VALUE"""),"Goeverneurlaan 225")</f>
        <v>Goeverneurlaan 225</v>
      </c>
      <c r="I167" s="6" t="str">
        <f>IFERROR(__xludf.DUMMYFUNCTION("""COMPUTED_VALUE"""),"2523BE")</f>
        <v>2523BE</v>
      </c>
      <c r="J167" s="6" t="str">
        <f>IFERROR(__xludf.DUMMYFUNCTION("""COMPUTED_VALUE"""),"s-Gravenhage")</f>
        <v>s-Gravenhage</v>
      </c>
      <c r="K167" s="6" t="str">
        <f>IFERROR(__xludf.DUMMYFUNCTION("""COMPUTED_VALUE"""),"Nederland")</f>
        <v>Nederland</v>
      </c>
      <c r="L167" s="6" t="str">
        <f>IFERROR(__xludf.DUMMYFUNCTION("""COMPUTED_VALUE"""),"Чалак")</f>
        <v>Чалак</v>
      </c>
      <c r="M167" s="8">
        <f>IFERROR(__xludf.DUMMYFUNCTION("""COMPUTED_VALUE"""),43175.0)</f>
        <v>43175</v>
      </c>
      <c r="N167" s="6" t="str">
        <f>IFERROR(__xludf.DUMMYFUNCTION("""COMPUTED_VALUE"""),"NL547925281B01")</f>
        <v>NL547925281B01</v>
      </c>
      <c r="O167" s="6">
        <f>IFERROR(__xludf.DUMMYFUNCTION("""COMPUTED_VALUE"""),6.5346491E7)</f>
        <v>65346491</v>
      </c>
      <c r="P167" s="6" t="str">
        <f>IFERROR(__xludf.DUMMYFUNCTION("""COMPUTED_VALUE"""),"NL33INGB0007156862")</f>
        <v>NL33INGB0007156862</v>
      </c>
      <c r="Q167" s="9">
        <f>IFERROR(__xludf.DUMMYFUNCTION("""COMPUTED_VALUE"""),42416.0)</f>
        <v>42416</v>
      </c>
      <c r="R167" s="6"/>
      <c r="S167" s="6" t="str">
        <f>IFERROR(__xludf.DUMMYFUNCTION("""COMPUTED_VALUE"""),"NL002498814B03")</f>
        <v>NL002498814B03</v>
      </c>
      <c r="T167" s="6">
        <f>IFERROR(__xludf.DUMMYFUNCTION("""COMPUTED_VALUE"""),5.47925281E8)</f>
        <v>547925281</v>
      </c>
      <c r="U167" s="7" t="str">
        <f>IFERROR(__xludf.DUMMYFUNCTION("""COMPUTED_VALUE"""),"Eenmanszaak")</f>
        <v>Eenmanszaak</v>
      </c>
      <c r="V167" s="7" t="str">
        <f>IFERROR(__xludf.DUMMYFUNCTION("""COMPUTED_VALUE"""),"000034079408")</f>
        <v>000034079408</v>
      </c>
      <c r="W167" s="6" t="str">
        <f>IFERROR(__xludf.DUMMYFUNCTION("""COMPUTED_VALUE"""),"ink.erko90bouwbedrijf.2288aa@zarabota.nl")</f>
        <v>ink.erko90bouwbedrijf.2288aa@zarabota.nl</v>
      </c>
      <c r="X167" s="6" t="str">
        <f>IFERROR(__xludf.DUMMYFUNCTION("""COMPUTED_VALUE"""),"ver.erko90bouwbedrijf.2288aa@zarabota.nl")</f>
        <v>ver.erko90bouwbedrijf.2288aa@zarabota.nl</v>
      </c>
      <c r="Y167" s="6" t="str">
        <f>IFERROR(__xludf.DUMMYFUNCTION("""COMPUTED_VALUE"""),"Hr.")</f>
        <v>Hr.</v>
      </c>
      <c r="Z167" s="6" t="str">
        <f>IFERROR(__xludf.DUMMYFUNCTION("""COMPUTED_VALUE"""),"Erkin Mahmud")</f>
        <v>Erkin Mahmud</v>
      </c>
      <c r="AA167" s="6" t="str">
        <f>IFERROR(__xludf.DUMMYFUNCTION("""COMPUTED_VALUE"""),"Chalak")</f>
        <v>Chalak</v>
      </c>
      <c r="AB167" s="6" t="str">
        <f>IFERROR(__xludf.DUMMYFUNCTION("""COMPUTED_VALUE"""),"E.M.")</f>
        <v>E.M.</v>
      </c>
      <c r="AC167" s="6">
        <f>IFERROR(__xludf.DUMMYFUNCTION("""COMPUTED_VALUE"""),5.47925281E8)</f>
        <v>547925281</v>
      </c>
      <c r="AD167" s="9">
        <f>IFERROR(__xludf.DUMMYFUNCTION("""COMPUTED_VALUE"""),32929.0)</f>
        <v>32929</v>
      </c>
      <c r="AE167" s="6" t="str">
        <f>IFERROR(__xludf.DUMMYFUNCTION("""COMPUTED_VALUE"""),"bg")</f>
        <v>bg</v>
      </c>
      <c r="AF167" s="6" t="str">
        <f>IFERROR(__xludf.DUMMYFUNCTION("""COMPUTED_VALUE"""),"Razdrad")</f>
        <v>Razdrad</v>
      </c>
      <c r="AG167" s="6" t="str">
        <f>IFERROR(__xludf.DUMMYFUNCTION("""COMPUTED_VALUE"""),"Hr. E.M. Chalak")</f>
        <v>Hr. E.M. Chalak</v>
      </c>
      <c r="AH167" s="6" t="str">
        <f>IFERROR(__xludf.DUMMYFUNCTION("""COMPUTED_VALUE"""),"NL89INGB0702200042")</f>
        <v>NL89INGB0702200042</v>
      </c>
      <c r="AI167" s="6"/>
      <c r="AJ167" s="6" t="str">
        <f>IFERROR(__xludf.DUMMYFUNCTION("""COMPUTED_VALUE"""),"ID Kaart")</f>
        <v>ID Kaart</v>
      </c>
      <c r="AK167" s="6">
        <f>IFERROR(__xludf.DUMMYFUNCTION("""COMPUTED_VALUE"""),6.4734398E8)</f>
        <v>647343980</v>
      </c>
      <c r="AL167" s="9">
        <f>IFERROR(__xludf.DUMMYFUNCTION("""COMPUTED_VALUE"""),46705.0)</f>
        <v>46705</v>
      </c>
      <c r="AM167" s="6"/>
      <c r="AN167" s="6" t="str">
        <f>IFERROR(__xludf.DUMMYFUNCTION("""COMPUTED_VALUE"""),"Erkin Mahmud Chalak")</f>
        <v>Erkin Mahmud Chalak</v>
      </c>
      <c r="AO167" s="6"/>
    </row>
    <row r="168">
      <c r="A168" s="6" t="str">
        <f>IFERROR(__xludf.DUMMYFUNCTION("""COMPUTED_VALUE"""),"ESHR B.V.")</f>
        <v>ESHR B.V.</v>
      </c>
      <c r="B168" s="6" t="str">
        <f>IFERROR(__xludf.DUMMYFUNCTION("""COMPUTED_VALUE"""),"ESHR B.V.")</f>
        <v>ESHR B.V.</v>
      </c>
      <c r="C168" s="6">
        <f>IFERROR(__xludf.DUMMYFUNCTION("""COMPUTED_VALUE"""),1409.0)</f>
        <v>1409</v>
      </c>
      <c r="D168" s="7" t="str">
        <f>IFERROR(__xludf.DUMMYFUNCTION("""COMPUTED_VALUE"""),"Desislav Plamenov Dyakov")</f>
        <v>Desislav Plamenov Dyakov</v>
      </c>
      <c r="E168" s="7" t="str">
        <f>IFERROR(__xludf.DUMMYFUNCTION("""COMPUTED_VALUE"""),"SBI-code: 4120 - Algemene burgerlijke en utiliteitsbouw")</f>
        <v>SBI-code: 4120 - Algemene burgerlijke en utiliteitsbouw</v>
      </c>
      <c r="F168" s="7" t="str">
        <f>IFERROR(__xludf.DUMMYFUNCTION("""COMPUTED_VALUE"""),"0619232971")</f>
        <v>0619232971</v>
      </c>
      <c r="G168" s="6" t="str">
        <f>IFERROR(__xludf.DUMMYFUNCTION("""COMPUTED_VALUE"""),"office@eshr.nl")</f>
        <v>office@eshr.nl</v>
      </c>
      <c r="H168" s="6" t="str">
        <f>IFERROR(__xludf.DUMMYFUNCTION("""COMPUTED_VALUE"""),"Parnassusweg 967")</f>
        <v>Parnassusweg 967</v>
      </c>
      <c r="I168" s="6" t="str">
        <f>IFERROR(__xludf.DUMMYFUNCTION("""COMPUTED_VALUE"""),"1082LZ")</f>
        <v>1082LZ</v>
      </c>
      <c r="J168" s="6" t="str">
        <f>IFERROR(__xludf.DUMMYFUNCTION("""COMPUTED_VALUE"""),"Amsterdam")</f>
        <v>Amsterdam</v>
      </c>
      <c r="K168" s="6" t="str">
        <f>IFERROR(__xludf.DUMMYFUNCTION("""COMPUTED_VALUE"""),"Nederland")</f>
        <v>Nederland</v>
      </c>
      <c r="L168" s="6" t="str">
        <f>IFERROR(__xludf.DUMMYFUNCTION("""COMPUTED_VALUE"""),"Дяков")</f>
        <v>Дяков</v>
      </c>
      <c r="M168" s="8">
        <f>IFERROR(__xludf.DUMMYFUNCTION("""COMPUTED_VALUE"""),44844.0)</f>
        <v>44844</v>
      </c>
      <c r="N168" s="6" t="str">
        <f>IFERROR(__xludf.DUMMYFUNCTION("""COMPUTED_VALUE"""),"NL864416465B01")</f>
        <v>NL864416465B01</v>
      </c>
      <c r="O168" s="6">
        <f>IFERROR(__xludf.DUMMYFUNCTION("""COMPUTED_VALUE"""),8.7821095E7)</f>
        <v>87821095</v>
      </c>
      <c r="P168" s="6" t="str">
        <f>IFERROR(__xludf.DUMMYFUNCTION("""COMPUTED_VALUE"""),"NL86INGB0399191011")</f>
        <v>NL86INGB0399191011</v>
      </c>
      <c r="Q168" s="9">
        <f>IFERROR(__xludf.DUMMYFUNCTION("""COMPUTED_VALUE"""),44844.0)</f>
        <v>44844</v>
      </c>
      <c r="R168" s="6"/>
      <c r="S168" s="6" t="str">
        <f>IFERROR(__xludf.DUMMYFUNCTION("""COMPUTED_VALUE"""),"NL864416465B01")</f>
        <v>NL864416465B01</v>
      </c>
      <c r="T168" s="6">
        <f>IFERROR(__xludf.DUMMYFUNCTION("""COMPUTED_VALUE"""),8.64416465E8)</f>
        <v>864416465</v>
      </c>
      <c r="U168" s="7" t="str">
        <f>IFERROR(__xludf.DUMMYFUNCTION("""COMPUTED_VALUE"""),"Besloten Vennootschap")</f>
        <v>Besloten Vennootschap</v>
      </c>
      <c r="V168" s="7" t="str">
        <f>IFERROR(__xludf.DUMMYFUNCTION("""COMPUTED_VALUE"""),"000053715446")</f>
        <v>000053715446</v>
      </c>
      <c r="W168" s="6" t="str">
        <f>IFERROR(__xludf.DUMMYFUNCTION("""COMPUTED_VALUE"""),"ink.eshrbv.2288aa@zarabota.nl")</f>
        <v>ink.eshrbv.2288aa@zarabota.nl</v>
      </c>
      <c r="X168" s="6" t="str">
        <f>IFERROR(__xludf.DUMMYFUNCTION("""COMPUTED_VALUE"""),"ver.eshrbv.2288aa@zarabota.nl")</f>
        <v>ver.eshrbv.2288aa@zarabota.nl</v>
      </c>
      <c r="Y168" s="6" t="str">
        <f>IFERROR(__xludf.DUMMYFUNCTION("""COMPUTED_VALUE"""),"Hr.")</f>
        <v>Hr.</v>
      </c>
      <c r="Z168" s="6" t="str">
        <f>IFERROR(__xludf.DUMMYFUNCTION("""COMPUTED_VALUE"""),"Desislav Plamenov")</f>
        <v>Desislav Plamenov</v>
      </c>
      <c r="AA168" s="6" t="str">
        <f>IFERROR(__xludf.DUMMYFUNCTION("""COMPUTED_VALUE"""),"Dyakov")</f>
        <v>Dyakov</v>
      </c>
      <c r="AB168" s="6" t="str">
        <f>IFERROR(__xludf.DUMMYFUNCTION("""COMPUTED_VALUE"""),"D.P.")</f>
        <v>D.P.</v>
      </c>
      <c r="AC168" s="6">
        <f>IFERROR(__xludf.DUMMYFUNCTION("""COMPUTED_VALUE"""),5.4999203E8)</f>
        <v>549992030</v>
      </c>
      <c r="AD168" s="9">
        <f>IFERROR(__xludf.DUMMYFUNCTION("""COMPUTED_VALUE"""),32855.0)</f>
        <v>32855</v>
      </c>
      <c r="AE168" s="6" t="str">
        <f>IFERROR(__xludf.DUMMYFUNCTION("""COMPUTED_VALUE"""),"bg")</f>
        <v>bg</v>
      </c>
      <c r="AF168" s="6" t="str">
        <f>IFERROR(__xludf.DUMMYFUNCTION("""COMPUTED_VALUE"""),"Sofia")</f>
        <v>Sofia</v>
      </c>
      <c r="AG168" s="6" t="str">
        <f>IFERROR(__xludf.DUMMYFUNCTION("""COMPUTED_VALUE"""),"Hr. D.P. Dyakov")</f>
        <v>Hr. D.P. Dyakov</v>
      </c>
      <c r="AH168" s="6" t="str">
        <f>IFERROR(__xludf.DUMMYFUNCTION("""COMPUTED_VALUE"""),"Nl63INGB0652304389")</f>
        <v>Nl63INGB0652304389</v>
      </c>
      <c r="AI168" s="6"/>
      <c r="AJ168" s="6"/>
      <c r="AK168" s="6">
        <f>IFERROR(__xludf.DUMMYFUNCTION("""COMPUTED_VALUE"""),6.45788192E8)</f>
        <v>645788192</v>
      </c>
      <c r="AL168" s="6"/>
      <c r="AM168" s="6" t="str">
        <f>IFERROR(__xludf.DUMMYFUNCTION("""COMPUTED_VALUE"""),"Bulgarije")</f>
        <v>Bulgarije</v>
      </c>
      <c r="AN168" s="6" t="str">
        <f>IFERROR(__xludf.DUMMYFUNCTION("""COMPUTED_VALUE"""),"Desislav Plamenov Dyakov")</f>
        <v>Desislav Plamenov Dyakov</v>
      </c>
      <c r="AO168" s="6">
        <f>IFERROR(__xludf.DUMMYFUNCTION("""COMPUTED_VALUE"""),1409.0)</f>
        <v>1409</v>
      </c>
    </row>
    <row r="169">
      <c r="A169" s="6" t="str">
        <f>IFERROR(__xludf.DUMMYFUNCTION("""COMPUTED_VALUE"""),"Esil Klussenbedrijf")</f>
        <v>Esil Klussenbedrijf</v>
      </c>
      <c r="B169" s="6" t="str">
        <f>IFERROR(__xludf.DUMMYFUNCTION("""COMPUTED_VALUE"""),"Esil Klussenbedrijf")</f>
        <v>Esil Klussenbedrijf</v>
      </c>
      <c r="C169" s="6">
        <f>IFERROR(__xludf.DUMMYFUNCTION("""COMPUTED_VALUE"""),754.0)</f>
        <v>754</v>
      </c>
      <c r="D169" s="7" t="str">
        <f>IFERROR(__xludf.DUMMYFUNCTION("""COMPUTED_VALUE"""),"Yusein Zhenal Yusein")</f>
        <v>Yusein Zhenal Yusein</v>
      </c>
      <c r="E169" s="7" t="str">
        <f>IFERROR(__xludf.DUMMYFUNCTION("""COMPUTED_VALUE"""),"SBI-code: 4120 - Algemene burgerlijke en utiliteitsbouw")</f>
        <v>SBI-code: 4120 - Algemene burgerlijke en utiliteitsbouw</v>
      </c>
      <c r="F169" s="7" t="str">
        <f>IFERROR(__xludf.DUMMYFUNCTION("""COMPUTED_VALUE"""),"0685512865")</f>
        <v>0685512865</v>
      </c>
      <c r="G169" s="6" t="str">
        <f>IFERROR(__xludf.DUMMYFUNCTION("""COMPUTED_VALUE"""),"yusein_1988_esil@hotmail.com")</f>
        <v>yusein_1988_esil@hotmail.com</v>
      </c>
      <c r="H169" s="6" t="str">
        <f>IFERROR(__xludf.DUMMYFUNCTION("""COMPUTED_VALUE"""),"Schoutendreef 251")</f>
        <v>Schoutendreef 251</v>
      </c>
      <c r="I169" s="6" t="str">
        <f>IFERROR(__xludf.DUMMYFUNCTION("""COMPUTED_VALUE"""),"2542LH")</f>
        <v>2542LH</v>
      </c>
      <c r="J169" s="6" t="str">
        <f>IFERROR(__xludf.DUMMYFUNCTION("""COMPUTED_VALUE"""),"s-Gravenhage")</f>
        <v>s-Gravenhage</v>
      </c>
      <c r="K169" s="6" t="str">
        <f>IFERROR(__xludf.DUMMYFUNCTION("""COMPUTED_VALUE"""),"Nederland")</f>
        <v>Nederland</v>
      </c>
      <c r="L169" s="6" t="str">
        <f>IFERROR(__xludf.DUMMYFUNCTION("""COMPUTED_VALUE"""),"Юсеин")</f>
        <v>Юсеин</v>
      </c>
      <c r="M169" s="8">
        <f>IFERROR(__xludf.DUMMYFUNCTION("""COMPUTED_VALUE"""),43525.0)</f>
        <v>43525</v>
      </c>
      <c r="N169" s="6" t="str">
        <f>IFERROR(__xludf.DUMMYFUNCTION("""COMPUTED_VALUE"""),"NL641517749B01")</f>
        <v>NL641517749B01</v>
      </c>
      <c r="O169" s="6">
        <f>IFERROR(__xludf.DUMMYFUNCTION("""COMPUTED_VALUE"""),7.4125141E7)</f>
        <v>74125141</v>
      </c>
      <c r="P169" s="6" t="str">
        <f>IFERROR(__xludf.DUMMYFUNCTION("""COMPUTED_VALUE"""),"NL48INGB0009018798")</f>
        <v>NL48INGB0009018798</v>
      </c>
      <c r="Q169" s="9">
        <f>IFERROR(__xludf.DUMMYFUNCTION("""COMPUTED_VALUE"""),43525.0)</f>
        <v>43525</v>
      </c>
      <c r="R169" s="6"/>
      <c r="S169" s="6" t="str">
        <f>IFERROR(__xludf.DUMMYFUNCTION("""COMPUTED_VALUE"""),"NL002511564B04")</f>
        <v>NL002511564B04</v>
      </c>
      <c r="T169" s="6">
        <f>IFERROR(__xludf.DUMMYFUNCTION("""COMPUTED_VALUE"""),6.41517749E8)</f>
        <v>641517749</v>
      </c>
      <c r="U169" s="7" t="str">
        <f>IFERROR(__xludf.DUMMYFUNCTION("""COMPUTED_VALUE"""),"Eenmanszaak")</f>
        <v>Eenmanszaak</v>
      </c>
      <c r="V169" s="7" t="str">
        <f>IFERROR(__xludf.DUMMYFUNCTION("""COMPUTED_VALUE"""),"000042107296")</f>
        <v>000042107296</v>
      </c>
      <c r="W169" s="6" t="str">
        <f>IFERROR(__xludf.DUMMYFUNCTION("""COMPUTED_VALUE"""),"ink.esilklussenbedrijf.2288aa@zarabota.nl")</f>
        <v>ink.esilklussenbedrijf.2288aa@zarabota.nl</v>
      </c>
      <c r="X169" s="6" t="str">
        <f>IFERROR(__xludf.DUMMYFUNCTION("""COMPUTED_VALUE"""),"ver.esilklussenbedrijf.2288aa@zarabota.nl")</f>
        <v>ver.esilklussenbedrijf.2288aa@zarabota.nl</v>
      </c>
      <c r="Y169" s="6" t="str">
        <f>IFERROR(__xludf.DUMMYFUNCTION("""COMPUTED_VALUE"""),"Hr.")</f>
        <v>Hr.</v>
      </c>
      <c r="Z169" s="6" t="str">
        <f>IFERROR(__xludf.DUMMYFUNCTION("""COMPUTED_VALUE"""),"Yusein Zhenal")</f>
        <v>Yusein Zhenal</v>
      </c>
      <c r="AA169" s="6" t="str">
        <f>IFERROR(__xludf.DUMMYFUNCTION("""COMPUTED_VALUE"""),"Yusein")</f>
        <v>Yusein</v>
      </c>
      <c r="AB169" s="6" t="str">
        <f>IFERROR(__xludf.DUMMYFUNCTION("""COMPUTED_VALUE"""),"Y.Z.")</f>
        <v>Y.Z.</v>
      </c>
      <c r="AC169" s="6">
        <f>IFERROR(__xludf.DUMMYFUNCTION("""COMPUTED_VALUE"""),6.41517749E8)</f>
        <v>641517749</v>
      </c>
      <c r="AD169" s="9">
        <f>IFERROR(__xludf.DUMMYFUNCTION("""COMPUTED_VALUE"""),32306.0)</f>
        <v>32306</v>
      </c>
      <c r="AE169" s="6" t="str">
        <f>IFERROR(__xludf.DUMMYFUNCTION("""COMPUTED_VALUE"""),"bg")</f>
        <v>bg</v>
      </c>
      <c r="AF169" s="6" t="str">
        <f>IFERROR(__xludf.DUMMYFUNCTION("""COMPUTED_VALUE"""),"Kardzhali")</f>
        <v>Kardzhali</v>
      </c>
      <c r="AG169" s="6" t="str">
        <f>IFERROR(__xludf.DUMMYFUNCTION("""COMPUTED_VALUE"""),"Hr. Y.Z. Yusein")</f>
        <v>Hr. Y.Z. Yusein</v>
      </c>
      <c r="AH169" s="6"/>
      <c r="AI169" s="6"/>
      <c r="AJ169" s="6" t="str">
        <f>IFERROR(__xludf.DUMMYFUNCTION("""COMPUTED_VALUE"""),"ID Kaart")</f>
        <v>ID Kaart</v>
      </c>
      <c r="AK169" s="6">
        <f>IFERROR(__xludf.DUMMYFUNCTION("""COMPUTED_VALUE"""),6.46434386E8)</f>
        <v>646434386</v>
      </c>
      <c r="AL169" s="9">
        <f>IFERROR(__xludf.DUMMYFUNCTION("""COMPUTED_VALUE"""),46176.0)</f>
        <v>46176</v>
      </c>
      <c r="AM169" s="6"/>
      <c r="AN169" s="6" t="str">
        <f>IFERROR(__xludf.DUMMYFUNCTION("""COMPUTED_VALUE"""),"Yusein Zhenal Yusein")</f>
        <v>Yusein Zhenal Yusein</v>
      </c>
      <c r="AO169" s="6"/>
    </row>
    <row r="170">
      <c r="A170" s="6" t="str">
        <f>IFERROR(__xludf.DUMMYFUNCTION("""COMPUTED_VALUE"""),"EV ProBuilds Diensten")</f>
        <v>EV ProBuilds Diensten</v>
      </c>
      <c r="B170" s="6" t="str">
        <f>IFERROR(__xludf.DUMMYFUNCTION("""COMPUTED_VALUE"""),"EV ProBuilds Diensten")</f>
        <v>EV ProBuilds Diensten</v>
      </c>
      <c r="C170" s="6">
        <f>IFERROR(__xludf.DUMMYFUNCTION("""COMPUTED_VALUE"""),1775.0)</f>
        <v>1775</v>
      </c>
      <c r="D170" s="7" t="str">
        <f>IFERROR(__xludf.DUMMYFUNCTION("""COMPUTED_VALUE"""),"Eduard Vladimirov Valchev")</f>
        <v>Eduard Vladimirov Valchev</v>
      </c>
      <c r="E170" s="7" t="str">
        <f>IFERROR(__xludf.DUMMYFUNCTION("""COMPUTED_VALUE"""),"SBI-code: 4120 - Algemene burgerlijke en utiliteitsbouw")</f>
        <v>SBI-code: 4120 - Algemene burgerlijke en utiliteitsbouw</v>
      </c>
      <c r="F170" s="7" t="str">
        <f>IFERROR(__xludf.DUMMYFUNCTION("""COMPUTED_VALUE"""),"0644233626")</f>
        <v>0644233626</v>
      </c>
      <c r="G170" s="6" t="str">
        <f>IFERROR(__xludf.DUMMYFUNCTION("""COMPUTED_VALUE"""),"vulchevridge@icloud.com")</f>
        <v>vulchevridge@icloud.com</v>
      </c>
      <c r="H170" s="6" t="str">
        <f>IFERROR(__xludf.DUMMYFUNCTION("""COMPUTED_VALUE"""),"Hofstede 191")</f>
        <v>Hofstede 191</v>
      </c>
      <c r="I170" s="6" t="str">
        <f>IFERROR(__xludf.DUMMYFUNCTION("""COMPUTED_VALUE"""),"8212WN")</f>
        <v>8212WN</v>
      </c>
      <c r="J170" s="6" t="str">
        <f>IFERROR(__xludf.DUMMYFUNCTION("""COMPUTED_VALUE"""),"Lelystad")</f>
        <v>Lelystad</v>
      </c>
      <c r="K170" s="6" t="str">
        <f>IFERROR(__xludf.DUMMYFUNCTION("""COMPUTED_VALUE"""),"Nederland")</f>
        <v>Nederland</v>
      </c>
      <c r="L170" s="6" t="str">
        <f>IFERROR(__xludf.DUMMYFUNCTION("""COMPUTED_VALUE"""),"Вълчев")</f>
        <v>Вълчев</v>
      </c>
      <c r="M170" s="8">
        <f>IFERROR(__xludf.DUMMYFUNCTION("""COMPUTED_VALUE"""),46054.0)</f>
        <v>46054</v>
      </c>
      <c r="N170" s="6" t="str">
        <f>IFERROR(__xludf.DUMMYFUNCTION("""COMPUTED_VALUE"""),"NL464777185B01")</f>
        <v>NL464777185B01</v>
      </c>
      <c r="O170" s="6">
        <f>IFERROR(__xludf.DUMMYFUNCTION("""COMPUTED_VALUE"""),9.9621738E7)</f>
        <v>99621738</v>
      </c>
      <c r="P170" s="6" t="str">
        <f>IFERROR(__xludf.DUMMYFUNCTION("""COMPUTED_VALUE"""),"NL03INGB0116089857")</f>
        <v>NL03INGB0116089857</v>
      </c>
      <c r="Q170" s="9">
        <f>IFERROR(__xludf.DUMMYFUNCTION("""COMPUTED_VALUE"""),46054.0)</f>
        <v>46054</v>
      </c>
      <c r="R170" s="6"/>
      <c r="S170" s="6" t="str">
        <f>IFERROR(__xludf.DUMMYFUNCTION("""COMPUTED_VALUE"""),"NL005400347B61")</f>
        <v>NL005400347B61</v>
      </c>
      <c r="T170" s="6">
        <f>IFERROR(__xludf.DUMMYFUNCTION("""COMPUTED_VALUE"""),4.64777185E8)</f>
        <v>464777185</v>
      </c>
      <c r="U170" s="7" t="str">
        <f>IFERROR(__xludf.DUMMYFUNCTION("""COMPUTED_VALUE"""),"Eenmanszaak")</f>
        <v>Eenmanszaak</v>
      </c>
      <c r="V170" s="7" t="str">
        <f>IFERROR(__xludf.DUMMYFUNCTION("""COMPUTED_VALUE"""),"000064680169")</f>
        <v>000064680169</v>
      </c>
      <c r="W170" s="6" t="str">
        <f>IFERROR(__xludf.DUMMYFUNCTION("""COMPUTED_VALUE"""),"ink.evpro.2288aa@zarabota.nl")</f>
        <v>ink.evpro.2288aa@zarabota.nl</v>
      </c>
      <c r="X170" s="6" t="str">
        <f>IFERROR(__xludf.DUMMYFUNCTION("""COMPUTED_VALUE"""),"ver.evpro.2288aa@zarabota.nl")</f>
        <v>ver.evpro.2288aa@zarabota.nl</v>
      </c>
      <c r="Y170" s="6" t="str">
        <f>IFERROR(__xludf.DUMMYFUNCTION("""COMPUTED_VALUE"""),"Hr.")</f>
        <v>Hr.</v>
      </c>
      <c r="Z170" s="6" t="str">
        <f>IFERROR(__xludf.DUMMYFUNCTION("""COMPUTED_VALUE"""),"Eduard Vladimirov")</f>
        <v>Eduard Vladimirov</v>
      </c>
      <c r="AA170" s="6" t="str">
        <f>IFERROR(__xludf.DUMMYFUNCTION("""COMPUTED_VALUE"""),"Valchev")</f>
        <v>Valchev</v>
      </c>
      <c r="AB170" s="6" t="str">
        <f>IFERROR(__xludf.DUMMYFUNCTION("""COMPUTED_VALUE"""),"E.V.")</f>
        <v>E.V.</v>
      </c>
      <c r="AC170" s="6">
        <f>IFERROR(__xludf.DUMMYFUNCTION("""COMPUTED_VALUE"""),4.64777185E8)</f>
        <v>464777185</v>
      </c>
      <c r="AD170" s="9">
        <f>IFERROR(__xludf.DUMMYFUNCTION("""COMPUTED_VALUE"""),36763.0)</f>
        <v>36763</v>
      </c>
      <c r="AE170" s="6" t="str">
        <f>IFERROR(__xludf.DUMMYFUNCTION("""COMPUTED_VALUE"""),"bg")</f>
        <v>bg</v>
      </c>
      <c r="AF170" s="6"/>
      <c r="AG170" s="6" t="str">
        <f>IFERROR(__xludf.DUMMYFUNCTION("""COMPUTED_VALUE"""),"Hr. E.V. Valchev")</f>
        <v>Hr. E.V. Valchev</v>
      </c>
      <c r="AH170" s="6"/>
      <c r="AI170" s="6"/>
      <c r="AJ170" s="6" t="str">
        <f>IFERROR(__xludf.DUMMYFUNCTION("""COMPUTED_VALUE"""),"ID Kaart")</f>
        <v>ID Kaart</v>
      </c>
      <c r="AK170" s="6">
        <f>IFERROR(__xludf.DUMMYFUNCTION("""COMPUTED_VALUE"""),6.49370317E8)</f>
        <v>649370317</v>
      </c>
      <c r="AL170" s="9">
        <f>IFERROR(__xludf.DUMMYFUNCTION("""COMPUTED_VALUE"""),47730.0)</f>
        <v>47730</v>
      </c>
      <c r="AM170" s="6" t="str">
        <f>IFERROR(__xludf.DUMMYFUNCTION("""COMPUTED_VALUE"""),"Bulgarije")</f>
        <v>Bulgarije</v>
      </c>
      <c r="AN170" s="6" t="str">
        <f>IFERROR(__xludf.DUMMYFUNCTION("""COMPUTED_VALUE"""),"Eduard Vladimirov Valchev")</f>
        <v>Eduard Vladimirov Valchev</v>
      </c>
      <c r="AO170" s="6">
        <f>IFERROR(__xludf.DUMMYFUNCTION("""COMPUTED_VALUE"""),1775.0)</f>
        <v>1775</v>
      </c>
    </row>
    <row r="171">
      <c r="A171" s="6" t="str">
        <f>IFERROR(__xludf.DUMMYFUNCTION("""COMPUTED_VALUE"""),"Evgeni Danailov")</f>
        <v>Evgeni Danailov</v>
      </c>
      <c r="B171" s="6" t="str">
        <f>IFERROR(__xludf.DUMMYFUNCTION("""COMPUTED_VALUE"""),"Evgeni Danailov")</f>
        <v>Evgeni Danailov</v>
      </c>
      <c r="C171" s="6">
        <f>IFERROR(__xludf.DUMMYFUNCTION("""COMPUTED_VALUE"""),1044.0)</f>
        <v>1044</v>
      </c>
      <c r="D171" s="7" t="str">
        <f>IFERROR(__xludf.DUMMYFUNCTION("""COMPUTED_VALUE"""),"Evgeni Ivanov Danailov")</f>
        <v>Evgeni Ivanov Danailov</v>
      </c>
      <c r="E171" s="7" t="str">
        <f>IFERROR(__xludf.DUMMYFUNCTION("""COMPUTED_VALUE"""),"SBI-code: 4120 - Algemene burgerlijke en utiliteitsbouw")</f>
        <v>SBI-code: 4120 - Algemene burgerlijke en utiliteitsbouw</v>
      </c>
      <c r="F171" s="7" t="str">
        <f>IFERROR(__xludf.DUMMYFUNCTION("""COMPUTED_VALUE"""),"0616363437")</f>
        <v>0616363437</v>
      </c>
      <c r="G171" s="6" t="str">
        <f>IFERROR(__xludf.DUMMYFUNCTION("""COMPUTED_VALUE"""),"eevvoo86@gmail.com")</f>
        <v>eevvoo86@gmail.com</v>
      </c>
      <c r="H171" s="6" t="str">
        <f>IFERROR(__xludf.DUMMYFUNCTION("""COMPUTED_VALUE"""),"Soerenseweg 3")</f>
        <v>Soerenseweg 3</v>
      </c>
      <c r="I171" s="6" t="str">
        <f>IFERROR(__xludf.DUMMYFUNCTION("""COMPUTED_VALUE"""),"7314CA")</f>
        <v>7314CA</v>
      </c>
      <c r="J171" s="6" t="str">
        <f>IFERROR(__xludf.DUMMYFUNCTION("""COMPUTED_VALUE"""),"Apeldoorn")</f>
        <v>Apeldoorn</v>
      </c>
      <c r="K171" s="6" t="str">
        <f>IFERROR(__xludf.DUMMYFUNCTION("""COMPUTED_VALUE"""),"Nederland")</f>
        <v>Nederland</v>
      </c>
      <c r="L171" s="6" t="str">
        <f>IFERROR(__xludf.DUMMYFUNCTION("""COMPUTED_VALUE"""),"Данаилов")</f>
        <v>Данаилов</v>
      </c>
      <c r="M171" s="8">
        <f>IFERROR(__xludf.DUMMYFUNCTION("""COMPUTED_VALUE"""),44126.0)</f>
        <v>44126</v>
      </c>
      <c r="N171" s="6" t="str">
        <f>IFERROR(__xludf.DUMMYFUNCTION("""COMPUTED_VALUE"""),"NL558784288B01")</f>
        <v>NL558784288B01</v>
      </c>
      <c r="O171" s="6">
        <f>IFERROR(__xludf.DUMMYFUNCTION("""COMPUTED_VALUE"""),8.0806775E7)</f>
        <v>80806775</v>
      </c>
      <c r="P171" s="6" t="str">
        <f>IFERROR(__xludf.DUMMYFUNCTION("""COMPUTED_VALUE"""),"NL45INGB0007181769")</f>
        <v>NL45INGB0007181769</v>
      </c>
      <c r="Q171" s="9">
        <f>IFERROR(__xludf.DUMMYFUNCTION("""COMPUTED_VALUE"""),44126.0)</f>
        <v>44126</v>
      </c>
      <c r="R171" s="6"/>
      <c r="S171" s="6" t="str">
        <f>IFERROR(__xludf.DUMMYFUNCTION("""COMPUTED_VALUE"""),"NL003490702B18")</f>
        <v>NL003490702B18</v>
      </c>
      <c r="T171" s="6">
        <f>IFERROR(__xludf.DUMMYFUNCTION("""COMPUTED_VALUE"""),5.58784288E8)</f>
        <v>558784288</v>
      </c>
      <c r="U171" s="7" t="str">
        <f>IFERROR(__xludf.DUMMYFUNCTION("""COMPUTED_VALUE"""),"Eenmanszaak")</f>
        <v>Eenmanszaak</v>
      </c>
      <c r="V171" s="7" t="str">
        <f>IFERROR(__xludf.DUMMYFUNCTION("""COMPUTED_VALUE"""),"000047142820")</f>
        <v>000047142820</v>
      </c>
      <c r="W171" s="6" t="str">
        <f>IFERROR(__xludf.DUMMYFUNCTION("""COMPUTED_VALUE"""),"ink.evgenidanailov.2288aa@zarabota.nl")</f>
        <v>ink.evgenidanailov.2288aa@zarabota.nl</v>
      </c>
      <c r="X171" s="6" t="str">
        <f>IFERROR(__xludf.DUMMYFUNCTION("""COMPUTED_VALUE"""),"ver.evgenidanailov.2288aa@zarabota.nl")</f>
        <v>ver.evgenidanailov.2288aa@zarabota.nl</v>
      </c>
      <c r="Y171" s="6" t="str">
        <f>IFERROR(__xludf.DUMMYFUNCTION("""COMPUTED_VALUE"""),"Hr.")</f>
        <v>Hr.</v>
      </c>
      <c r="Z171" s="6" t="str">
        <f>IFERROR(__xludf.DUMMYFUNCTION("""COMPUTED_VALUE"""),"Evgeni Ivanov")</f>
        <v>Evgeni Ivanov</v>
      </c>
      <c r="AA171" s="6" t="str">
        <f>IFERROR(__xludf.DUMMYFUNCTION("""COMPUTED_VALUE"""),"Danailov")</f>
        <v>Danailov</v>
      </c>
      <c r="AB171" s="6" t="str">
        <f>IFERROR(__xludf.DUMMYFUNCTION("""COMPUTED_VALUE"""),"E.I.")</f>
        <v>E.I.</v>
      </c>
      <c r="AC171" s="6">
        <f>IFERROR(__xludf.DUMMYFUNCTION("""COMPUTED_VALUE"""),5.58784288E8)</f>
        <v>558784288</v>
      </c>
      <c r="AD171" s="9">
        <f>IFERROR(__xludf.DUMMYFUNCTION("""COMPUTED_VALUE"""),27811.0)</f>
        <v>27811</v>
      </c>
      <c r="AE171" s="6" t="str">
        <f>IFERROR(__xludf.DUMMYFUNCTION("""COMPUTED_VALUE"""),"bg")</f>
        <v>bg</v>
      </c>
      <c r="AF171" s="6" t="str">
        <f>IFERROR(__xludf.DUMMYFUNCTION("""COMPUTED_VALUE"""),"Haskovo")</f>
        <v>Haskovo</v>
      </c>
      <c r="AG171" s="6" t="str">
        <f>IFERROR(__xludf.DUMMYFUNCTION("""COMPUTED_VALUE"""),"Hr. E.I. Danailov")</f>
        <v>Hr. E.I. Danailov</v>
      </c>
      <c r="AH171" s="6" t="str">
        <f>IFERROR(__xludf.DUMMYFUNCTION("""COMPUTED_VALUE"""),"NL91INGB0442244177")</f>
        <v>NL91INGB0442244177</v>
      </c>
      <c r="AI171" s="6"/>
      <c r="AJ171" s="6" t="str">
        <f>IFERROR(__xludf.DUMMYFUNCTION("""COMPUTED_VALUE"""),"ID Kaart")</f>
        <v>ID Kaart</v>
      </c>
      <c r="AK171" s="6">
        <f>IFERROR(__xludf.DUMMYFUNCTION("""COMPUTED_VALUE"""),6.47949124E8)</f>
        <v>647949124</v>
      </c>
      <c r="AL171" s="9">
        <f>IFERROR(__xludf.DUMMYFUNCTION("""COMPUTED_VALUE"""),47071.0)</f>
        <v>47071</v>
      </c>
      <c r="AM171" s="6" t="str">
        <f>IFERROR(__xludf.DUMMYFUNCTION("""COMPUTED_VALUE"""),"Bulgarije")</f>
        <v>Bulgarije</v>
      </c>
      <c r="AN171" s="6" t="str">
        <f>IFERROR(__xludf.DUMMYFUNCTION("""COMPUTED_VALUE"""),"Evgeni Ivanov Danailov")</f>
        <v>Evgeni Ivanov Danailov</v>
      </c>
      <c r="AO171" s="6"/>
    </row>
    <row r="172">
      <c r="A172" s="6" t="str">
        <f>IFERROR(__xludf.DUMMYFUNCTION("""COMPUTED_VALUE"""),"EVN Onderhoudsbedrijf")</f>
        <v>EVN Onderhoudsbedrijf</v>
      </c>
      <c r="B172" s="6" t="str">
        <f>IFERROR(__xludf.DUMMYFUNCTION("""COMPUTED_VALUE"""),"EVN Onderhoudsbedrijf")</f>
        <v>EVN Onderhoudsbedrijf</v>
      </c>
      <c r="C172" s="6">
        <f>IFERROR(__xludf.DUMMYFUNCTION("""COMPUTED_VALUE"""),1607.0)</f>
        <v>1607</v>
      </c>
      <c r="D172" s="7" t="str">
        <f>IFERROR(__xludf.DUMMYFUNCTION("""COMPUTED_VALUE"""),"Evgeni Valentinov Nikolov")</f>
        <v>Evgeni Valentinov Nikolov</v>
      </c>
      <c r="E172" s="7" t="str">
        <f>IFERROR(__xludf.DUMMYFUNCTION("""COMPUTED_VALUE"""),"SBI-code: 4120 - Algemene burgerlijke en utiliteitsbouw")</f>
        <v>SBI-code: 4120 - Algemene burgerlijke en utiliteitsbouw</v>
      </c>
      <c r="F172" s="7" t="str">
        <f>IFERROR(__xludf.DUMMYFUNCTION("""COMPUTED_VALUE"""),"0687120008")</f>
        <v>0687120008</v>
      </c>
      <c r="G172" s="6" t="str">
        <f>IFERROR(__xludf.DUMMYFUNCTION("""COMPUTED_VALUE"""),"evnbouw@gmail.com")</f>
        <v>evnbouw@gmail.com</v>
      </c>
      <c r="H172" s="6" t="str">
        <f>IFERROR(__xludf.DUMMYFUNCTION("""COMPUTED_VALUE"""),"Jan ten Brinkstraat 122")</f>
        <v>Jan ten Brinkstraat 122</v>
      </c>
      <c r="I172" s="6" t="str">
        <f>IFERROR(__xludf.DUMMYFUNCTION("""COMPUTED_VALUE"""),"2522JH")</f>
        <v>2522JH</v>
      </c>
      <c r="J172" s="6" t="str">
        <f>IFERROR(__xludf.DUMMYFUNCTION("""COMPUTED_VALUE"""),"s-Gravenhage")</f>
        <v>s-Gravenhage</v>
      </c>
      <c r="K172" s="6" t="str">
        <f>IFERROR(__xludf.DUMMYFUNCTION("""COMPUTED_VALUE"""),"Nederland")</f>
        <v>Nederland</v>
      </c>
      <c r="L172" s="6" t="str">
        <f>IFERROR(__xludf.DUMMYFUNCTION("""COMPUTED_VALUE"""),"Николов")</f>
        <v>Николов</v>
      </c>
      <c r="M172" s="8">
        <f>IFERROR(__xludf.DUMMYFUNCTION("""COMPUTED_VALUE"""),45383.0)</f>
        <v>45383</v>
      </c>
      <c r="N172" s="6" t="str">
        <f>IFERROR(__xludf.DUMMYFUNCTION("""COMPUTED_VALUE"""),"NL780122562B02")</f>
        <v>NL780122562B02</v>
      </c>
      <c r="O172" s="6">
        <f>IFERROR(__xludf.DUMMYFUNCTION("""COMPUTED_VALUE"""),8.5220094E7)</f>
        <v>85220094</v>
      </c>
      <c r="P172" s="6" t="str">
        <f>IFERROR(__xludf.DUMMYFUNCTION("""COMPUTED_VALUE"""),"NL32INGB0675252334")</f>
        <v>NL32INGB0675252334</v>
      </c>
      <c r="Q172" s="9">
        <f>IFERROR(__xludf.DUMMYFUNCTION("""COMPUTED_VALUE"""),44580.0)</f>
        <v>44580</v>
      </c>
      <c r="R172" s="6"/>
      <c r="S172" s="6" t="str">
        <f>IFERROR(__xludf.DUMMYFUNCTION("""COMPUTED_VALUE"""),"NL004067008B48")</f>
        <v>NL004067008B48</v>
      </c>
      <c r="T172" s="6">
        <f>IFERROR(__xludf.DUMMYFUNCTION("""COMPUTED_VALUE"""),7.80122562E8)</f>
        <v>780122562</v>
      </c>
      <c r="U172" s="7" t="str">
        <f>IFERROR(__xludf.DUMMYFUNCTION("""COMPUTED_VALUE"""),"Eenmanszaak")</f>
        <v>Eenmanszaak</v>
      </c>
      <c r="V172" s="7" t="str">
        <f>IFERROR(__xludf.DUMMYFUNCTION("""COMPUTED_VALUE"""),"000051276372")</f>
        <v>000051276372</v>
      </c>
      <c r="W172" s="6" t="str">
        <f>IFERROR(__xludf.DUMMYFUNCTION("""COMPUTED_VALUE"""),"ink.evnbouw.2288aa@zarabota.nl")</f>
        <v>ink.evnbouw.2288aa@zarabota.nl</v>
      </c>
      <c r="X172" s="6" t="str">
        <f>IFERROR(__xludf.DUMMYFUNCTION("""COMPUTED_VALUE"""),"ver.evnbouw.2288aa@zarabota.nl")</f>
        <v>ver.evnbouw.2288aa@zarabota.nl</v>
      </c>
      <c r="Y172" s="6" t="str">
        <f>IFERROR(__xludf.DUMMYFUNCTION("""COMPUTED_VALUE"""),"Hr.")</f>
        <v>Hr.</v>
      </c>
      <c r="Z172" s="6" t="str">
        <f>IFERROR(__xludf.DUMMYFUNCTION("""COMPUTED_VALUE"""),"Evgeni Valentinov")</f>
        <v>Evgeni Valentinov</v>
      </c>
      <c r="AA172" s="6" t="str">
        <f>IFERROR(__xludf.DUMMYFUNCTION("""COMPUTED_VALUE"""),"Nikolov")</f>
        <v>Nikolov</v>
      </c>
      <c r="AB172" s="6" t="str">
        <f>IFERROR(__xludf.DUMMYFUNCTION("""COMPUTED_VALUE"""),"E.V.")</f>
        <v>E.V.</v>
      </c>
      <c r="AC172" s="6">
        <f>IFERROR(__xludf.DUMMYFUNCTION("""COMPUTED_VALUE"""),7.80122562E8)</f>
        <v>780122562</v>
      </c>
      <c r="AD172" s="9">
        <f>IFERROR(__xludf.DUMMYFUNCTION("""COMPUTED_VALUE"""),30563.0)</f>
        <v>30563</v>
      </c>
      <c r="AE172" s="6" t="str">
        <f>IFERROR(__xludf.DUMMYFUNCTION("""COMPUTED_VALUE"""),"bg")</f>
        <v>bg</v>
      </c>
      <c r="AF172" s="6" t="str">
        <f>IFERROR(__xludf.DUMMYFUNCTION("""COMPUTED_VALUE"""),"Smolyan")</f>
        <v>Smolyan</v>
      </c>
      <c r="AG172" s="6" t="str">
        <f>IFERROR(__xludf.DUMMYFUNCTION("""COMPUTED_VALUE"""),"Hr. E.V. Nikolov")</f>
        <v>Hr. E.V. Nikolov</v>
      </c>
      <c r="AH172" s="6"/>
      <c r="AI172" s="6"/>
      <c r="AJ172" s="6" t="str">
        <f>IFERROR(__xludf.DUMMYFUNCTION("""COMPUTED_VALUE"""),"ID Kaart")</f>
        <v>ID Kaart</v>
      </c>
      <c r="AK172" s="6">
        <f>IFERROR(__xludf.DUMMYFUNCTION("""COMPUTED_VALUE"""),6.49904749E8)</f>
        <v>649904749</v>
      </c>
      <c r="AL172" s="9">
        <f>IFERROR(__xludf.DUMMYFUNCTION("""COMPUTED_VALUE"""),47854.0)</f>
        <v>47854</v>
      </c>
      <c r="AM172" s="6" t="str">
        <f>IFERROR(__xludf.DUMMYFUNCTION("""COMPUTED_VALUE"""),"Bulgarije")</f>
        <v>Bulgarije</v>
      </c>
      <c r="AN172" s="6" t="str">
        <f>IFERROR(__xludf.DUMMYFUNCTION("""COMPUTED_VALUE"""),"Evgeni Valentinov Nikolov")</f>
        <v>Evgeni Valentinov Nikolov</v>
      </c>
      <c r="AO172" s="6">
        <f>IFERROR(__xludf.DUMMYFUNCTION("""COMPUTED_VALUE"""),1607.0)</f>
        <v>1607</v>
      </c>
    </row>
    <row r="173">
      <c r="A173" s="6" t="str">
        <f>IFERROR(__xludf.DUMMYFUNCTION("""COMPUTED_VALUE"""),"FA Cleaning Solutions")</f>
        <v>FA Cleaning Solutions</v>
      </c>
      <c r="B173" s="6" t="str">
        <f>IFERROR(__xludf.DUMMYFUNCTION("""COMPUTED_VALUE"""),"FA Cleaning Solutions")</f>
        <v>FA Cleaning Solutions</v>
      </c>
      <c r="C173" s="6">
        <f>IFERROR(__xludf.DUMMYFUNCTION("""COMPUTED_VALUE"""),841.0)</f>
        <v>841</v>
      </c>
      <c r="D173" s="7" t="str">
        <f>IFERROR(__xludf.DUMMYFUNCTION("""COMPUTED_VALUE"""),"Filiz Arif Ahmed")</f>
        <v>Filiz Arif Ahmed</v>
      </c>
      <c r="E173" s="7" t="str">
        <f>IFERROR(__xludf.DUMMYFUNCTION("""COMPUTED_VALUE"""),"SBI-code: 4120 - Algemene burgerlijke en utiliteitsbouw")</f>
        <v>SBI-code: 4120 - Algemene burgerlijke en utiliteitsbouw</v>
      </c>
      <c r="F173" s="7" t="str">
        <f>IFERROR(__xludf.DUMMYFUNCTION("""COMPUTED_VALUE"""),"0681049378")</f>
        <v>0681049378</v>
      </c>
      <c r="G173" s="6" t="str">
        <f>IFERROR(__xludf.DUMMYFUNCTION("""COMPUTED_VALUE"""),"faa397937@gmail.com")</f>
        <v>faa397937@gmail.com</v>
      </c>
      <c r="H173" s="6" t="str">
        <f>IFERROR(__xludf.DUMMYFUNCTION("""COMPUTED_VALUE"""),"Tamboerijnlaan 179")</f>
        <v>Tamboerijnlaan 179</v>
      </c>
      <c r="I173" s="6" t="str">
        <f>IFERROR(__xludf.DUMMYFUNCTION("""COMPUTED_VALUE"""),"2287 TG")</f>
        <v>2287 TG</v>
      </c>
      <c r="J173" s="6" t="str">
        <f>IFERROR(__xludf.DUMMYFUNCTION("""COMPUTED_VALUE"""),"Rijswijk")</f>
        <v>Rijswijk</v>
      </c>
      <c r="K173" s="6" t="str">
        <f>IFERROR(__xludf.DUMMYFUNCTION("""COMPUTED_VALUE"""),"Nederland")</f>
        <v>Nederland</v>
      </c>
      <c r="L173" s="6" t="str">
        <f>IFERROR(__xludf.DUMMYFUNCTION("""COMPUTED_VALUE"""),"Ахмед")</f>
        <v>Ахмед</v>
      </c>
      <c r="M173" s="8">
        <f>IFERROR(__xludf.DUMMYFUNCTION("""COMPUTED_VALUE"""),43713.0)</f>
        <v>43713</v>
      </c>
      <c r="N173" s="6" t="str">
        <f>IFERROR(__xludf.DUMMYFUNCTION("""COMPUTED_VALUE"""),"NL264187842B03")</f>
        <v>NL264187842B03</v>
      </c>
      <c r="O173" s="6">
        <f>IFERROR(__xludf.DUMMYFUNCTION("""COMPUTED_VALUE"""),7.6531775E7)</f>
        <v>76531775</v>
      </c>
      <c r="P173" s="6" t="str">
        <f>IFERROR(__xludf.DUMMYFUNCTION("""COMPUTED_VALUE"""),"NL14INGB0008315772")</f>
        <v>NL14INGB0008315772</v>
      </c>
      <c r="Q173" s="9">
        <f>IFERROR(__xludf.DUMMYFUNCTION("""COMPUTED_VALUE"""),43798.0)</f>
        <v>43798</v>
      </c>
      <c r="R173" s="6"/>
      <c r="S173" s="6" t="str">
        <f>IFERROR(__xludf.DUMMYFUNCTION("""COMPUTED_VALUE"""),"NL003091109B80")</f>
        <v>NL003091109B80</v>
      </c>
      <c r="T173" s="6">
        <f>IFERROR(__xludf.DUMMYFUNCTION("""COMPUTED_VALUE"""),2.64187842E8)</f>
        <v>264187842</v>
      </c>
      <c r="U173" s="7" t="str">
        <f>IFERROR(__xludf.DUMMYFUNCTION("""COMPUTED_VALUE"""),"Eenmanszaak")</f>
        <v>Eenmanszaak</v>
      </c>
      <c r="V173" s="7" t="str">
        <f>IFERROR(__xludf.DUMMYFUNCTION("""COMPUTED_VALUE"""),"000044307829")</f>
        <v>000044307829</v>
      </c>
      <c r="W173" s="6" t="str">
        <f>IFERROR(__xludf.DUMMYFUNCTION("""COMPUTED_VALUE"""),"ink.facleaningsolutions.2288aa@zarabota.nl")</f>
        <v>ink.facleaningsolutions.2288aa@zarabota.nl</v>
      </c>
      <c r="X173" s="6" t="str">
        <f>IFERROR(__xludf.DUMMYFUNCTION("""COMPUTED_VALUE"""),"ver.facleaningsolutions.2288aa@zarabota.nl")</f>
        <v>ver.facleaningsolutions.2288aa@zarabota.nl</v>
      </c>
      <c r="Y173" s="6" t="str">
        <f>IFERROR(__xludf.DUMMYFUNCTION("""COMPUTED_VALUE"""),"Mw.")</f>
        <v>Mw.</v>
      </c>
      <c r="Z173" s="6" t="str">
        <f>IFERROR(__xludf.DUMMYFUNCTION("""COMPUTED_VALUE"""),"Filiz Arif")</f>
        <v>Filiz Arif</v>
      </c>
      <c r="AA173" s="6" t="str">
        <f>IFERROR(__xludf.DUMMYFUNCTION("""COMPUTED_VALUE"""),"Ahmed")</f>
        <v>Ahmed</v>
      </c>
      <c r="AB173" s="6" t="str">
        <f>IFERROR(__xludf.DUMMYFUNCTION("""COMPUTED_VALUE"""),"F.A.")</f>
        <v>F.A.</v>
      </c>
      <c r="AC173" s="6">
        <f>IFERROR(__xludf.DUMMYFUNCTION("""COMPUTED_VALUE"""),2.64187842E8)</f>
        <v>264187842</v>
      </c>
      <c r="AD173" s="9">
        <f>IFERROR(__xludf.DUMMYFUNCTION("""COMPUTED_VALUE"""),28787.0)</f>
        <v>28787</v>
      </c>
      <c r="AE173" s="6" t="str">
        <f>IFERROR(__xludf.DUMMYFUNCTION("""COMPUTED_VALUE"""),"bg")</f>
        <v>bg</v>
      </c>
      <c r="AF173" s="6" t="str">
        <f>IFERROR(__xludf.DUMMYFUNCTION("""COMPUTED_VALUE"""),"Isperih")</f>
        <v>Isperih</v>
      </c>
      <c r="AG173" s="6" t="str">
        <f>IFERROR(__xludf.DUMMYFUNCTION("""COMPUTED_VALUE"""),"Mw. F.A. Ahmed")</f>
        <v>Mw. F.A. Ahmed</v>
      </c>
      <c r="AH173" s="6" t="str">
        <f>IFERROR(__xludf.DUMMYFUNCTION("""COMPUTED_VALUE"""),"NL15INGB0005801417")</f>
        <v>NL15INGB0005801417</v>
      </c>
      <c r="AI173" s="9">
        <f>IFERROR(__xludf.DUMMYFUNCTION("""COMPUTED_VALUE"""),39799.0)</f>
        <v>39799</v>
      </c>
      <c r="AJ173" s="6" t="str">
        <f>IFERROR(__xludf.DUMMYFUNCTION("""COMPUTED_VALUE"""),"ID Kaart")</f>
        <v>ID Kaart</v>
      </c>
      <c r="AK173" s="6">
        <f>IFERROR(__xludf.DUMMYFUNCTION("""COMPUTED_VALUE"""),6.47676521E8)</f>
        <v>647676521</v>
      </c>
      <c r="AL173" s="9">
        <f>IFERROR(__xludf.DUMMYFUNCTION("""COMPUTED_VALUE"""),46947.0)</f>
        <v>46947</v>
      </c>
      <c r="AM173" s="6"/>
      <c r="AN173" s="6" t="str">
        <f>IFERROR(__xludf.DUMMYFUNCTION("""COMPUTED_VALUE"""),"Filiz Arif Ahmed")</f>
        <v>Filiz Arif Ahmed</v>
      </c>
      <c r="AO173" s="6"/>
    </row>
    <row r="174">
      <c r="A174" s="6" t="str">
        <f>IFERROR(__xludf.DUMMYFUNCTION("""COMPUTED_VALUE"""),"FEA Loonbedrijf")</f>
        <v>FEA Loonbedrijf</v>
      </c>
      <c r="B174" s="6" t="str">
        <f>IFERROR(__xludf.DUMMYFUNCTION("""COMPUTED_VALUE"""),"FEA Loonbedrijf")</f>
        <v>FEA Loonbedrijf</v>
      </c>
      <c r="C174" s="6">
        <f>IFERROR(__xludf.DUMMYFUNCTION("""COMPUTED_VALUE"""),1442.0)</f>
        <v>1442</v>
      </c>
      <c r="D174" s="7" t="str">
        <f>IFERROR(__xludf.DUMMYFUNCTION("""COMPUTED_VALUE"""),"Anife Adem Molla")</f>
        <v>Anife Adem Molla</v>
      </c>
      <c r="E174" s="7" t="str">
        <f>IFERROR(__xludf.DUMMYFUNCTION("""COMPUTED_VALUE"""),"SBI-code: 4120 - Algemene burgerlijke en utiliteitsbouw")</f>
        <v>SBI-code: 4120 - Algemene burgerlijke en utiliteitsbouw</v>
      </c>
      <c r="F174" s="7" t="str">
        <f>IFERROR(__xludf.DUMMYFUNCTION("""COMPUTED_VALUE"""),"0618389007")</f>
        <v>0618389007</v>
      </c>
      <c r="G174" s="6" t="str">
        <f>IFERROR(__xludf.DUMMYFUNCTION("""COMPUTED_VALUE"""),"feqmollova82@gmail.com")</f>
        <v>feqmollova82@gmail.com</v>
      </c>
      <c r="H174" s="6" t="str">
        <f>IFERROR(__xludf.DUMMYFUNCTION("""COMPUTED_VALUE"""),"Linnaeusstraat 149")</f>
        <v>Linnaeusstraat 149</v>
      </c>
      <c r="I174" s="6" t="str">
        <f>IFERROR(__xludf.DUMMYFUNCTION("""COMPUTED_VALUE"""),"2522GJ")</f>
        <v>2522GJ</v>
      </c>
      <c r="J174" s="6" t="str">
        <f>IFERROR(__xludf.DUMMYFUNCTION("""COMPUTED_VALUE"""),"s-Gravenhage")</f>
        <v>s-Gravenhage</v>
      </c>
      <c r="K174" s="6" t="str">
        <f>IFERROR(__xludf.DUMMYFUNCTION("""COMPUTED_VALUE"""),"Nederland")</f>
        <v>Nederland</v>
      </c>
      <c r="L174" s="6" t="str">
        <f>IFERROR(__xludf.DUMMYFUNCTION("""COMPUTED_VALUE"""),"Молла")</f>
        <v>Молла</v>
      </c>
      <c r="M174" s="8">
        <f>IFERROR(__xludf.DUMMYFUNCTION("""COMPUTED_VALUE"""),44013.0)</f>
        <v>44013</v>
      </c>
      <c r="N174" s="6" t="str">
        <f>IFERROR(__xludf.DUMMYFUNCTION("""COMPUTED_VALUE"""),"NL675952967B01")</f>
        <v>NL675952967B01</v>
      </c>
      <c r="O174" s="6">
        <f>IFERROR(__xludf.DUMMYFUNCTION("""COMPUTED_VALUE"""),7.849633E7)</f>
        <v>78496330</v>
      </c>
      <c r="P174" s="6" t="str">
        <f>IFERROR(__xludf.DUMMYFUNCTION("""COMPUTED_VALUE"""),"NL30INGB0006532818")</f>
        <v>NL30INGB0006532818</v>
      </c>
      <c r="Q174" s="9">
        <f>IFERROR(__xludf.DUMMYFUNCTION("""COMPUTED_VALUE"""),44743.0)</f>
        <v>44743</v>
      </c>
      <c r="R174" s="6"/>
      <c r="S174" s="6" t="str">
        <f>IFERROR(__xludf.DUMMYFUNCTION("""COMPUTED_VALUE"""),"NL003337539B18")</f>
        <v>NL003337539B18</v>
      </c>
      <c r="T174" s="6">
        <f>IFERROR(__xludf.DUMMYFUNCTION("""COMPUTED_VALUE"""),6.75952967E8)</f>
        <v>675952967</v>
      </c>
      <c r="U174" s="7" t="str">
        <f>IFERROR(__xludf.DUMMYFUNCTION("""COMPUTED_VALUE"""),"Eenmanszaak")</f>
        <v>Eenmanszaak</v>
      </c>
      <c r="V174" s="7" t="str">
        <f>IFERROR(__xludf.DUMMYFUNCTION("""COMPUTED_VALUE"""),"000046116176")</f>
        <v>000046116176</v>
      </c>
      <c r="W174" s="6" t="str">
        <f>IFERROR(__xludf.DUMMYFUNCTION("""COMPUTED_VALUE"""),"ink.fealoon.2288aa@zarabota.nl")</f>
        <v>ink.fealoon.2288aa@zarabota.nl</v>
      </c>
      <c r="X174" s="6" t="str">
        <f>IFERROR(__xludf.DUMMYFUNCTION("""COMPUTED_VALUE"""),"ver.fealoon.2288aa@zarabota.nl")</f>
        <v>ver.fealoon.2288aa@zarabota.nl</v>
      </c>
      <c r="Y174" s="6" t="str">
        <f>IFERROR(__xludf.DUMMYFUNCTION("""COMPUTED_VALUE"""),"Mw.")</f>
        <v>Mw.</v>
      </c>
      <c r="Z174" s="6" t="str">
        <f>IFERROR(__xludf.DUMMYFUNCTION("""COMPUTED_VALUE"""),"Anife Adem")</f>
        <v>Anife Adem</v>
      </c>
      <c r="AA174" s="6" t="str">
        <f>IFERROR(__xludf.DUMMYFUNCTION("""COMPUTED_VALUE"""),"Molla")</f>
        <v>Molla</v>
      </c>
      <c r="AB174" s="6" t="str">
        <f>IFERROR(__xludf.DUMMYFUNCTION("""COMPUTED_VALUE"""),"A.A.")</f>
        <v>A.A.</v>
      </c>
      <c r="AC174" s="6">
        <f>IFERROR(__xludf.DUMMYFUNCTION("""COMPUTED_VALUE"""),6.75952967E8)</f>
        <v>675952967</v>
      </c>
      <c r="AD174" s="9">
        <f>IFERROR(__xludf.DUMMYFUNCTION("""COMPUTED_VALUE"""),30114.0)</f>
        <v>30114</v>
      </c>
      <c r="AE174" s="6" t="str">
        <f>IFERROR(__xludf.DUMMYFUNCTION("""COMPUTED_VALUE"""),"bg")</f>
        <v>bg</v>
      </c>
      <c r="AF174" s="6" t="str">
        <f>IFERROR(__xludf.DUMMYFUNCTION("""COMPUTED_VALUE"""),"Razlog")</f>
        <v>Razlog</v>
      </c>
      <c r="AG174" s="6" t="str">
        <f>IFERROR(__xludf.DUMMYFUNCTION("""COMPUTED_VALUE"""),"Mw. A.A. Molla")</f>
        <v>Mw. A.A. Molla</v>
      </c>
      <c r="AH174" s="6"/>
      <c r="AI174" s="6"/>
      <c r="AJ174" s="6" t="str">
        <f>IFERROR(__xludf.DUMMYFUNCTION("""COMPUTED_VALUE"""),"ID Kaart")</f>
        <v>ID Kaart</v>
      </c>
      <c r="AK174" s="6">
        <f>IFERROR(__xludf.DUMMYFUNCTION("""COMPUTED_VALUE"""),6.47624087E8)</f>
        <v>647624087</v>
      </c>
      <c r="AL174" s="9">
        <f>IFERROR(__xludf.DUMMYFUNCTION("""COMPUTED_VALUE"""),46902.0)</f>
        <v>46902</v>
      </c>
      <c r="AM174" s="6" t="str">
        <f>IFERROR(__xludf.DUMMYFUNCTION("""COMPUTED_VALUE"""),"Bulgarije")</f>
        <v>Bulgarije</v>
      </c>
      <c r="AN174" s="6" t="str">
        <f>IFERROR(__xludf.DUMMYFUNCTION("""COMPUTED_VALUE"""),"Anife Adem Molla")</f>
        <v>Anife Adem Molla</v>
      </c>
      <c r="AO174" s="6"/>
    </row>
    <row r="175">
      <c r="A175" s="6" t="str">
        <f>IFERROR(__xludf.DUMMYFUNCTION("""COMPUTED_VALUE"""),"Feimov (Castle Trans)")</f>
        <v>Feimov (Castle Trans)</v>
      </c>
      <c r="B175" s="6" t="str">
        <f>IFERROR(__xludf.DUMMYFUNCTION("""COMPUTED_VALUE"""),"Feimov (Castle Trans)")</f>
        <v>Feimov (Castle Trans)</v>
      </c>
      <c r="C175" s="6">
        <f>IFERROR(__xludf.DUMMYFUNCTION("""COMPUTED_VALUE"""),1326.0)</f>
        <v>1326</v>
      </c>
      <c r="D175" s="7" t="str">
        <f>IFERROR(__xludf.DUMMYFUNCTION("""COMPUTED_VALUE"""),"Ahmed Feimov Ahmedov")</f>
        <v>Ahmed Feimov Ahmedov</v>
      </c>
      <c r="E175" s="7" t="str">
        <f>IFERROR(__xludf.DUMMYFUNCTION("""COMPUTED_VALUE"""),"SBI-code: 4120 - Algemene burgerlijke en utiliteitsbouw")</f>
        <v>SBI-code: 4120 - Algemene burgerlijke en utiliteitsbouw</v>
      </c>
      <c r="F175" s="7" t="str">
        <f>IFERROR(__xludf.DUMMYFUNCTION("""COMPUTED_VALUE"""),"0617104403")</f>
        <v>0617104403</v>
      </c>
      <c r="G175" s="6" t="str">
        <f>IFERROR(__xludf.DUMMYFUNCTION("""COMPUTED_VALUE"""),"feimov.zzp@gmail.com")</f>
        <v>feimov.zzp@gmail.com</v>
      </c>
      <c r="H175" s="6" t="str">
        <f>IFERROR(__xludf.DUMMYFUNCTION("""COMPUTED_VALUE"""),"Convivastraat 21")</f>
        <v>Convivastraat 21</v>
      </c>
      <c r="I175" s="6" t="str">
        <f>IFERROR(__xludf.DUMMYFUNCTION("""COMPUTED_VALUE"""),"2522XD")</f>
        <v>2522XD</v>
      </c>
      <c r="J175" s="6" t="str">
        <f>IFERROR(__xludf.DUMMYFUNCTION("""COMPUTED_VALUE"""),"s-Gravenhage")</f>
        <v>s-Gravenhage</v>
      </c>
      <c r="K175" s="6" t="str">
        <f>IFERROR(__xludf.DUMMYFUNCTION("""COMPUTED_VALUE"""),"Nederland")</f>
        <v>Nederland</v>
      </c>
      <c r="L175" s="6" t="str">
        <f>IFERROR(__xludf.DUMMYFUNCTION("""COMPUTED_VALUE"""),"Ахмедов")</f>
        <v>Ахмедов</v>
      </c>
      <c r="M175" s="8">
        <f>IFERROR(__xludf.DUMMYFUNCTION("""COMPUTED_VALUE"""),44656.0)</f>
        <v>44656</v>
      </c>
      <c r="N175" s="6" t="str">
        <f>IFERROR(__xludf.DUMMYFUNCTION("""COMPUTED_VALUE"""),"NL264138764B01")</f>
        <v>NL264138764B01</v>
      </c>
      <c r="O175" s="6">
        <f>IFERROR(__xludf.DUMMYFUNCTION("""COMPUTED_VALUE"""),2.7344296E7)</f>
        <v>27344296</v>
      </c>
      <c r="P175" s="6" t="str">
        <f>IFERROR(__xludf.DUMMYFUNCTION("""COMPUTED_VALUE"""),"NL03INGB0005065597")</f>
        <v>NL03INGB0005065597</v>
      </c>
      <c r="Q175" s="9">
        <f>IFERROR(__xludf.DUMMYFUNCTION("""COMPUTED_VALUE"""),39959.0)</f>
        <v>39959</v>
      </c>
      <c r="R175" s="6"/>
      <c r="S175" s="6" t="str">
        <f>IFERROR(__xludf.DUMMYFUNCTION("""COMPUTED_VALUE"""),"NL002455930B93")</f>
        <v>NL002455930B93</v>
      </c>
      <c r="T175" s="6">
        <f>IFERROR(__xludf.DUMMYFUNCTION("""COMPUTED_VALUE"""),2.64138764E8)</f>
        <v>264138764</v>
      </c>
      <c r="U175" s="7" t="str">
        <f>IFERROR(__xludf.DUMMYFUNCTION("""COMPUTED_VALUE"""),"Eenmanszaak")</f>
        <v>Eenmanszaak</v>
      </c>
      <c r="V175" s="7" t="str">
        <f>IFERROR(__xludf.DUMMYFUNCTION("""COMPUTED_VALUE"""),"000012960268")</f>
        <v>000012960268</v>
      </c>
      <c r="W175" s="6" t="str">
        <f>IFERROR(__xludf.DUMMYFUNCTION("""COMPUTED_VALUE"""),"ink.feimov.2288aa@zarabota.nl")</f>
        <v>ink.feimov.2288aa@zarabota.nl</v>
      </c>
      <c r="X175" s="6" t="str">
        <f>IFERROR(__xludf.DUMMYFUNCTION("""COMPUTED_VALUE"""),"ver.feimov.2288aa@zarabota.nl")</f>
        <v>ver.feimov.2288aa@zarabota.nl</v>
      </c>
      <c r="Y175" s="6" t="str">
        <f>IFERROR(__xludf.DUMMYFUNCTION("""COMPUTED_VALUE"""),"Hr.")</f>
        <v>Hr.</v>
      </c>
      <c r="Z175" s="6" t="str">
        <f>IFERROR(__xludf.DUMMYFUNCTION("""COMPUTED_VALUE"""),"Ahmed Feimov")</f>
        <v>Ahmed Feimov</v>
      </c>
      <c r="AA175" s="6" t="str">
        <f>IFERROR(__xludf.DUMMYFUNCTION("""COMPUTED_VALUE"""),"Ahmedov")</f>
        <v>Ahmedov</v>
      </c>
      <c r="AB175" s="6" t="str">
        <f>IFERROR(__xludf.DUMMYFUNCTION("""COMPUTED_VALUE"""),"A.F.")</f>
        <v>A.F.</v>
      </c>
      <c r="AC175" s="6">
        <f>IFERROR(__xludf.DUMMYFUNCTION("""COMPUTED_VALUE"""),2.64138764E8)</f>
        <v>264138764</v>
      </c>
      <c r="AD175" s="9">
        <f>IFERROR(__xludf.DUMMYFUNCTION("""COMPUTED_VALUE"""),27791.0)</f>
        <v>27791</v>
      </c>
      <c r="AE175" s="6" t="str">
        <f>IFERROR(__xludf.DUMMYFUNCTION("""COMPUTED_VALUE"""),"bg")</f>
        <v>bg</v>
      </c>
      <c r="AF175" s="6" t="str">
        <f>IFERROR(__xludf.DUMMYFUNCTION("""COMPUTED_VALUE"""),"Popovo")</f>
        <v>Popovo</v>
      </c>
      <c r="AG175" s="6" t="str">
        <f>IFERROR(__xludf.DUMMYFUNCTION("""COMPUTED_VALUE"""),"Hr. A.F. Ahmedov")</f>
        <v>Hr. A.F. Ahmedov</v>
      </c>
      <c r="AH175" s="6"/>
      <c r="AI175" s="6"/>
      <c r="AJ175" s="6" t="str">
        <f>IFERROR(__xludf.DUMMYFUNCTION("""COMPUTED_VALUE"""),"ID Kaart")</f>
        <v>ID Kaart</v>
      </c>
      <c r="AK175" s="6" t="str">
        <f>IFERROR(__xludf.DUMMYFUNCTION("""COMPUTED_VALUE"""),"IHF41F697")</f>
        <v>IHF41F697</v>
      </c>
      <c r="AL175" s="9">
        <f>IFERROR(__xludf.DUMMYFUNCTION("""COMPUTED_VALUE"""),47321.0)</f>
        <v>47321</v>
      </c>
      <c r="AM175" s="6" t="str">
        <f>IFERROR(__xludf.DUMMYFUNCTION("""COMPUTED_VALUE"""),"Bulgarije")</f>
        <v>Bulgarije</v>
      </c>
      <c r="AN175" s="6" t="str">
        <f>IFERROR(__xludf.DUMMYFUNCTION("""COMPUTED_VALUE"""),"Ahmed Feimov Ahmedov")</f>
        <v>Ahmed Feimov Ahmedov</v>
      </c>
      <c r="AO175" s="6"/>
    </row>
    <row r="176">
      <c r="A176" s="6" t="str">
        <f>IFERROR(__xludf.DUMMYFUNCTION("""COMPUTED_VALUE"""),"Fifty Seas B.V.")</f>
        <v>Fifty Seas B.V.</v>
      </c>
      <c r="B176" s="6" t="str">
        <f>IFERROR(__xludf.DUMMYFUNCTION("""COMPUTED_VALUE"""),"Fifty Seas B.V.")</f>
        <v>Fifty Seas B.V.</v>
      </c>
      <c r="C176" s="6">
        <f>IFERROR(__xludf.DUMMYFUNCTION("""COMPUTED_VALUE"""),1742.0)</f>
        <v>1742</v>
      </c>
      <c r="D176" s="7" t="str">
        <f>IFERROR(__xludf.DUMMYFUNCTION("""COMPUTED_VALUE"""),"Georgi Stefkov Petrov")</f>
        <v>Georgi Stefkov Petrov</v>
      </c>
      <c r="E176" s="7" t="str">
        <f>IFERROR(__xludf.DUMMYFUNCTION("""COMPUTED_VALUE"""),"SBI-code: 4120 - Algemene burgerlijke en utiliteitsbouw")</f>
        <v>SBI-code: 4120 - Algemene burgerlijke en utiliteitsbouw</v>
      </c>
      <c r="F176" s="7" t="str">
        <f>IFERROR(__xludf.DUMMYFUNCTION("""COMPUTED_VALUE"""),"+359896145092")</f>
        <v>+359896145092</v>
      </c>
      <c r="G176" s="6" t="str">
        <f>IFERROR(__xludf.DUMMYFUNCTION("""COMPUTED_VALUE"""),"george@croozeyachts.com")</f>
        <v>george@croozeyachts.com</v>
      </c>
      <c r="H176" s="6" t="str">
        <f>IFERROR(__xludf.DUMMYFUNCTION("""COMPUTED_VALUE"""),"Hullenbergweg 278")</f>
        <v>Hullenbergweg 278</v>
      </c>
      <c r="I176" s="6" t="str">
        <f>IFERROR(__xludf.DUMMYFUNCTION("""COMPUTED_VALUE"""),"1101BV")</f>
        <v>1101BV</v>
      </c>
      <c r="J176" s="6" t="str">
        <f>IFERROR(__xludf.DUMMYFUNCTION("""COMPUTED_VALUE"""),"Amsterdam")</f>
        <v>Amsterdam</v>
      </c>
      <c r="K176" s="6" t="str">
        <f>IFERROR(__xludf.DUMMYFUNCTION("""COMPUTED_VALUE"""),"Nederland")</f>
        <v>Nederland</v>
      </c>
      <c r="L176" s="6" t="str">
        <f>IFERROR(__xludf.DUMMYFUNCTION("""COMPUTED_VALUE"""),"Петров")</f>
        <v>Петров</v>
      </c>
      <c r="M176" s="8">
        <f>IFERROR(__xludf.DUMMYFUNCTION("""COMPUTED_VALUE"""),45274.0)</f>
        <v>45274</v>
      </c>
      <c r="N176" s="6" t="str">
        <f>IFERROR(__xludf.DUMMYFUNCTION("""COMPUTED_VALUE"""),"NL865957502B01")</f>
        <v>NL865957502B01</v>
      </c>
      <c r="O176" s="6">
        <f>IFERROR(__xludf.DUMMYFUNCTION("""COMPUTED_VALUE"""),9.225299E7)</f>
        <v>92252990</v>
      </c>
      <c r="P176" s="6" t="str">
        <f>IFERROR(__xludf.DUMMYFUNCTION("""COMPUTED_VALUE"""),"NL")</f>
        <v>NL</v>
      </c>
      <c r="Q176" s="9">
        <f>IFERROR(__xludf.DUMMYFUNCTION("""COMPUTED_VALUE"""),45274.0)</f>
        <v>45274</v>
      </c>
      <c r="R176" s="6"/>
      <c r="S176" s="6" t="str">
        <f>IFERROR(__xludf.DUMMYFUNCTION("""COMPUTED_VALUE"""),"NL865957502B01")</f>
        <v>NL865957502B01</v>
      </c>
      <c r="T176" s="6">
        <f>IFERROR(__xludf.DUMMYFUNCTION("""COMPUTED_VALUE"""),8.65957502E8)</f>
        <v>865957502</v>
      </c>
      <c r="U176" s="7" t="str">
        <f>IFERROR(__xludf.DUMMYFUNCTION("""COMPUTED_VALUE"""),"Besloten Vennootschap")</f>
        <v>Besloten Vennootschap</v>
      </c>
      <c r="V176" s="7" t="str">
        <f>IFERROR(__xludf.DUMMYFUNCTION("""COMPUTED_VALUE"""),"000057884692")</f>
        <v>000057884692</v>
      </c>
      <c r="W176" s="6" t="str">
        <f>IFERROR(__xludf.DUMMYFUNCTION("""COMPUTED_VALUE"""),"ink.fiftyseas.2288aa@zarabota.nl")</f>
        <v>ink.fiftyseas.2288aa@zarabota.nl</v>
      </c>
      <c r="X176" s="6" t="str">
        <f>IFERROR(__xludf.DUMMYFUNCTION("""COMPUTED_VALUE"""),"ver.fiftyseas.2288aa@zarabota.nl")</f>
        <v>ver.fiftyseas.2288aa@zarabota.nl</v>
      </c>
      <c r="Y176" s="6" t="str">
        <f>IFERROR(__xludf.DUMMYFUNCTION("""COMPUTED_VALUE"""),"Hr.")</f>
        <v>Hr.</v>
      </c>
      <c r="Z176" s="6" t="str">
        <f>IFERROR(__xludf.DUMMYFUNCTION("""COMPUTED_VALUE"""),"Georgi Stefkov")</f>
        <v>Georgi Stefkov</v>
      </c>
      <c r="AA176" s="6" t="str">
        <f>IFERROR(__xludf.DUMMYFUNCTION("""COMPUTED_VALUE"""),"Petrov")</f>
        <v>Petrov</v>
      </c>
      <c r="AB176" s="6" t="str">
        <f>IFERROR(__xludf.DUMMYFUNCTION("""COMPUTED_VALUE"""),"G.S.")</f>
        <v>G.S.</v>
      </c>
      <c r="AC176" s="6">
        <f>IFERROR(__xludf.DUMMYFUNCTION("""COMPUTED_VALUE"""),6.29599257E8)</f>
        <v>629599257</v>
      </c>
      <c r="AD176" s="9">
        <f>IFERROR(__xludf.DUMMYFUNCTION("""COMPUTED_VALUE"""),27172.0)</f>
        <v>27172</v>
      </c>
      <c r="AE176" s="6" t="str">
        <f>IFERROR(__xludf.DUMMYFUNCTION("""COMPUTED_VALUE"""),"bg")</f>
        <v>bg</v>
      </c>
      <c r="AF176" s="6" t="str">
        <f>IFERROR(__xludf.DUMMYFUNCTION("""COMPUTED_VALUE"""),"Varna")</f>
        <v>Varna</v>
      </c>
      <c r="AG176" s="6" t="str">
        <f>IFERROR(__xludf.DUMMYFUNCTION("""COMPUTED_VALUE"""),"Hr. G.S. Petrov")</f>
        <v>Hr. G.S. Petrov</v>
      </c>
      <c r="AH176" s="6"/>
      <c r="AI176" s="6"/>
      <c r="AJ176" s="6" t="str">
        <f>IFERROR(__xludf.DUMMYFUNCTION("""COMPUTED_VALUE"""),"ID Kaart")</f>
        <v>ID Kaart</v>
      </c>
      <c r="AK176" s="6">
        <f>IFERROR(__xludf.DUMMYFUNCTION("""COMPUTED_VALUE"""),6.50409516E8)</f>
        <v>650409516</v>
      </c>
      <c r="AL176" s="9">
        <f>IFERROR(__xludf.DUMMYFUNCTION("""COMPUTED_VALUE"""),48016.0)</f>
        <v>48016</v>
      </c>
      <c r="AM176" s="6" t="str">
        <f>IFERROR(__xludf.DUMMYFUNCTION("""COMPUTED_VALUE"""),"Bulgarije")</f>
        <v>Bulgarije</v>
      </c>
      <c r="AN176" s="6" t="str">
        <f>IFERROR(__xludf.DUMMYFUNCTION("""COMPUTED_VALUE"""),"Georgi Stefkov Petrov")</f>
        <v>Georgi Stefkov Petrov</v>
      </c>
      <c r="AO176" s="6">
        <f>IFERROR(__xludf.DUMMYFUNCTION("""COMPUTED_VALUE"""),1742.0)</f>
        <v>1742</v>
      </c>
    </row>
    <row r="177">
      <c r="A177" s="6" t="str">
        <f>IFERROR(__xludf.DUMMYFUNCTION("""COMPUTED_VALUE"""),"Filip V.O.F.")</f>
        <v>Filip V.O.F.</v>
      </c>
      <c r="B177" s="6" t="str">
        <f>IFERROR(__xludf.DUMMYFUNCTION("""COMPUTED_VALUE"""),"Filip V.O.F.")</f>
        <v>Filip V.O.F.</v>
      </c>
      <c r="C177" s="6">
        <f>IFERROR(__xludf.DUMMYFUNCTION("""COMPUTED_VALUE"""),866.0)</f>
        <v>866</v>
      </c>
      <c r="D177" s="7" t="str">
        <f>IFERROR(__xludf.DUMMYFUNCTION("""COMPUTED_VALUE"""),"Filip Asenov Shetev")</f>
        <v>Filip Asenov Shetev</v>
      </c>
      <c r="E177" s="7" t="str">
        <f>IFERROR(__xludf.DUMMYFUNCTION("""COMPUTED_VALUE"""),"SBI-code: 4120 - Algemene burgerlijke en utiliteitsbouw")</f>
        <v>SBI-code: 4120 - Algemene burgerlijke en utiliteitsbouw</v>
      </c>
      <c r="F177" s="7" t="str">
        <f>IFERROR(__xludf.DUMMYFUNCTION("""COMPUTED_VALUE"""),"0641098978")</f>
        <v>0641098978</v>
      </c>
      <c r="G177" s="6" t="str">
        <f>IFERROR(__xludf.DUMMYFUNCTION("""COMPUTED_VALUE"""),"filip.shetev@gmail.com")</f>
        <v>filip.shetev@gmail.com</v>
      </c>
      <c r="H177" s="6" t="str">
        <f>IFERROR(__xludf.DUMMYFUNCTION("""COMPUTED_VALUE"""),"Miamihof 36")</f>
        <v>Miamihof 36</v>
      </c>
      <c r="I177" s="6" t="str">
        <f>IFERROR(__xludf.DUMMYFUNCTION("""COMPUTED_VALUE"""),"2548JB")</f>
        <v>2548JB</v>
      </c>
      <c r="J177" s="6" t="str">
        <f>IFERROR(__xludf.DUMMYFUNCTION("""COMPUTED_VALUE"""),"s-Gravenhage")</f>
        <v>s-Gravenhage</v>
      </c>
      <c r="K177" s="6" t="str">
        <f>IFERROR(__xludf.DUMMYFUNCTION("""COMPUTED_VALUE"""),"Nederland")</f>
        <v>Nederland</v>
      </c>
      <c r="L177" s="6" t="str">
        <f>IFERROR(__xludf.DUMMYFUNCTION("""COMPUTED_VALUE"""),"Шетев")</f>
        <v>Шетев</v>
      </c>
      <c r="M177" s="8">
        <f>IFERROR(__xludf.DUMMYFUNCTION("""COMPUTED_VALUE"""),43739.0)</f>
        <v>43739</v>
      </c>
      <c r="N177" s="6" t="str">
        <f>IFERROR(__xludf.DUMMYFUNCTION("""COMPUTED_VALUE"""),"NL860513609B01")</f>
        <v>NL860513609B01</v>
      </c>
      <c r="O177" s="6">
        <f>IFERROR(__xludf.DUMMYFUNCTION("""COMPUTED_VALUE"""),7.6117863E7)</f>
        <v>76117863</v>
      </c>
      <c r="P177" s="6" t="str">
        <f>IFERROR(__xludf.DUMMYFUNCTION("""COMPUTED_VALUE"""),"NL90INGB0006817597")</f>
        <v>NL90INGB0006817597</v>
      </c>
      <c r="Q177" s="9">
        <f>IFERROR(__xludf.DUMMYFUNCTION("""COMPUTED_VALUE"""),43739.0)</f>
        <v>43739</v>
      </c>
      <c r="R177" s="6"/>
      <c r="S177" s="6" t="str">
        <f>IFERROR(__xludf.DUMMYFUNCTION("""COMPUTED_VALUE"""),"NL860513609B01")</f>
        <v>NL860513609B01</v>
      </c>
      <c r="T177" s="6">
        <f>IFERROR(__xludf.DUMMYFUNCTION("""COMPUTED_VALUE"""),8.60513609E8)</f>
        <v>860513609</v>
      </c>
      <c r="U177" s="7" t="str">
        <f>IFERROR(__xludf.DUMMYFUNCTION("""COMPUTED_VALUE"""),"Vennootschap Onder Firma")</f>
        <v>Vennootschap Onder Firma</v>
      </c>
      <c r="V177" s="7" t="str">
        <f>IFERROR(__xludf.DUMMYFUNCTION("""COMPUTED_VALUE"""),"000031832660")</f>
        <v>000031832660</v>
      </c>
      <c r="W177" s="6" t="str">
        <f>IFERROR(__xludf.DUMMYFUNCTION("""COMPUTED_VALUE"""),"ink.filipvof.2288aa@zarabota.nl")</f>
        <v>ink.filipvof.2288aa@zarabota.nl</v>
      </c>
      <c r="X177" s="6" t="str">
        <f>IFERROR(__xludf.DUMMYFUNCTION("""COMPUTED_VALUE"""),"ver.filipvof.2288aa@zarabota.nl")</f>
        <v>ver.filipvof.2288aa@zarabota.nl</v>
      </c>
      <c r="Y177" s="6" t="str">
        <f>IFERROR(__xludf.DUMMYFUNCTION("""COMPUTED_VALUE"""),"Hr.")</f>
        <v>Hr.</v>
      </c>
      <c r="Z177" s="6" t="str">
        <f>IFERROR(__xludf.DUMMYFUNCTION("""COMPUTED_VALUE"""),"Filip Asenov")</f>
        <v>Filip Asenov</v>
      </c>
      <c r="AA177" s="6" t="str">
        <f>IFERROR(__xludf.DUMMYFUNCTION("""COMPUTED_VALUE"""),"Shetev")</f>
        <v>Shetev</v>
      </c>
      <c r="AB177" s="6" t="str">
        <f>IFERROR(__xludf.DUMMYFUNCTION("""COMPUTED_VALUE"""),"F.A.")</f>
        <v>F.A.</v>
      </c>
      <c r="AC177" s="6">
        <f>IFERROR(__xludf.DUMMYFUNCTION("""COMPUTED_VALUE"""),3.63298289E8)</f>
        <v>363298289</v>
      </c>
      <c r="AD177" s="9">
        <f>IFERROR(__xludf.DUMMYFUNCTION("""COMPUTED_VALUE"""),29942.0)</f>
        <v>29942</v>
      </c>
      <c r="AE177" s="6" t="str">
        <f>IFERROR(__xludf.DUMMYFUNCTION("""COMPUTED_VALUE"""),"bg")</f>
        <v>bg</v>
      </c>
      <c r="AF177" s="6" t="str">
        <f>IFERROR(__xludf.DUMMYFUNCTION("""COMPUTED_VALUE"""),"Smolyan")</f>
        <v>Smolyan</v>
      </c>
      <c r="AG177" s="6" t="str">
        <f>IFERROR(__xludf.DUMMYFUNCTION("""COMPUTED_VALUE"""),"Hr. F.A. Shetev")</f>
        <v>Hr. F.A. Shetev</v>
      </c>
      <c r="AH177" s="6"/>
      <c r="AI177" s="6"/>
      <c r="AJ177" s="6"/>
      <c r="AK177" s="6"/>
      <c r="AL177" s="6"/>
      <c r="AM177" s="6"/>
      <c r="AN177" s="6" t="str">
        <f>IFERROR(__xludf.DUMMYFUNCTION("""COMPUTED_VALUE"""),"Filip Asenov Shetev")</f>
        <v>Filip Asenov Shetev</v>
      </c>
      <c r="AO177" s="6"/>
    </row>
    <row r="178">
      <c r="A178" s="6" t="str">
        <f>IFERROR(__xludf.DUMMYFUNCTION("""COMPUTED_VALUE"""),"FISCALE EENHEID Sol Works en Solaris Montage")</f>
        <v>FISCALE EENHEID Sol Works en Solaris Montage</v>
      </c>
      <c r="B178" s="6" t="str">
        <f>IFERROR(__xludf.DUMMYFUNCTION("""COMPUTED_VALUE"""),"FISCALE EENHEID Sol Works en Solaris Montage")</f>
        <v>FISCALE EENHEID Sol Works en Solaris Montage</v>
      </c>
      <c r="C178" s="6">
        <f>IFERROR(__xludf.DUMMYFUNCTION("""COMPUTED_VALUE"""),378.0)</f>
        <v>378</v>
      </c>
      <c r="D178" s="6"/>
      <c r="E178" s="7" t="str">
        <f>IFERROR(__xludf.DUMMYFUNCTION("""COMPUTED_VALUE"""),"SBI-code: 4120 - Algemene burgerlijke en utiliteitsbouw")</f>
        <v>SBI-code: 4120 - Algemene burgerlijke en utiliteitsbouw</v>
      </c>
      <c r="F178" s="6"/>
      <c r="G178" s="6"/>
      <c r="H178" s="6" t="str">
        <f>IFERROR(__xludf.DUMMYFUNCTION("""COMPUTED_VALUE"""),"Stephensonstraat 123")</f>
        <v>Stephensonstraat 123</v>
      </c>
      <c r="I178" s="6" t="str">
        <f>IFERROR(__xludf.DUMMYFUNCTION("""COMPUTED_VALUE"""),"7903AS")</f>
        <v>7903AS</v>
      </c>
      <c r="J178" s="6" t="str">
        <f>IFERROR(__xludf.DUMMYFUNCTION("""COMPUTED_VALUE"""),"Hoogeveen")</f>
        <v>Hoogeveen</v>
      </c>
      <c r="K178" s="6" t="str">
        <f>IFERROR(__xludf.DUMMYFUNCTION("""COMPUTED_VALUE"""),"Nederland")</f>
        <v>Nederland</v>
      </c>
      <c r="L178" s="6"/>
      <c r="M178" s="8">
        <f>IFERROR(__xludf.DUMMYFUNCTION("""COMPUTED_VALUE"""),43922.0)</f>
        <v>43922</v>
      </c>
      <c r="N178" s="6" t="str">
        <f>IFERROR(__xludf.DUMMYFUNCTION("""COMPUTED_VALUE"""),"NL826184352B01")</f>
        <v>NL826184352B01</v>
      </c>
      <c r="O178" s="6"/>
      <c r="P178" s="6" t="str">
        <f>IFERROR(__xludf.DUMMYFUNCTION("""COMPUTED_VALUE"""),"NL")</f>
        <v>NL</v>
      </c>
      <c r="Q178" s="6"/>
      <c r="R178" s="6"/>
      <c r="S178" s="6" t="str">
        <f>IFERROR(__xludf.DUMMYFUNCTION("""COMPUTED_VALUE"""),"NL826184352B01")</f>
        <v>NL826184352B01</v>
      </c>
      <c r="T178" s="6">
        <f>IFERROR(__xludf.DUMMYFUNCTION("""COMPUTED_VALUE"""),8.26184352E8)</f>
        <v>826184352</v>
      </c>
      <c r="U178" s="7" t="str">
        <f>IFERROR(__xludf.DUMMYFUNCTION("""COMPUTED_VALUE"""),"Eenmanszaak")</f>
        <v>Eenmanszaak</v>
      </c>
      <c r="V178" s="6"/>
      <c r="W178" s="6"/>
      <c r="X178" s="6"/>
      <c r="Y178" s="6" t="str">
        <f>IFERROR(__xludf.DUMMYFUNCTION("""COMPUTED_VALUE"""),"Hr.")</f>
        <v>Hr.</v>
      </c>
      <c r="Z178" s="6" t="str">
        <f>IFERROR(__xludf.DUMMYFUNCTION("""COMPUTED_VALUE"""),"Vasil Petrov")</f>
        <v>Vasil Petrov</v>
      </c>
      <c r="AA178" s="6" t="str">
        <f>IFERROR(__xludf.DUMMYFUNCTION("""COMPUTED_VALUE"""),"Peev")</f>
        <v>Peev</v>
      </c>
      <c r="AB178" s="6" t="str">
        <f>IFERROR(__xludf.DUMMYFUNCTION("""COMPUTED_VALUE"""),"V.P.")</f>
        <v>V.P.</v>
      </c>
      <c r="AC178" s="6">
        <f>IFERROR(__xludf.DUMMYFUNCTION("""COMPUTED_VALUE"""),2.64594356E8)</f>
        <v>264594356</v>
      </c>
      <c r="AD178" s="9">
        <f>IFERROR(__xludf.DUMMYFUNCTION("""COMPUTED_VALUE"""),29208.0)</f>
        <v>29208</v>
      </c>
      <c r="AE178" s="6" t="str">
        <f>IFERROR(__xludf.DUMMYFUNCTION("""COMPUTED_VALUE"""),"bg")</f>
        <v>bg</v>
      </c>
      <c r="AF178" s="6"/>
      <c r="AG178" s="6" t="str">
        <f>IFERROR(__xludf.DUMMYFUNCTION("""COMPUTED_VALUE"""),"Hr. V.P. Peev")</f>
        <v>Hr. V.P. Peev</v>
      </c>
      <c r="AH178" s="6" t="str">
        <f>IFERROR(__xludf.DUMMYFUNCTION("""COMPUTED_VALUE"""),"NL53ABNA0535456581")</f>
        <v>NL53ABNA0535456581</v>
      </c>
      <c r="AI178" s="6"/>
      <c r="AJ178" s="6" t="str">
        <f>IFERROR(__xludf.DUMMYFUNCTION("""COMPUTED_VALUE"""),"ID Kaart")</f>
        <v>ID Kaart</v>
      </c>
      <c r="AK178" s="6">
        <f>IFERROR(__xludf.DUMMYFUNCTION("""COMPUTED_VALUE"""),6.41854212E8)</f>
        <v>641854212</v>
      </c>
      <c r="AL178" s="9">
        <f>IFERROR(__xludf.DUMMYFUNCTION("""COMPUTED_VALUE"""),44224.0)</f>
        <v>44224</v>
      </c>
      <c r="AM178" s="6" t="str">
        <f>IFERROR(__xludf.DUMMYFUNCTION("""COMPUTED_VALUE"""),"Bulgarije")</f>
        <v>Bulgarije</v>
      </c>
      <c r="AN178" s="6" t="str">
        <f>IFERROR(__xludf.DUMMYFUNCTION("""COMPUTED_VALUE"""),"Vasil Petrov Peev")</f>
        <v>Vasil Petrov Peev</v>
      </c>
      <c r="AO178" s="6"/>
    </row>
    <row r="179">
      <c r="A179" s="6" t="str">
        <f>IFERROR(__xludf.DUMMYFUNCTION("""COMPUTED_VALUE"""),"Flyover Solutions")</f>
        <v>Flyover Solutions</v>
      </c>
      <c r="B179" s="6" t="str">
        <f>IFERROR(__xludf.DUMMYFUNCTION("""COMPUTED_VALUE"""),"Flyover Solutions")</f>
        <v>Flyover Solutions</v>
      </c>
      <c r="C179" s="6">
        <f>IFERROR(__xludf.DUMMYFUNCTION("""COMPUTED_VALUE"""),1188.0)</f>
        <v>1188</v>
      </c>
      <c r="D179" s="7" t="str">
        <f>IFERROR(__xludf.DUMMYFUNCTION("""COMPUTED_VALUE"""),"Tsvetelin Vasilev Velev")</f>
        <v>Tsvetelin Vasilev Velev</v>
      </c>
      <c r="E179" s="7" t="str">
        <f>IFERROR(__xludf.DUMMYFUNCTION("""COMPUTED_VALUE"""),"SBI-code: 4120 - Algemene burgerlijke en utiliteitsbouw")</f>
        <v>SBI-code: 4120 - Algemene burgerlijke en utiliteitsbouw</v>
      </c>
      <c r="F179" s="7" t="str">
        <f>IFERROR(__xludf.DUMMYFUNCTION("""COMPUTED_VALUE"""),"0633257510")</f>
        <v>0633257510</v>
      </c>
      <c r="G179" s="6" t="str">
        <f>IFERROR(__xludf.DUMMYFUNCTION("""COMPUTED_VALUE"""),"info@flyoversolutions.nl")</f>
        <v>info@flyoversolutions.nl</v>
      </c>
      <c r="H179" s="6" t="str">
        <f>IFERROR(__xludf.DUMMYFUNCTION("""COMPUTED_VALUE"""),"Westduinweg 8-A")</f>
        <v>Westduinweg 8-A</v>
      </c>
      <c r="I179" s="6" t="str">
        <f>IFERROR(__xludf.DUMMYFUNCTION("""COMPUTED_VALUE"""),"2583 EG")</f>
        <v>2583 EG</v>
      </c>
      <c r="J179" s="6" t="str">
        <f>IFERROR(__xludf.DUMMYFUNCTION("""COMPUTED_VALUE"""),"s-Gravenhage")</f>
        <v>s-Gravenhage</v>
      </c>
      <c r="K179" s="6" t="str">
        <f>IFERROR(__xludf.DUMMYFUNCTION("""COMPUTED_VALUE"""),"Nederland")</f>
        <v>Nederland</v>
      </c>
      <c r="L179" s="6" t="str">
        <f>IFERROR(__xludf.DUMMYFUNCTION("""COMPUTED_VALUE"""),"Велев")</f>
        <v>Велев</v>
      </c>
      <c r="M179" s="8">
        <f>IFERROR(__xludf.DUMMYFUNCTION("""COMPUTED_VALUE"""),44317.0)</f>
        <v>44317</v>
      </c>
      <c r="N179" s="6" t="str">
        <f>IFERROR(__xludf.DUMMYFUNCTION("""COMPUTED_VALUE"""),"NL692309317B01")</f>
        <v>NL692309317B01</v>
      </c>
      <c r="O179" s="6">
        <f>IFERROR(__xludf.DUMMYFUNCTION("""COMPUTED_VALUE"""),8.2727686E7)</f>
        <v>82727686</v>
      </c>
      <c r="P179" s="6" t="str">
        <f>IFERROR(__xludf.DUMMYFUNCTION("""COMPUTED_VALUE"""),"NL56INGB0109267281")</f>
        <v>NL56INGB0109267281</v>
      </c>
      <c r="Q179" s="9">
        <f>IFERROR(__xludf.DUMMYFUNCTION("""COMPUTED_VALUE"""),44317.0)</f>
        <v>44317</v>
      </c>
      <c r="R179" s="6"/>
      <c r="S179" s="6" t="str">
        <f>IFERROR(__xludf.DUMMYFUNCTION("""COMPUTED_VALUE"""),"NL003718326B42")</f>
        <v>NL003718326B42</v>
      </c>
      <c r="T179" s="6">
        <f>IFERROR(__xludf.DUMMYFUNCTION("""COMPUTED_VALUE"""),6.92309317E8)</f>
        <v>692309317</v>
      </c>
      <c r="U179" s="7" t="str">
        <f>IFERROR(__xludf.DUMMYFUNCTION("""COMPUTED_VALUE"""),"Eenmanszaak")</f>
        <v>Eenmanszaak</v>
      </c>
      <c r="V179" s="7" t="str">
        <f>IFERROR(__xludf.DUMMYFUNCTION("""COMPUTED_VALUE"""),"000048944335")</f>
        <v>000048944335</v>
      </c>
      <c r="W179" s="6" t="str">
        <f>IFERROR(__xludf.DUMMYFUNCTION("""COMPUTED_VALUE"""),"ink.flyoversolutions.2288aa@zarabota.nl")</f>
        <v>ink.flyoversolutions.2288aa@zarabota.nl</v>
      </c>
      <c r="X179" s="6" t="str">
        <f>IFERROR(__xludf.DUMMYFUNCTION("""COMPUTED_VALUE"""),"ver.flyoversolutions.2288aa@zarabota.nl")</f>
        <v>ver.flyoversolutions.2288aa@zarabota.nl</v>
      </c>
      <c r="Y179" s="6" t="str">
        <f>IFERROR(__xludf.DUMMYFUNCTION("""COMPUTED_VALUE"""),"Hr.")</f>
        <v>Hr.</v>
      </c>
      <c r="Z179" s="6" t="str">
        <f>IFERROR(__xludf.DUMMYFUNCTION("""COMPUTED_VALUE"""),"Tsvetelin Vasilev")</f>
        <v>Tsvetelin Vasilev</v>
      </c>
      <c r="AA179" s="6" t="str">
        <f>IFERROR(__xludf.DUMMYFUNCTION("""COMPUTED_VALUE"""),"Velev")</f>
        <v>Velev</v>
      </c>
      <c r="AB179" s="6" t="str">
        <f>IFERROR(__xludf.DUMMYFUNCTION("""COMPUTED_VALUE"""),"T.V.")</f>
        <v>T.V.</v>
      </c>
      <c r="AC179" s="6">
        <f>IFERROR(__xludf.DUMMYFUNCTION("""COMPUTED_VALUE"""),6.92309317E8)</f>
        <v>692309317</v>
      </c>
      <c r="AD179" s="9">
        <f>IFERROR(__xludf.DUMMYFUNCTION("""COMPUTED_VALUE"""),32971.0)</f>
        <v>32971</v>
      </c>
      <c r="AE179" s="6" t="str">
        <f>IFERROR(__xludf.DUMMYFUNCTION("""COMPUTED_VALUE"""),"bg")</f>
        <v>bg</v>
      </c>
      <c r="AF179" s="6" t="str">
        <f>IFERROR(__xludf.DUMMYFUNCTION("""COMPUTED_VALUE"""),"Blagoevgrad")</f>
        <v>Blagoevgrad</v>
      </c>
      <c r="AG179" s="6" t="str">
        <f>IFERROR(__xludf.DUMMYFUNCTION("""COMPUTED_VALUE"""),"Hr. T.V. Velev")</f>
        <v>Hr. T.V. Velev</v>
      </c>
      <c r="AH179" s="6" t="str">
        <f>IFERROR(__xludf.DUMMYFUNCTION("""COMPUTED_VALUE"""),"NL81INGB0534131875")</f>
        <v>NL81INGB0534131875</v>
      </c>
      <c r="AI179" s="6"/>
      <c r="AJ179" s="6"/>
      <c r="AK179" s="6"/>
      <c r="AL179" s="6"/>
      <c r="AM179" s="6" t="str">
        <f>IFERROR(__xludf.DUMMYFUNCTION("""COMPUTED_VALUE"""),"Bulgarije")</f>
        <v>Bulgarije</v>
      </c>
      <c r="AN179" s="6" t="str">
        <f>IFERROR(__xludf.DUMMYFUNCTION("""COMPUTED_VALUE"""),"Tsvetelin Vasilev Velev")</f>
        <v>Tsvetelin Vasilev Velev</v>
      </c>
      <c r="AO179" s="6">
        <f>IFERROR(__xludf.DUMMYFUNCTION("""COMPUTED_VALUE"""),1188.0)</f>
        <v>1188</v>
      </c>
    </row>
    <row r="180">
      <c r="A180" s="6" t="str">
        <f>IFERROR(__xludf.DUMMYFUNCTION("""COMPUTED_VALUE"""),"FOT Bouw")</f>
        <v>FOT Bouw</v>
      </c>
      <c r="B180" s="6" t="str">
        <f>IFERROR(__xludf.DUMMYFUNCTION("""COMPUTED_VALUE"""),"FOT Bouw")</f>
        <v>FOT Bouw</v>
      </c>
      <c r="C180" s="6">
        <f>IFERROR(__xludf.DUMMYFUNCTION("""COMPUTED_VALUE"""),1034.0)</f>
        <v>1034</v>
      </c>
      <c r="D180" s="7" t="str">
        <f>IFERROR(__xludf.DUMMYFUNCTION("""COMPUTED_VALUE"""),"Vasil Stoyanov Fotev")</f>
        <v>Vasil Stoyanov Fotev</v>
      </c>
      <c r="E180" s="7" t="str">
        <f>IFERROR(__xludf.DUMMYFUNCTION("""COMPUTED_VALUE"""),"SBI-code: 4120 - Algemene burgerlijke en utiliteitsbouw")</f>
        <v>SBI-code: 4120 - Algemene burgerlijke en utiliteitsbouw</v>
      </c>
      <c r="F180" s="7" t="str">
        <f>IFERROR(__xludf.DUMMYFUNCTION("""COMPUTED_VALUE"""),"0657836755")</f>
        <v>0657836755</v>
      </c>
      <c r="G180" s="6" t="str">
        <f>IFERROR(__xludf.DUMMYFUNCTION("""COMPUTED_VALUE"""),"vasilfotev7@gmail.com")</f>
        <v>vasilfotev7@gmail.com</v>
      </c>
      <c r="H180" s="6" t="str">
        <f>IFERROR(__xludf.DUMMYFUNCTION("""COMPUTED_VALUE"""),"Linnaeusstraat 96")</f>
        <v>Linnaeusstraat 96</v>
      </c>
      <c r="I180" s="6" t="str">
        <f>IFERROR(__xludf.DUMMYFUNCTION("""COMPUTED_VALUE"""),"2522GV")</f>
        <v>2522GV</v>
      </c>
      <c r="J180" s="6" t="str">
        <f>IFERROR(__xludf.DUMMYFUNCTION("""COMPUTED_VALUE"""),"s-Gravenhage")</f>
        <v>s-Gravenhage</v>
      </c>
      <c r="K180" s="6" t="str">
        <f>IFERROR(__xludf.DUMMYFUNCTION("""COMPUTED_VALUE"""),"Nederland")</f>
        <v>Nederland</v>
      </c>
      <c r="L180" s="6" t="str">
        <f>IFERROR(__xludf.DUMMYFUNCTION("""COMPUTED_VALUE"""),"Фотев")</f>
        <v>Фотев</v>
      </c>
      <c r="M180" s="8">
        <f>IFERROR(__xludf.DUMMYFUNCTION("""COMPUTED_VALUE"""),44116.0)</f>
        <v>44116</v>
      </c>
      <c r="N180" s="6" t="str">
        <f>IFERROR(__xludf.DUMMYFUNCTION("""COMPUTED_VALUE"""),"NL604551976B01")</f>
        <v>NL604551976B01</v>
      </c>
      <c r="O180" s="6">
        <f>IFERROR(__xludf.DUMMYFUNCTION("""COMPUTED_VALUE"""),8.0729339E7)</f>
        <v>80729339</v>
      </c>
      <c r="P180" s="6" t="str">
        <f>IFERROR(__xludf.DUMMYFUNCTION("""COMPUTED_VALUE"""),"NL07INGB0009606192")</f>
        <v>NL07INGB0009606192</v>
      </c>
      <c r="Q180" s="9">
        <f>IFERROR(__xludf.DUMMYFUNCTION("""COMPUTED_VALUE"""),44116.0)</f>
        <v>44116</v>
      </c>
      <c r="R180" s="6"/>
      <c r="S180" s="6" t="str">
        <f>IFERROR(__xludf.DUMMYFUNCTION("""COMPUTED_VALUE"""),"NL003477665B78")</f>
        <v>NL003477665B78</v>
      </c>
      <c r="T180" s="6">
        <f>IFERROR(__xludf.DUMMYFUNCTION("""COMPUTED_VALUE"""),6.04551976E8)</f>
        <v>604551976</v>
      </c>
      <c r="U180" s="7" t="str">
        <f>IFERROR(__xludf.DUMMYFUNCTION("""COMPUTED_VALUE"""),"Eenmanszaak")</f>
        <v>Eenmanszaak</v>
      </c>
      <c r="V180" s="7" t="str">
        <f>IFERROR(__xludf.DUMMYFUNCTION("""COMPUTED_VALUE"""),"000047069414")</f>
        <v>000047069414</v>
      </c>
      <c r="W180" s="6" t="str">
        <f>IFERROR(__xludf.DUMMYFUNCTION("""COMPUTED_VALUE"""),"ink.fotbouw.2288aa@zarabota.nl")</f>
        <v>ink.fotbouw.2288aa@zarabota.nl</v>
      </c>
      <c r="X180" s="6" t="str">
        <f>IFERROR(__xludf.DUMMYFUNCTION("""COMPUTED_VALUE"""),"ver.fotbouw.2288aa@zarabota.nl")</f>
        <v>ver.fotbouw.2288aa@zarabota.nl</v>
      </c>
      <c r="Y180" s="6" t="str">
        <f>IFERROR(__xludf.DUMMYFUNCTION("""COMPUTED_VALUE"""),"Hr.")</f>
        <v>Hr.</v>
      </c>
      <c r="Z180" s="6" t="str">
        <f>IFERROR(__xludf.DUMMYFUNCTION("""COMPUTED_VALUE"""),"Vasil Stoyanov")</f>
        <v>Vasil Stoyanov</v>
      </c>
      <c r="AA180" s="6" t="str">
        <f>IFERROR(__xludf.DUMMYFUNCTION("""COMPUTED_VALUE"""),"Fotev")</f>
        <v>Fotev</v>
      </c>
      <c r="AB180" s="6" t="str">
        <f>IFERROR(__xludf.DUMMYFUNCTION("""COMPUTED_VALUE"""),"V.S.")</f>
        <v>V.S.</v>
      </c>
      <c r="AC180" s="6">
        <f>IFERROR(__xludf.DUMMYFUNCTION("""COMPUTED_VALUE"""),6.04551976E8)</f>
        <v>604551976</v>
      </c>
      <c r="AD180" s="9">
        <f>IFERROR(__xludf.DUMMYFUNCTION("""COMPUTED_VALUE"""),34494.0)</f>
        <v>34494</v>
      </c>
      <c r="AE180" s="6" t="str">
        <f>IFERROR(__xludf.DUMMYFUNCTION("""COMPUTED_VALUE"""),"bg")</f>
        <v>bg</v>
      </c>
      <c r="AF180" s="6" t="str">
        <f>IFERROR(__xludf.DUMMYFUNCTION("""COMPUTED_VALUE"""),"Asenovgrad")</f>
        <v>Asenovgrad</v>
      </c>
      <c r="AG180" s="6" t="str">
        <f>IFERROR(__xludf.DUMMYFUNCTION("""COMPUTED_VALUE"""),"Hr. V.S. Fotev")</f>
        <v>Hr. V.S. Fotev</v>
      </c>
      <c r="AH180" s="6" t="str">
        <f>IFERROR(__xludf.DUMMYFUNCTION("""COMPUTED_VALUE"""),"NL80INGB0428264832")</f>
        <v>NL80INGB0428264832</v>
      </c>
      <c r="AI180" s="6"/>
      <c r="AJ180" s="6" t="str">
        <f>IFERROR(__xludf.DUMMYFUNCTION("""COMPUTED_VALUE"""),"ID Kaart")</f>
        <v>ID Kaart</v>
      </c>
      <c r="AK180" s="6">
        <f>IFERROR(__xludf.DUMMYFUNCTION("""COMPUTED_VALUE"""),6.47364955E8)</f>
        <v>647364955</v>
      </c>
      <c r="AL180" s="9">
        <f>IFERROR(__xludf.DUMMYFUNCTION("""COMPUTED_VALUE"""),46712.0)</f>
        <v>46712</v>
      </c>
      <c r="AM180" s="6" t="str">
        <f>IFERROR(__xludf.DUMMYFUNCTION("""COMPUTED_VALUE"""),"Bulgarije")</f>
        <v>Bulgarije</v>
      </c>
      <c r="AN180" s="6" t="str">
        <f>IFERROR(__xludf.DUMMYFUNCTION("""COMPUTED_VALUE"""),"Vasil Stoyanov Fotev")</f>
        <v>Vasil Stoyanov Fotev</v>
      </c>
      <c r="AO180" s="6">
        <f>IFERROR(__xludf.DUMMYFUNCTION("""COMPUTED_VALUE"""),1034.0)</f>
        <v>1034</v>
      </c>
    </row>
    <row r="181">
      <c r="A181" s="6" t="str">
        <f>IFERROR(__xludf.DUMMYFUNCTION("""COMPUTED_VALUE"""),"Galena 2015")</f>
        <v>Galena 2015</v>
      </c>
      <c r="B181" s="6" t="str">
        <f>IFERROR(__xludf.DUMMYFUNCTION("""COMPUTED_VALUE"""),"Galena 2015")</f>
        <v>Galena 2015</v>
      </c>
      <c r="C181" s="6">
        <f>IFERROR(__xludf.DUMMYFUNCTION("""COMPUTED_VALUE"""),1757.0)</f>
        <v>1757</v>
      </c>
      <c r="D181" s="7" t="str">
        <f>IFERROR(__xludf.DUMMYFUNCTION("""COMPUTED_VALUE"""),"Dimitar Iliev Dimitrov")</f>
        <v>Dimitar Iliev Dimitrov</v>
      </c>
      <c r="E181" s="7" t="str">
        <f>IFERROR(__xludf.DUMMYFUNCTION("""COMPUTED_VALUE"""),"SBI-code: 4120 - Algemene burgerlijke en utiliteitsbouw")</f>
        <v>SBI-code: 4120 - Algemene burgerlijke en utiliteitsbouw</v>
      </c>
      <c r="F181" s="7" t="str">
        <f>IFERROR(__xludf.DUMMYFUNCTION("""COMPUTED_VALUE"""),"0687171793")</f>
        <v>0687171793</v>
      </c>
      <c r="G181" s="6" t="str">
        <f>IFERROR(__xludf.DUMMYFUNCTION("""COMPUTED_VALUE"""),"dimitrov1989.d@gmail.com")</f>
        <v>dimitrov1989.d@gmail.com</v>
      </c>
      <c r="H181" s="6" t="str">
        <f>IFERROR(__xludf.DUMMYFUNCTION("""COMPUTED_VALUE"""),"Oostvaardersdijk 26")</f>
        <v>Oostvaardersdijk 26</v>
      </c>
      <c r="I181" s="6" t="str">
        <f>IFERROR(__xludf.DUMMYFUNCTION("""COMPUTED_VALUE"""),"8243PA")</f>
        <v>8243PA</v>
      </c>
      <c r="J181" s="6" t="str">
        <f>IFERROR(__xludf.DUMMYFUNCTION("""COMPUTED_VALUE"""),"Lelystad")</f>
        <v>Lelystad</v>
      </c>
      <c r="K181" s="6" t="str">
        <f>IFERROR(__xludf.DUMMYFUNCTION("""COMPUTED_VALUE"""),"Nederland")</f>
        <v>Nederland</v>
      </c>
      <c r="L181" s="6" t="str">
        <f>IFERROR(__xludf.DUMMYFUNCTION("""COMPUTED_VALUE"""),"Димитров")</f>
        <v>Димитров</v>
      </c>
      <c r="M181" s="8">
        <f>IFERROR(__xludf.DUMMYFUNCTION("""COMPUTED_VALUE"""),45971.0)</f>
        <v>45971</v>
      </c>
      <c r="N181" s="6" t="str">
        <f>IFERROR(__xludf.DUMMYFUNCTION("""COMPUTED_VALUE"""),"NL509335123B02")</f>
        <v>NL509335123B02</v>
      </c>
      <c r="O181" s="6">
        <f>IFERROR(__xludf.DUMMYFUNCTION("""COMPUTED_VALUE"""),9.8912518E7)</f>
        <v>98912518</v>
      </c>
      <c r="P181" s="6" t="str">
        <f>IFERROR(__xludf.DUMMYFUNCTION("""COMPUTED_VALUE"""),"NL23INGB0117120995")</f>
        <v>NL23INGB0117120995</v>
      </c>
      <c r="Q181" s="9">
        <f>IFERROR(__xludf.DUMMYFUNCTION("""COMPUTED_VALUE"""),45971.0)</f>
        <v>45971</v>
      </c>
      <c r="R181" s="6"/>
      <c r="S181" s="6" t="str">
        <f>IFERROR(__xludf.DUMMYFUNCTION("""COMPUTED_VALUE"""),"NL005361371B93")</f>
        <v>NL005361371B93</v>
      </c>
      <c r="T181" s="6">
        <f>IFERROR(__xludf.DUMMYFUNCTION("""COMPUTED_VALUE"""),5.09335123E8)</f>
        <v>509335123</v>
      </c>
      <c r="U181" s="7" t="str">
        <f>IFERROR(__xludf.DUMMYFUNCTION("""COMPUTED_VALUE"""),"Eenmanszaak")</f>
        <v>Eenmanszaak</v>
      </c>
      <c r="V181" s="7" t="str">
        <f>IFERROR(__xludf.DUMMYFUNCTION("""COMPUTED_VALUE"""),"000064042901")</f>
        <v>000064042901</v>
      </c>
      <c r="W181" s="6" t="str">
        <f>IFERROR(__xludf.DUMMYFUNCTION("""COMPUTED_VALUE"""),"ink.denis2017.2288aa@zarabota.nl")</f>
        <v>ink.denis2017.2288aa@zarabota.nl</v>
      </c>
      <c r="X181" s="6" t="str">
        <f>IFERROR(__xludf.DUMMYFUNCTION("""COMPUTED_VALUE"""),"ver.denis2017.2288aa@zarabota.nl")</f>
        <v>ver.denis2017.2288aa@zarabota.nl</v>
      </c>
      <c r="Y181" s="6" t="str">
        <f>IFERROR(__xludf.DUMMYFUNCTION("""COMPUTED_VALUE"""),"Hr.")</f>
        <v>Hr.</v>
      </c>
      <c r="Z181" s="6" t="str">
        <f>IFERROR(__xludf.DUMMYFUNCTION("""COMPUTED_VALUE"""),"Dimitar Iliev")</f>
        <v>Dimitar Iliev</v>
      </c>
      <c r="AA181" s="6" t="str">
        <f>IFERROR(__xludf.DUMMYFUNCTION("""COMPUTED_VALUE"""),"Dimitrov")</f>
        <v>Dimitrov</v>
      </c>
      <c r="AB181" s="6" t="str">
        <f>IFERROR(__xludf.DUMMYFUNCTION("""COMPUTED_VALUE"""),"D.I.")</f>
        <v>D.I.</v>
      </c>
      <c r="AC181" s="6">
        <f>IFERROR(__xludf.DUMMYFUNCTION("""COMPUTED_VALUE"""),5.09335123E8)</f>
        <v>509335123</v>
      </c>
      <c r="AD181" s="9">
        <f>IFERROR(__xludf.DUMMYFUNCTION("""COMPUTED_VALUE"""),32689.0)</f>
        <v>32689</v>
      </c>
      <c r="AE181" s="6" t="str">
        <f>IFERROR(__xludf.DUMMYFUNCTION("""COMPUTED_VALUE"""),"bg")</f>
        <v>bg</v>
      </c>
      <c r="AF181" s="6" t="str">
        <f>IFERROR(__xludf.DUMMYFUNCTION("""COMPUTED_VALUE"""),"Lovech")</f>
        <v>Lovech</v>
      </c>
      <c r="AG181" s="6" t="str">
        <f>IFERROR(__xludf.DUMMYFUNCTION("""COMPUTED_VALUE"""),"Hr. D.I. Dimitrov")</f>
        <v>Hr. D.I. Dimitrov</v>
      </c>
      <c r="AH181" s="6" t="str">
        <f>IFERROR(__xludf.DUMMYFUNCTION("""COMPUTED_VALUE"""),"NL96INGB0102773963")</f>
        <v>NL96INGB0102773963</v>
      </c>
      <c r="AI181" s="9">
        <f>IFERROR(__xludf.DUMMYFUNCTION("""COMPUTED_VALUE"""),45196.0)</f>
        <v>45196</v>
      </c>
      <c r="AJ181" s="6" t="str">
        <f>IFERROR(__xludf.DUMMYFUNCTION("""COMPUTED_VALUE"""),"ID Kaart")</f>
        <v>ID Kaart</v>
      </c>
      <c r="AK181" s="6">
        <f>IFERROR(__xludf.DUMMYFUNCTION("""COMPUTED_VALUE"""),6.50436086E8)</f>
        <v>650436086</v>
      </c>
      <c r="AL181" s="9">
        <f>IFERROR(__xludf.DUMMYFUNCTION("""COMPUTED_VALUE"""),48034.0)</f>
        <v>48034</v>
      </c>
      <c r="AM181" s="6" t="str">
        <f>IFERROR(__xludf.DUMMYFUNCTION("""COMPUTED_VALUE"""),"Bulgarije")</f>
        <v>Bulgarije</v>
      </c>
      <c r="AN181" s="6" t="str">
        <f>IFERROR(__xludf.DUMMYFUNCTION("""COMPUTED_VALUE"""),"Dimitar Iliev Dimitrov")</f>
        <v>Dimitar Iliev Dimitrov</v>
      </c>
      <c r="AO181" s="6">
        <f>IFERROR(__xludf.DUMMYFUNCTION("""COMPUTED_VALUE"""),1757.0)</f>
        <v>1757</v>
      </c>
    </row>
    <row r="182">
      <c r="A182" s="6" t="str">
        <f>IFERROR(__xludf.DUMMYFUNCTION("""COMPUTED_VALUE"""),"Galenda")</f>
        <v>Galenda</v>
      </c>
      <c r="B182" s="6" t="str">
        <f>IFERROR(__xludf.DUMMYFUNCTION("""COMPUTED_VALUE"""),"Galenda")</f>
        <v>Galenda</v>
      </c>
      <c r="C182" s="6">
        <f>IFERROR(__xludf.DUMMYFUNCTION("""COMPUTED_VALUE"""),566.0)</f>
        <v>566</v>
      </c>
      <c r="D182" s="7" t="str">
        <f>IFERROR(__xludf.DUMMYFUNCTION("""COMPUTED_VALUE"""),"Mykhailo Andriyovych Galenda")</f>
        <v>Mykhailo Andriyovych Galenda</v>
      </c>
      <c r="E182" s="7" t="str">
        <f>IFERROR(__xludf.DUMMYFUNCTION("""COMPUTED_VALUE"""),"SBI-code: 4331 - Stukadoren")</f>
        <v>SBI-code: 4331 - Stukadoren</v>
      </c>
      <c r="F182" s="7" t="str">
        <f>IFERROR(__xludf.DUMMYFUNCTION("""COMPUTED_VALUE"""),"+31633357772")</f>
        <v>+31633357772</v>
      </c>
      <c r="G182" s="6" t="str">
        <f>IFERROR(__xludf.DUMMYFUNCTION("""COMPUTED_VALUE"""),"misha.galenda@gmail.com")</f>
        <v>misha.galenda@gmail.com</v>
      </c>
      <c r="H182" s="6" t="str">
        <f>IFERROR(__xludf.DUMMYFUNCTION("""COMPUTED_VALUE"""),"Werkzijde 27")</f>
        <v>Werkzijde 27</v>
      </c>
      <c r="I182" s="6" t="str">
        <f>IFERROR(__xludf.DUMMYFUNCTION("""COMPUTED_VALUE"""),"2543CA")</f>
        <v>2543CA</v>
      </c>
      <c r="J182" s="6" t="str">
        <f>IFERROR(__xludf.DUMMYFUNCTION("""COMPUTED_VALUE"""),"s-Gravenhage")</f>
        <v>s-Gravenhage</v>
      </c>
      <c r="K182" s="6" t="str">
        <f>IFERROR(__xludf.DUMMYFUNCTION("""COMPUTED_VALUE"""),"Nederland")</f>
        <v>Nederland</v>
      </c>
      <c r="L182" s="6" t="str">
        <f>IFERROR(__xludf.DUMMYFUNCTION("""COMPUTED_VALUE"""),"Галенда")</f>
        <v>Галенда</v>
      </c>
      <c r="M182" s="8">
        <f>IFERROR(__xludf.DUMMYFUNCTION("""COMPUTED_VALUE"""),43203.0)</f>
        <v>43203</v>
      </c>
      <c r="N182" s="6" t="str">
        <f>IFERROR(__xludf.DUMMYFUNCTION("""COMPUTED_VALUE"""),"NL623918250B01")</f>
        <v>NL623918250B01</v>
      </c>
      <c r="O182" s="6">
        <f>IFERROR(__xludf.DUMMYFUNCTION("""COMPUTED_VALUE"""),7.1439684E7)</f>
        <v>71439684</v>
      </c>
      <c r="P182" s="6" t="str">
        <f>IFERROR(__xludf.DUMMYFUNCTION("""COMPUTED_VALUE"""),"NL28INGB0008321631")</f>
        <v>NL28INGB0008321631</v>
      </c>
      <c r="Q182" s="9">
        <f>IFERROR(__xludf.DUMMYFUNCTION("""COMPUTED_VALUE"""),43199.0)</f>
        <v>43199</v>
      </c>
      <c r="R182" s="6"/>
      <c r="S182" s="6" t="str">
        <f>IFERROR(__xludf.DUMMYFUNCTION("""COMPUTED_VALUE"""),"NL623918250B01")</f>
        <v>NL623918250B01</v>
      </c>
      <c r="T182" s="6">
        <f>IFERROR(__xludf.DUMMYFUNCTION("""COMPUTED_VALUE"""),6.2391825E8)</f>
        <v>623918250</v>
      </c>
      <c r="U182" s="7" t="str">
        <f>IFERROR(__xludf.DUMMYFUNCTION("""COMPUTED_VALUE"""),"Eenmanszaak")</f>
        <v>Eenmanszaak</v>
      </c>
      <c r="V182" s="7" t="str">
        <f>IFERROR(__xludf.DUMMYFUNCTION("""COMPUTED_VALUE"""),"000039625125")</f>
        <v>000039625125</v>
      </c>
      <c r="W182" s="6" t="str">
        <f>IFERROR(__xludf.DUMMYFUNCTION("""COMPUTED_VALUE"""),"ink.galenda.2288aa@zarabota.nl")</f>
        <v>ink.galenda.2288aa@zarabota.nl</v>
      </c>
      <c r="X182" s="6" t="str">
        <f>IFERROR(__xludf.DUMMYFUNCTION("""COMPUTED_VALUE"""),"ver.galenda.2288aa@zarabota.nl")</f>
        <v>ver.galenda.2288aa@zarabota.nl</v>
      </c>
      <c r="Y182" s="6" t="str">
        <f>IFERROR(__xludf.DUMMYFUNCTION("""COMPUTED_VALUE"""),"Hr.")</f>
        <v>Hr.</v>
      </c>
      <c r="Z182" s="6" t="str">
        <f>IFERROR(__xludf.DUMMYFUNCTION("""COMPUTED_VALUE"""),"Mykhailo Andriyovych")</f>
        <v>Mykhailo Andriyovych</v>
      </c>
      <c r="AA182" s="6" t="str">
        <f>IFERROR(__xludf.DUMMYFUNCTION("""COMPUTED_VALUE"""),"Galenda")</f>
        <v>Galenda</v>
      </c>
      <c r="AB182" s="6" t="str">
        <f>IFERROR(__xludf.DUMMYFUNCTION("""COMPUTED_VALUE"""),"M.A.")</f>
        <v>M.A.</v>
      </c>
      <c r="AC182" s="6">
        <f>IFERROR(__xludf.DUMMYFUNCTION("""COMPUTED_VALUE"""),6.2391825E8)</f>
        <v>623918250</v>
      </c>
      <c r="AD182" s="9">
        <f>IFERROR(__xludf.DUMMYFUNCTION("""COMPUTED_VALUE"""),36165.0)</f>
        <v>36165</v>
      </c>
      <c r="AE182" s="6" t="str">
        <f>IFERROR(__xludf.DUMMYFUNCTION("""COMPUTED_VALUE"""),"nl")</f>
        <v>nl</v>
      </c>
      <c r="AF182" s="6" t="str">
        <f>IFERROR(__xludf.DUMMYFUNCTION("""COMPUTED_VALUE"""),"Zaliztsi")</f>
        <v>Zaliztsi</v>
      </c>
      <c r="AG182" s="6" t="str">
        <f>IFERROR(__xludf.DUMMYFUNCTION("""COMPUTED_VALUE"""),"Hr. M.A. Galenda")</f>
        <v>Hr. M.A. Galenda</v>
      </c>
      <c r="AH182" s="6"/>
      <c r="AI182" s="6"/>
      <c r="AJ182" s="6"/>
      <c r="AK182" s="6"/>
      <c r="AL182" s="6"/>
      <c r="AM182" s="6"/>
      <c r="AN182" s="6" t="str">
        <f>IFERROR(__xludf.DUMMYFUNCTION("""COMPUTED_VALUE"""),"Mykhailo Andriyovych Galenda")</f>
        <v>Mykhailo Andriyovych Galenda</v>
      </c>
      <c r="AO182" s="6"/>
    </row>
    <row r="183">
      <c r="A183" s="6" t="str">
        <f>IFERROR(__xludf.DUMMYFUNCTION("""COMPUTED_VALUE"""),"GALIN")</f>
        <v>GALIN</v>
      </c>
      <c r="B183" s="6" t="str">
        <f>IFERROR(__xludf.DUMMYFUNCTION("""COMPUTED_VALUE"""),"GALIN")</f>
        <v>GALIN</v>
      </c>
      <c r="C183" s="6">
        <f>IFERROR(__xludf.DUMMYFUNCTION("""COMPUTED_VALUE"""),1258.0)</f>
        <v>1258</v>
      </c>
      <c r="D183" s="7" t="str">
        <f>IFERROR(__xludf.DUMMYFUNCTION("""COMPUTED_VALUE"""),"Galin Stefanov Georgiev")</f>
        <v>Galin Stefanov Georgiev</v>
      </c>
      <c r="E183" s="7" t="str">
        <f>IFERROR(__xludf.DUMMYFUNCTION("""COMPUTED_VALUE"""),"SBI-code: 4120 - Algemene burgerlijke en utiliteitsbouw")</f>
        <v>SBI-code: 4120 - Algemene burgerlijke en utiliteitsbouw</v>
      </c>
      <c r="F183" s="7" t="str">
        <f>IFERROR(__xludf.DUMMYFUNCTION("""COMPUTED_VALUE"""),"0684801782")</f>
        <v>0684801782</v>
      </c>
      <c r="G183" s="6" t="str">
        <f>IFERROR(__xludf.DUMMYFUNCTION("""COMPUTED_VALUE"""),"galin.12@hotmail.com")</f>
        <v>galin.12@hotmail.com</v>
      </c>
      <c r="H183" s="6" t="str">
        <f>IFERROR(__xludf.DUMMYFUNCTION("""COMPUTED_VALUE"""),"Alberdingk Thijmstraat 180")</f>
        <v>Alberdingk Thijmstraat 180</v>
      </c>
      <c r="I183" s="6" t="str">
        <f>IFERROR(__xludf.DUMMYFUNCTION("""COMPUTED_VALUE"""),"2524HR")</f>
        <v>2524HR</v>
      </c>
      <c r="J183" s="6" t="str">
        <f>IFERROR(__xludf.DUMMYFUNCTION("""COMPUTED_VALUE"""),"s-Gravenhage")</f>
        <v>s-Gravenhage</v>
      </c>
      <c r="K183" s="6" t="str">
        <f>IFERROR(__xludf.DUMMYFUNCTION("""COMPUTED_VALUE"""),"Nederland")</f>
        <v>Nederland</v>
      </c>
      <c r="L183" s="6" t="str">
        <f>IFERROR(__xludf.DUMMYFUNCTION("""COMPUTED_VALUE"""),"Георгиев")</f>
        <v>Георгиев</v>
      </c>
      <c r="M183" s="8">
        <f>IFERROR(__xludf.DUMMYFUNCTION("""COMPUTED_VALUE"""),44562.0)</f>
        <v>44562</v>
      </c>
      <c r="N183" s="6" t="str">
        <f>IFERROR(__xludf.DUMMYFUNCTION("""COMPUTED_VALUE"""),"NL336918069B01")</f>
        <v>NL336918069B01</v>
      </c>
      <c r="O183" s="6">
        <f>IFERROR(__xludf.DUMMYFUNCTION("""COMPUTED_VALUE"""),6.9487677E7)</f>
        <v>69487677</v>
      </c>
      <c r="P183" s="6" t="str">
        <f>IFERROR(__xludf.DUMMYFUNCTION("""COMPUTED_VALUE"""),"NL66INGB0008010353")</f>
        <v>NL66INGB0008010353</v>
      </c>
      <c r="Q183" s="9">
        <f>IFERROR(__xludf.DUMMYFUNCTION("""COMPUTED_VALUE"""),42969.0)</f>
        <v>42969</v>
      </c>
      <c r="R183" s="6"/>
      <c r="S183" s="6" t="str">
        <f>IFERROR(__xludf.DUMMYFUNCTION("""COMPUTED_VALUE"""),"NL002470593B46")</f>
        <v>NL002470593B46</v>
      </c>
      <c r="T183" s="6">
        <f>IFERROR(__xludf.DUMMYFUNCTION("""COMPUTED_VALUE"""),3.36918069E8)</f>
        <v>336918069</v>
      </c>
      <c r="U183" s="7" t="str">
        <f>IFERROR(__xludf.DUMMYFUNCTION("""COMPUTED_VALUE"""),"Eenmanszaak")</f>
        <v>Eenmanszaak</v>
      </c>
      <c r="V183" s="7" t="str">
        <f>IFERROR(__xludf.DUMMYFUNCTION("""COMPUTED_VALUE"""),"000037836269")</f>
        <v>000037836269</v>
      </c>
      <c r="W183" s="6" t="str">
        <f>IFERROR(__xludf.DUMMYFUNCTION("""COMPUTED_VALUE"""),"ink.galin.2288aa@zarabota.nl")</f>
        <v>ink.galin.2288aa@zarabota.nl</v>
      </c>
      <c r="X183" s="6" t="str">
        <f>IFERROR(__xludf.DUMMYFUNCTION("""COMPUTED_VALUE"""),"ver.galin.2288aa@zarabota.nl")</f>
        <v>ver.galin.2288aa@zarabota.nl</v>
      </c>
      <c r="Y183" s="6" t="str">
        <f>IFERROR(__xludf.DUMMYFUNCTION("""COMPUTED_VALUE"""),"Hr.")</f>
        <v>Hr.</v>
      </c>
      <c r="Z183" s="6" t="str">
        <f>IFERROR(__xludf.DUMMYFUNCTION("""COMPUTED_VALUE"""),"Galin Stefanov")</f>
        <v>Galin Stefanov</v>
      </c>
      <c r="AA183" s="6" t="str">
        <f>IFERROR(__xludf.DUMMYFUNCTION("""COMPUTED_VALUE"""),"Georgiev")</f>
        <v>Georgiev</v>
      </c>
      <c r="AB183" s="6" t="str">
        <f>IFERROR(__xludf.DUMMYFUNCTION("""COMPUTED_VALUE"""),"G.S.")</f>
        <v>G.S.</v>
      </c>
      <c r="AC183" s="6">
        <f>IFERROR(__xludf.DUMMYFUNCTION("""COMPUTED_VALUE"""),3.36918069E8)</f>
        <v>336918069</v>
      </c>
      <c r="AD183" s="9">
        <f>IFERROR(__xludf.DUMMYFUNCTION("""COMPUTED_VALUE"""),30674.0)</f>
        <v>30674</v>
      </c>
      <c r="AE183" s="6" t="str">
        <f>IFERROR(__xludf.DUMMYFUNCTION("""COMPUTED_VALUE"""),"bg")</f>
        <v>bg</v>
      </c>
      <c r="AF183" s="6" t="str">
        <f>IFERROR(__xludf.DUMMYFUNCTION("""COMPUTED_VALUE"""),"Kubrat")</f>
        <v>Kubrat</v>
      </c>
      <c r="AG183" s="6" t="str">
        <f>IFERROR(__xludf.DUMMYFUNCTION("""COMPUTED_VALUE"""),"Hr. G.S. Georgiev")</f>
        <v>Hr. G.S. Georgiev</v>
      </c>
      <c r="AH183" s="6" t="str">
        <f>IFERROR(__xludf.DUMMYFUNCTION("""COMPUTED_VALUE"""),"NL96INGB0703230832")</f>
        <v>NL96INGB0703230832</v>
      </c>
      <c r="AI183" s="6"/>
      <c r="AJ183" s="6" t="str">
        <f>IFERROR(__xludf.DUMMYFUNCTION("""COMPUTED_VALUE"""),"ID Kaart")</f>
        <v>ID Kaart</v>
      </c>
      <c r="AK183" s="6">
        <f>IFERROR(__xludf.DUMMYFUNCTION("""COMPUTED_VALUE"""),6.44849288E8)</f>
        <v>644849288</v>
      </c>
      <c r="AL183" s="9">
        <f>IFERROR(__xludf.DUMMYFUNCTION("""COMPUTED_VALUE"""),45172.0)</f>
        <v>45172</v>
      </c>
      <c r="AM183" s="6" t="str">
        <f>IFERROR(__xludf.DUMMYFUNCTION("""COMPUTED_VALUE"""),"Bulgarije")</f>
        <v>Bulgarije</v>
      </c>
      <c r="AN183" s="6" t="str">
        <f>IFERROR(__xludf.DUMMYFUNCTION("""COMPUTED_VALUE"""),"Galin Stefanov Georgiev")</f>
        <v>Galin Stefanov Georgiev</v>
      </c>
      <c r="AO183" s="6">
        <f>IFERROR(__xludf.DUMMYFUNCTION("""COMPUTED_VALUE"""),1258.0)</f>
        <v>1258</v>
      </c>
    </row>
    <row r="184">
      <c r="A184" s="6" t="str">
        <f>IFERROR(__xludf.DUMMYFUNCTION("""COMPUTED_VALUE"""),"GAV Diensten")</f>
        <v>GAV Diensten</v>
      </c>
      <c r="B184" s="6" t="str">
        <f>IFERROR(__xludf.DUMMYFUNCTION("""COMPUTED_VALUE"""),"GAV Diensten")</f>
        <v>GAV Diensten</v>
      </c>
      <c r="C184" s="6">
        <f>IFERROR(__xludf.DUMMYFUNCTION("""COMPUTED_VALUE"""),1567.0)</f>
        <v>1567</v>
      </c>
      <c r="D184" s="7" t="str">
        <f>IFERROR(__xludf.DUMMYFUNCTION("""COMPUTED_VALUE"""),"Gosho Angelov Velkov")</f>
        <v>Gosho Angelov Velkov</v>
      </c>
      <c r="E184" s="7" t="str">
        <f>IFERROR(__xludf.DUMMYFUNCTION("""COMPUTED_VALUE"""),"SBI-code: 4120 - Algemene burgerlijke en utiliteitsbouw")</f>
        <v>SBI-code: 4120 - Algemene burgerlijke en utiliteitsbouw</v>
      </c>
      <c r="F184" s="7" t="str">
        <f>IFERROR(__xludf.DUMMYFUNCTION("""COMPUTED_VALUE"""),"0613878420")</f>
        <v>0613878420</v>
      </c>
      <c r="G184" s="6" t="str">
        <f>IFERROR(__xludf.DUMMYFUNCTION("""COMPUTED_VALUE"""),"velkovgosho914@gmail.com")</f>
        <v>velkovgosho914@gmail.com</v>
      </c>
      <c r="H184" s="6" t="str">
        <f>IFERROR(__xludf.DUMMYFUNCTION("""COMPUTED_VALUE"""),"Cilliersstraat 11")</f>
        <v>Cilliersstraat 11</v>
      </c>
      <c r="I184" s="6" t="str">
        <f>IFERROR(__xludf.DUMMYFUNCTION("""COMPUTED_VALUE"""),"2572 AS")</f>
        <v>2572 AS</v>
      </c>
      <c r="J184" s="6" t="str">
        <f>IFERROR(__xludf.DUMMYFUNCTION("""COMPUTED_VALUE"""),"s-Gravenhage")</f>
        <v>s-Gravenhage</v>
      </c>
      <c r="K184" s="6" t="str">
        <f>IFERROR(__xludf.DUMMYFUNCTION("""COMPUTED_VALUE"""),"Nederland")</f>
        <v>Nederland</v>
      </c>
      <c r="L184" s="6" t="str">
        <f>IFERROR(__xludf.DUMMYFUNCTION("""COMPUTED_VALUE"""),"Великов")</f>
        <v>Великов</v>
      </c>
      <c r="M184" s="8">
        <f>IFERROR(__xludf.DUMMYFUNCTION("""COMPUTED_VALUE"""),45292.0)</f>
        <v>45292</v>
      </c>
      <c r="N184" s="6" t="str">
        <f>IFERROR(__xludf.DUMMYFUNCTION("""COMPUTED_VALUE"""),"NL295409940B01")</f>
        <v>NL295409940B01</v>
      </c>
      <c r="O184" s="6">
        <f>IFERROR(__xludf.DUMMYFUNCTION("""COMPUTED_VALUE"""),9.2475663E7)</f>
        <v>92475663</v>
      </c>
      <c r="P184" s="6" t="str">
        <f>IFERROR(__xludf.DUMMYFUNCTION("""COMPUTED_VALUE"""),"NL22 INGB 0104 7511 85")</f>
        <v>NL22 INGB 0104 7511 85</v>
      </c>
      <c r="Q184" s="9">
        <f>IFERROR(__xludf.DUMMYFUNCTION("""COMPUTED_VALUE"""),43497.0)</f>
        <v>43497</v>
      </c>
      <c r="R184" s="6"/>
      <c r="S184" s="6" t="str">
        <f>IFERROR(__xludf.DUMMYFUNCTION("""COMPUTED_VALUE"""),"NL004959404B84")</f>
        <v>NL004959404B84</v>
      </c>
      <c r="T184" s="6">
        <f>IFERROR(__xludf.DUMMYFUNCTION("""COMPUTED_VALUE"""),2.9540994E8)</f>
        <v>295409940</v>
      </c>
      <c r="U184" s="7" t="str">
        <f>IFERROR(__xludf.DUMMYFUNCTION("""COMPUTED_VALUE"""),"Eenmanszaak")</f>
        <v>Eenmanszaak</v>
      </c>
      <c r="V184" s="7" t="str">
        <f>IFERROR(__xludf.DUMMYFUNCTION("""COMPUTED_VALUE"""),"000041828380")</f>
        <v>000041828380</v>
      </c>
      <c r="W184" s="6" t="str">
        <f>IFERROR(__xludf.DUMMYFUNCTION("""COMPUTED_VALUE"""),"ink.gavdiensten.2288aa@zarabota.nl")</f>
        <v>ink.gavdiensten.2288aa@zarabota.nl</v>
      </c>
      <c r="X184" s="6" t="str">
        <f>IFERROR(__xludf.DUMMYFUNCTION("""COMPUTED_VALUE"""),"ver.gavdiensten.2288aa@zarabota.nl")</f>
        <v>ver.gavdiensten.2288aa@zarabota.nl</v>
      </c>
      <c r="Y184" s="6" t="str">
        <f>IFERROR(__xludf.DUMMYFUNCTION("""COMPUTED_VALUE"""),"Hr.")</f>
        <v>Hr.</v>
      </c>
      <c r="Z184" s="6" t="str">
        <f>IFERROR(__xludf.DUMMYFUNCTION("""COMPUTED_VALUE"""),"Gosho Angelov")</f>
        <v>Gosho Angelov</v>
      </c>
      <c r="AA184" s="6" t="str">
        <f>IFERROR(__xludf.DUMMYFUNCTION("""COMPUTED_VALUE"""),"Velkov")</f>
        <v>Velkov</v>
      </c>
      <c r="AB184" s="6" t="str">
        <f>IFERROR(__xludf.DUMMYFUNCTION("""COMPUTED_VALUE"""),"G.A.")</f>
        <v>G.A.</v>
      </c>
      <c r="AC184" s="6">
        <f>IFERROR(__xludf.DUMMYFUNCTION("""COMPUTED_VALUE"""),2.9540994E8)</f>
        <v>295409940</v>
      </c>
      <c r="AD184" s="9">
        <f>IFERROR(__xludf.DUMMYFUNCTION("""COMPUTED_VALUE"""),33766.0)</f>
        <v>33766</v>
      </c>
      <c r="AE184" s="6" t="str">
        <f>IFERROR(__xludf.DUMMYFUNCTION("""COMPUTED_VALUE"""),"bg")</f>
        <v>bg</v>
      </c>
      <c r="AF184" s="6" t="str">
        <f>IFERROR(__xludf.DUMMYFUNCTION("""COMPUTED_VALUE"""),"Dimitrovgrad")</f>
        <v>Dimitrovgrad</v>
      </c>
      <c r="AG184" s="6" t="str">
        <f>IFERROR(__xludf.DUMMYFUNCTION("""COMPUTED_VALUE"""),"Hr. G.A. Velkov")</f>
        <v>Hr. G.A. Velkov</v>
      </c>
      <c r="AH184" s="6" t="str">
        <f>IFERROR(__xludf.DUMMYFUNCTION("""COMPUTED_VALUE"""),"NL70SNSB0938992945")</f>
        <v>NL70SNSB0938992945</v>
      </c>
      <c r="AI184" s="9">
        <f>IFERROR(__xludf.DUMMYFUNCTION("""COMPUTED_VALUE"""),43732.0)</f>
        <v>43732</v>
      </c>
      <c r="AJ184" s="6" t="str">
        <f>IFERROR(__xludf.DUMMYFUNCTION("""COMPUTED_VALUE"""),"ID Kaart")</f>
        <v>ID Kaart</v>
      </c>
      <c r="AK184" s="6">
        <f>IFERROR(__xludf.DUMMYFUNCTION("""COMPUTED_VALUE"""),6.47036894E8)</f>
        <v>647036894</v>
      </c>
      <c r="AL184" s="9">
        <f>IFERROR(__xludf.DUMMYFUNCTION("""COMPUTED_VALUE"""),46550.0)</f>
        <v>46550</v>
      </c>
      <c r="AM184" s="6"/>
      <c r="AN184" s="6" t="str">
        <f>IFERROR(__xludf.DUMMYFUNCTION("""COMPUTED_VALUE"""),"Gosho Angelov Velkov")</f>
        <v>Gosho Angelov Velkov</v>
      </c>
      <c r="AO184" s="6">
        <f>IFERROR(__xludf.DUMMYFUNCTION("""COMPUTED_VALUE"""),1567.0)</f>
        <v>1567</v>
      </c>
    </row>
    <row r="185">
      <c r="A185" s="6" t="str">
        <f>IFERROR(__xludf.DUMMYFUNCTION("""COMPUTED_VALUE"""),"GDP Bouw")</f>
        <v>GDP Bouw</v>
      </c>
      <c r="B185" s="6" t="str">
        <f>IFERROR(__xludf.DUMMYFUNCTION("""COMPUTED_VALUE"""),"GDP Bouw")</f>
        <v>GDP Bouw</v>
      </c>
      <c r="C185" s="6">
        <f>IFERROR(__xludf.DUMMYFUNCTION("""COMPUTED_VALUE"""),416.0)</f>
        <v>416</v>
      </c>
      <c r="D185" s="7" t="str">
        <f>IFERROR(__xludf.DUMMYFUNCTION("""COMPUTED_VALUE"""),"Georgi Dimitrov Panayotov")</f>
        <v>Georgi Dimitrov Panayotov</v>
      </c>
      <c r="E185" s="7" t="str">
        <f>IFERROR(__xludf.DUMMYFUNCTION("""COMPUTED_VALUE"""),"SBI-code: 4120 - Algemene burgerlijke en utiliteitsbouw")</f>
        <v>SBI-code: 4120 - Algemene burgerlijke en utiliteitsbouw</v>
      </c>
      <c r="F185" s="7" t="str">
        <f>IFERROR(__xludf.DUMMYFUNCTION("""COMPUTED_VALUE"""),"0685070458")</f>
        <v>0685070458</v>
      </c>
      <c r="G185" s="6" t="str">
        <f>IFERROR(__xludf.DUMMYFUNCTION("""COMPUTED_VALUE"""),"gpanayotov77@gmail.com")</f>
        <v>gpanayotov77@gmail.com</v>
      </c>
      <c r="H185" s="6" t="str">
        <f>IFERROR(__xludf.DUMMYFUNCTION("""COMPUTED_VALUE"""),"Van Anrooijstraat 10")</f>
        <v>Van Anrooijstraat 10</v>
      </c>
      <c r="I185" s="6" t="str">
        <f>IFERROR(__xludf.DUMMYFUNCTION("""COMPUTED_VALUE"""),"5343BC")</f>
        <v>5343BC</v>
      </c>
      <c r="J185" s="6" t="str">
        <f>IFERROR(__xludf.DUMMYFUNCTION("""COMPUTED_VALUE"""),"Oss")</f>
        <v>Oss</v>
      </c>
      <c r="K185" s="6" t="str">
        <f>IFERROR(__xludf.DUMMYFUNCTION("""COMPUTED_VALUE"""),"Nederland")</f>
        <v>Nederland</v>
      </c>
      <c r="L185" s="6" t="str">
        <f>IFERROR(__xludf.DUMMYFUNCTION("""COMPUTED_VALUE"""),"Панайотов")</f>
        <v>Панайотов</v>
      </c>
      <c r="M185" s="8">
        <f>IFERROR(__xludf.DUMMYFUNCTION("""COMPUTED_VALUE"""),43175.0)</f>
        <v>43175</v>
      </c>
      <c r="N185" s="6" t="str">
        <f>IFERROR(__xludf.DUMMYFUNCTION("""COMPUTED_VALUE"""),"NL368962258B01")</f>
        <v>NL368962258B01</v>
      </c>
      <c r="O185" s="6">
        <f>IFERROR(__xludf.DUMMYFUNCTION("""COMPUTED_VALUE"""),6.8955189E7)</f>
        <v>68955189</v>
      </c>
      <c r="P185" s="6" t="str">
        <f>IFERROR(__xludf.DUMMYFUNCTION("""COMPUTED_VALUE"""),"NL14INGB0007712335")</f>
        <v>NL14INGB0007712335</v>
      </c>
      <c r="Q185" s="9">
        <f>IFERROR(__xludf.DUMMYFUNCTION("""COMPUTED_VALUE"""),42887.0)</f>
        <v>42887</v>
      </c>
      <c r="R185" s="6"/>
      <c r="S185" s="6" t="str">
        <f>IFERROR(__xludf.DUMMYFUNCTION("""COMPUTED_VALUE"""),"NL002474214B49")</f>
        <v>NL002474214B49</v>
      </c>
      <c r="T185" s="6">
        <f>IFERROR(__xludf.DUMMYFUNCTION("""COMPUTED_VALUE"""),3.68962258E8)</f>
        <v>368962258</v>
      </c>
      <c r="U185" s="7" t="str">
        <f>IFERROR(__xludf.DUMMYFUNCTION("""COMPUTED_VALUE"""),"Eenmanszaak")</f>
        <v>Eenmanszaak</v>
      </c>
      <c r="V185" s="7" t="str">
        <f>IFERROR(__xludf.DUMMYFUNCTION("""COMPUTED_VALUE"""),"000037350706")</f>
        <v>000037350706</v>
      </c>
      <c r="W185" s="6" t="str">
        <f>IFERROR(__xludf.DUMMYFUNCTION("""COMPUTED_VALUE"""),"ink.gdpbouw.2288aa@zarabota.nl")</f>
        <v>ink.gdpbouw.2288aa@zarabota.nl</v>
      </c>
      <c r="X185" s="6" t="str">
        <f>IFERROR(__xludf.DUMMYFUNCTION("""COMPUTED_VALUE"""),"ver.gdpbouw.2288aa@zarabota.nl")</f>
        <v>ver.gdpbouw.2288aa@zarabota.nl</v>
      </c>
      <c r="Y185" s="6" t="str">
        <f>IFERROR(__xludf.DUMMYFUNCTION("""COMPUTED_VALUE"""),"Hr.")</f>
        <v>Hr.</v>
      </c>
      <c r="Z185" s="6" t="str">
        <f>IFERROR(__xludf.DUMMYFUNCTION("""COMPUTED_VALUE"""),"Georgi Dimitrov")</f>
        <v>Georgi Dimitrov</v>
      </c>
      <c r="AA185" s="6" t="str">
        <f>IFERROR(__xludf.DUMMYFUNCTION("""COMPUTED_VALUE"""),"Panayotov")</f>
        <v>Panayotov</v>
      </c>
      <c r="AB185" s="6" t="str">
        <f>IFERROR(__xludf.DUMMYFUNCTION("""COMPUTED_VALUE"""),"G.D.")</f>
        <v>G.D.</v>
      </c>
      <c r="AC185" s="6">
        <f>IFERROR(__xludf.DUMMYFUNCTION("""COMPUTED_VALUE"""),3.68962258E8)</f>
        <v>368962258</v>
      </c>
      <c r="AD185" s="9">
        <f>IFERROR(__xludf.DUMMYFUNCTION("""COMPUTED_VALUE"""),28424.0)</f>
        <v>28424</v>
      </c>
      <c r="AE185" s="6" t="str">
        <f>IFERROR(__xludf.DUMMYFUNCTION("""COMPUTED_VALUE"""),"bg")</f>
        <v>bg</v>
      </c>
      <c r="AF185" s="6" t="str">
        <f>IFERROR(__xludf.DUMMYFUNCTION("""COMPUTED_VALUE"""),"Varna")</f>
        <v>Varna</v>
      </c>
      <c r="AG185" s="6" t="str">
        <f>IFERROR(__xludf.DUMMYFUNCTION("""COMPUTED_VALUE"""),"Hr. G.D. Panayotov")</f>
        <v>Hr. G.D. Panayotov</v>
      </c>
      <c r="AH185" s="6"/>
      <c r="AI185" s="6"/>
      <c r="AJ185" s="6"/>
      <c r="AK185" s="6"/>
      <c r="AL185" s="6"/>
      <c r="AM185" s="6"/>
      <c r="AN185" s="6" t="str">
        <f>IFERROR(__xludf.DUMMYFUNCTION("""COMPUTED_VALUE"""),"Georgi Dimitrov Panayotov")</f>
        <v>Georgi Dimitrov Panayotov</v>
      </c>
      <c r="AO185" s="6"/>
    </row>
    <row r="186">
      <c r="A186" s="6" t="str">
        <f>IFERROR(__xludf.DUMMYFUNCTION("""COMPUTED_VALUE"""),"Georgi 0609")</f>
        <v>Georgi 0609</v>
      </c>
      <c r="B186" s="6" t="str">
        <f>IFERROR(__xludf.DUMMYFUNCTION("""COMPUTED_VALUE"""),"Georgi 0609")</f>
        <v>Georgi 0609</v>
      </c>
      <c r="C186" s="6">
        <f>IFERROR(__xludf.DUMMYFUNCTION("""COMPUTED_VALUE"""),1455.0)</f>
        <v>1455</v>
      </c>
      <c r="D186" s="7" t="str">
        <f>IFERROR(__xludf.DUMMYFUNCTION("""COMPUTED_VALUE"""),"Asen Georgiev Velev")</f>
        <v>Asen Georgiev Velev</v>
      </c>
      <c r="E186" s="7" t="str">
        <f>IFERROR(__xludf.DUMMYFUNCTION("""COMPUTED_VALUE"""),"SBI-code: 0161 - Dienstverlening voor de akker- en/of tuinbouw")</f>
        <v>SBI-code: 0161 - Dienstverlening voor de akker- en/of tuinbouw</v>
      </c>
      <c r="F186" s="7" t="str">
        <f>IFERROR(__xludf.DUMMYFUNCTION("""COMPUTED_VALUE"""),"0685482485")</f>
        <v>0685482485</v>
      </c>
      <c r="G186" s="6" t="str">
        <f>IFERROR(__xludf.DUMMYFUNCTION("""COMPUTED_VALUE"""),"asen.velev9710@gmail.com")</f>
        <v>asen.velev9710@gmail.com</v>
      </c>
      <c r="H186" s="6" t="str">
        <f>IFERROR(__xludf.DUMMYFUNCTION("""COMPUTED_VALUE"""),"Bouwlustlaan 34")</f>
        <v>Bouwlustlaan 34</v>
      </c>
      <c r="I186" s="6" t="str">
        <f>IFERROR(__xludf.DUMMYFUNCTION("""COMPUTED_VALUE"""),"2544JT")</f>
        <v>2544JT</v>
      </c>
      <c r="J186" s="6" t="str">
        <f>IFERROR(__xludf.DUMMYFUNCTION("""COMPUTED_VALUE"""),"s-Gravenhage")</f>
        <v>s-Gravenhage</v>
      </c>
      <c r="K186" s="6" t="str">
        <f>IFERROR(__xludf.DUMMYFUNCTION("""COMPUTED_VALUE"""),"Nederland")</f>
        <v>Nederland</v>
      </c>
      <c r="L186" s="6" t="str">
        <f>IFERROR(__xludf.DUMMYFUNCTION("""COMPUTED_VALUE"""),"Велев")</f>
        <v>Велев</v>
      </c>
      <c r="M186" s="8">
        <f>IFERROR(__xludf.DUMMYFUNCTION("""COMPUTED_VALUE"""),44950.0)</f>
        <v>44950</v>
      </c>
      <c r="N186" s="6" t="str">
        <f>IFERROR(__xludf.DUMMYFUNCTION("""COMPUTED_VALUE"""),"NL388340022B01")</f>
        <v>NL388340022B01</v>
      </c>
      <c r="O186" s="6">
        <f>IFERROR(__xludf.DUMMYFUNCTION("""COMPUTED_VALUE"""),8.9016262E7)</f>
        <v>89016262</v>
      </c>
      <c r="P186" s="6" t="str">
        <f>IFERROR(__xludf.DUMMYFUNCTION("""COMPUTED_VALUE"""),"NL17INGB0101658915")</f>
        <v>NL17INGB0101658915</v>
      </c>
      <c r="Q186" s="9">
        <f>IFERROR(__xludf.DUMMYFUNCTION("""COMPUTED_VALUE"""),44950.0)</f>
        <v>44950</v>
      </c>
      <c r="R186" s="6"/>
      <c r="S186" s="6" t="str">
        <f>IFERROR(__xludf.DUMMYFUNCTION("""COMPUTED_VALUE"""),"NL004681218B91")</f>
        <v>NL004681218B91</v>
      </c>
      <c r="T186" s="6">
        <f>IFERROR(__xludf.DUMMYFUNCTION("""COMPUTED_VALUE"""),3.88340022E8)</f>
        <v>388340022</v>
      </c>
      <c r="U186" s="7" t="str">
        <f>IFERROR(__xludf.DUMMYFUNCTION("""COMPUTED_VALUE"""),"Eenmanszaak")</f>
        <v>Eenmanszaak</v>
      </c>
      <c r="V186" s="7" t="str">
        <f>IFERROR(__xludf.DUMMYFUNCTION("""COMPUTED_VALUE"""),"000054831547")</f>
        <v>000054831547</v>
      </c>
      <c r="W186" s="6" t="str">
        <f>IFERROR(__xludf.DUMMYFUNCTION("""COMPUTED_VALUE"""),"ink.georgi0609.2288aa@zarabota.nl")</f>
        <v>ink.georgi0609.2288aa@zarabota.nl</v>
      </c>
      <c r="X186" s="6" t="str">
        <f>IFERROR(__xludf.DUMMYFUNCTION("""COMPUTED_VALUE"""),"ver.georgi0609.2288aa@zarabota.nl")</f>
        <v>ver.georgi0609.2288aa@zarabota.nl</v>
      </c>
      <c r="Y186" s="6" t="str">
        <f>IFERROR(__xludf.DUMMYFUNCTION("""COMPUTED_VALUE"""),"Hr.")</f>
        <v>Hr.</v>
      </c>
      <c r="Z186" s="6" t="str">
        <f>IFERROR(__xludf.DUMMYFUNCTION("""COMPUTED_VALUE"""),"Asen Georgiev")</f>
        <v>Asen Georgiev</v>
      </c>
      <c r="AA186" s="6" t="str">
        <f>IFERROR(__xludf.DUMMYFUNCTION("""COMPUTED_VALUE"""),"Velev")</f>
        <v>Velev</v>
      </c>
      <c r="AB186" s="6" t="str">
        <f>IFERROR(__xludf.DUMMYFUNCTION("""COMPUTED_VALUE"""),"A.G.")</f>
        <v>A.G.</v>
      </c>
      <c r="AC186" s="6">
        <f>IFERROR(__xludf.DUMMYFUNCTION("""COMPUTED_VALUE"""),3.88340022E8)</f>
        <v>388340022</v>
      </c>
      <c r="AD186" s="9">
        <f>IFERROR(__xludf.DUMMYFUNCTION("""COMPUTED_VALUE"""),35621.0)</f>
        <v>35621</v>
      </c>
      <c r="AE186" s="6" t="str">
        <f>IFERROR(__xludf.DUMMYFUNCTION("""COMPUTED_VALUE"""),"bg")</f>
        <v>bg</v>
      </c>
      <c r="AF186" s="6" t="str">
        <f>IFERROR(__xludf.DUMMYFUNCTION("""COMPUTED_VALUE"""),"Parvomay")</f>
        <v>Parvomay</v>
      </c>
      <c r="AG186" s="6" t="str">
        <f>IFERROR(__xludf.DUMMYFUNCTION("""COMPUTED_VALUE"""),"Hr. A.G. Velev")</f>
        <v>Hr. A.G. Velev</v>
      </c>
      <c r="AH186" s="6" t="str">
        <f>IFERROR(__xludf.DUMMYFUNCTION("""COMPUTED_VALUE"""),"NL91RABO0308509633")</f>
        <v>NL91RABO0308509633</v>
      </c>
      <c r="AI186" s="6"/>
      <c r="AJ186" s="6" t="str">
        <f>IFERROR(__xludf.DUMMYFUNCTION("""COMPUTED_VALUE"""),"ID Kaart")</f>
        <v>ID Kaart</v>
      </c>
      <c r="AK186" s="6">
        <f>IFERROR(__xludf.DUMMYFUNCTION("""COMPUTED_VALUE"""),6.46394878E8)</f>
        <v>646394878</v>
      </c>
      <c r="AL186" s="9">
        <f>IFERROR(__xludf.DUMMYFUNCTION("""COMPUTED_VALUE"""),46126.0)</f>
        <v>46126</v>
      </c>
      <c r="AM186" s="6" t="str">
        <f>IFERROR(__xludf.DUMMYFUNCTION("""COMPUTED_VALUE"""),"Bulgarije")</f>
        <v>Bulgarije</v>
      </c>
      <c r="AN186" s="6" t="str">
        <f>IFERROR(__xludf.DUMMYFUNCTION("""COMPUTED_VALUE"""),"Asen Georgiev Velev")</f>
        <v>Asen Georgiev Velev</v>
      </c>
      <c r="AO186" s="6">
        <f>IFERROR(__xludf.DUMMYFUNCTION("""COMPUTED_VALUE"""),1455.0)</f>
        <v>1455</v>
      </c>
    </row>
    <row r="187">
      <c r="A187" s="6" t="str">
        <f>IFERROR(__xludf.DUMMYFUNCTION("""COMPUTED_VALUE"""),"Georgi Bouwservice")</f>
        <v>Georgi Bouwservice</v>
      </c>
      <c r="B187" s="6" t="str">
        <f>IFERROR(__xludf.DUMMYFUNCTION("""COMPUTED_VALUE"""),"Georgi Bouwservice")</f>
        <v>Georgi Bouwservice</v>
      </c>
      <c r="C187" s="6">
        <f>IFERROR(__xludf.DUMMYFUNCTION("""COMPUTED_VALUE"""),911.0)</f>
        <v>911</v>
      </c>
      <c r="D187" s="7" t="str">
        <f>IFERROR(__xludf.DUMMYFUNCTION("""COMPUTED_VALUE"""),"Georgi Dikov Tsvetanov")</f>
        <v>Georgi Dikov Tsvetanov</v>
      </c>
      <c r="E187" s="7" t="str">
        <f>IFERROR(__xludf.DUMMYFUNCTION("""COMPUTED_VALUE"""),"SBI-code: 4120 - Algemene burgerlijke en utiliteitsbouw")</f>
        <v>SBI-code: 4120 - Algemene burgerlijke en utiliteitsbouw</v>
      </c>
      <c r="F187" s="7" t="str">
        <f>IFERROR(__xludf.DUMMYFUNCTION("""COMPUTED_VALUE"""),"0687889604")</f>
        <v>0687889604</v>
      </c>
      <c r="G187" s="6" t="str">
        <f>IFERROR(__xludf.DUMMYFUNCTION("""COMPUTED_VALUE"""),"georgi-ristana@hotmail.com")</f>
        <v>georgi-ristana@hotmail.com</v>
      </c>
      <c r="H187" s="6" t="str">
        <f>IFERROR(__xludf.DUMMYFUNCTION("""COMPUTED_VALUE"""),"Oostvaardersdijk 26")</f>
        <v>Oostvaardersdijk 26</v>
      </c>
      <c r="I187" s="6" t="str">
        <f>IFERROR(__xludf.DUMMYFUNCTION("""COMPUTED_VALUE"""),"8243PA")</f>
        <v>8243PA</v>
      </c>
      <c r="J187" s="6" t="str">
        <f>IFERROR(__xludf.DUMMYFUNCTION("""COMPUTED_VALUE"""),"Lelystad")</f>
        <v>Lelystad</v>
      </c>
      <c r="K187" s="6" t="str">
        <f>IFERROR(__xludf.DUMMYFUNCTION("""COMPUTED_VALUE"""),"Nederland")</f>
        <v>Nederland</v>
      </c>
      <c r="L187" s="6" t="str">
        <f>IFERROR(__xludf.DUMMYFUNCTION("""COMPUTED_VALUE"""),"Цветанов")</f>
        <v>Цветанов</v>
      </c>
      <c r="M187" s="8">
        <f>IFERROR(__xludf.DUMMYFUNCTION("""COMPUTED_VALUE"""),43846.0)</f>
        <v>43846</v>
      </c>
      <c r="N187" s="6" t="str">
        <f>IFERROR(__xludf.DUMMYFUNCTION("""COMPUTED_VALUE"""),"NL522111026B01")</f>
        <v>NL522111026B01</v>
      </c>
      <c r="O187" s="6">
        <f>IFERROR(__xludf.DUMMYFUNCTION("""COMPUTED_VALUE"""),7.7121104E7)</f>
        <v>77121104</v>
      </c>
      <c r="P187" s="6" t="str">
        <f>IFERROR(__xludf.DUMMYFUNCTION("""COMPUTED_VALUE"""),"NL23INGB0006263187")</f>
        <v>NL23INGB0006263187</v>
      </c>
      <c r="Q187" s="9">
        <f>IFERROR(__xludf.DUMMYFUNCTION("""COMPUTED_VALUE"""),43846.0)</f>
        <v>43846</v>
      </c>
      <c r="R187" s="6"/>
      <c r="S187" s="6" t="str">
        <f>IFERROR(__xludf.DUMMYFUNCTION("""COMPUTED_VALUE"""),"NL003151016B43")</f>
        <v>NL003151016B43</v>
      </c>
      <c r="T187" s="6">
        <f>IFERROR(__xludf.DUMMYFUNCTION("""COMPUTED_VALUE"""),5.22111026E8)</f>
        <v>522111026</v>
      </c>
      <c r="U187" s="7" t="str">
        <f>IFERROR(__xludf.DUMMYFUNCTION("""COMPUTED_VALUE"""),"Eenmanszaak")</f>
        <v>Eenmanszaak</v>
      </c>
      <c r="V187" s="7" t="str">
        <f>IFERROR(__xludf.DUMMYFUNCTION("""COMPUTED_VALUE"""),"000044841248")</f>
        <v>000044841248</v>
      </c>
      <c r="W187" s="6" t="str">
        <f>IFERROR(__xludf.DUMMYFUNCTION("""COMPUTED_VALUE"""),"ink.georgibouwservice.2288aa@zarabota.nl")</f>
        <v>ink.georgibouwservice.2288aa@zarabota.nl</v>
      </c>
      <c r="X187" s="6" t="str">
        <f>IFERROR(__xludf.DUMMYFUNCTION("""COMPUTED_VALUE"""),"ver.georgibouwservice.2288aa@zarabota.nl")</f>
        <v>ver.georgibouwservice.2288aa@zarabota.nl</v>
      </c>
      <c r="Y187" s="6" t="str">
        <f>IFERROR(__xludf.DUMMYFUNCTION("""COMPUTED_VALUE"""),"Hr.")</f>
        <v>Hr.</v>
      </c>
      <c r="Z187" s="6" t="str">
        <f>IFERROR(__xludf.DUMMYFUNCTION("""COMPUTED_VALUE"""),"Georgi Dikov")</f>
        <v>Georgi Dikov</v>
      </c>
      <c r="AA187" s="6" t="str">
        <f>IFERROR(__xludf.DUMMYFUNCTION("""COMPUTED_VALUE"""),"Tsvetanov")</f>
        <v>Tsvetanov</v>
      </c>
      <c r="AB187" s="6" t="str">
        <f>IFERROR(__xludf.DUMMYFUNCTION("""COMPUTED_VALUE"""),"G.D.")</f>
        <v>G.D.</v>
      </c>
      <c r="AC187" s="6">
        <f>IFERROR(__xludf.DUMMYFUNCTION("""COMPUTED_VALUE"""),5.22111026E8)</f>
        <v>522111026</v>
      </c>
      <c r="AD187" s="9">
        <f>IFERROR(__xludf.DUMMYFUNCTION("""COMPUTED_VALUE"""),27264.0)</f>
        <v>27264</v>
      </c>
      <c r="AE187" s="6" t="str">
        <f>IFERROR(__xludf.DUMMYFUNCTION("""COMPUTED_VALUE"""),"bg")</f>
        <v>bg</v>
      </c>
      <c r="AF187" s="6" t="str">
        <f>IFERROR(__xludf.DUMMYFUNCTION("""COMPUTED_VALUE"""),"Cherven Bryag")</f>
        <v>Cherven Bryag</v>
      </c>
      <c r="AG187" s="6" t="str">
        <f>IFERROR(__xludf.DUMMYFUNCTION("""COMPUTED_VALUE"""),"Hr. G.D. Tsvetanov")</f>
        <v>Hr. G.D. Tsvetanov</v>
      </c>
      <c r="AH187" s="6"/>
      <c r="AI187" s="9">
        <f>IFERROR(__xludf.DUMMYFUNCTION("""COMPUTED_VALUE"""),42391.0)</f>
        <v>42391</v>
      </c>
      <c r="AJ187" s="6" t="str">
        <f>IFERROR(__xludf.DUMMYFUNCTION("""COMPUTED_VALUE"""),"ID Kaart")</f>
        <v>ID Kaart</v>
      </c>
      <c r="AK187" s="6">
        <f>IFERROR(__xludf.DUMMYFUNCTION("""COMPUTED_VALUE"""),6.48632719E8)</f>
        <v>648632719</v>
      </c>
      <c r="AL187" s="9">
        <f>IFERROR(__xludf.DUMMYFUNCTION("""COMPUTED_VALUE"""),47465.0)</f>
        <v>47465</v>
      </c>
      <c r="AM187" s="6"/>
      <c r="AN187" s="6" t="str">
        <f>IFERROR(__xludf.DUMMYFUNCTION("""COMPUTED_VALUE"""),"Georgi Dikov Tsvetanov")</f>
        <v>Georgi Dikov Tsvetanov</v>
      </c>
      <c r="AO187" s="6"/>
    </row>
    <row r="188">
      <c r="A188" s="6" t="str">
        <f>IFERROR(__xludf.DUMMYFUNCTION("""COMPUTED_VALUE"""),"Germaneca")</f>
        <v>Germaneca</v>
      </c>
      <c r="B188" s="6" t="str">
        <f>IFERROR(__xludf.DUMMYFUNCTION("""COMPUTED_VALUE"""),"Germaneca")</f>
        <v>Germaneca</v>
      </c>
      <c r="C188" s="6">
        <f>IFERROR(__xludf.DUMMYFUNCTION("""COMPUTED_VALUE"""),1483.0)</f>
        <v>1483</v>
      </c>
      <c r="D188" s="7" t="str">
        <f>IFERROR(__xludf.DUMMYFUNCTION("""COMPUTED_VALUE"""),"Nikolay Slaveev Ashikov")</f>
        <v>Nikolay Slaveev Ashikov</v>
      </c>
      <c r="E188" s="7" t="str">
        <f>IFERROR(__xludf.DUMMYFUNCTION("""COMPUTED_VALUE"""),"SBI-code: 4120 - Algemene burgerlijke en utiliteitsbouw")</f>
        <v>SBI-code: 4120 - Algemene burgerlijke en utiliteitsbouw</v>
      </c>
      <c r="F188" s="7" t="str">
        <f>IFERROR(__xludf.DUMMYFUNCTION("""COMPUTED_VALUE"""),"0633157131")</f>
        <v>0633157131</v>
      </c>
      <c r="G188" s="6" t="str">
        <f>IFERROR(__xludf.DUMMYFUNCTION("""COMPUTED_VALUE"""),"geroashikov@gmail.com")</f>
        <v>geroashikov@gmail.com</v>
      </c>
      <c r="H188" s="6" t="str">
        <f>IFERROR(__xludf.DUMMYFUNCTION("""COMPUTED_VALUE"""),"Naarderstraat 149")</f>
        <v>Naarderstraat 149</v>
      </c>
      <c r="I188" s="6" t="str">
        <f>IFERROR(__xludf.DUMMYFUNCTION("""COMPUTED_VALUE"""),"2574PE")</f>
        <v>2574PE</v>
      </c>
      <c r="J188" s="6" t="str">
        <f>IFERROR(__xludf.DUMMYFUNCTION("""COMPUTED_VALUE"""),"s-Gravenhage")</f>
        <v>s-Gravenhage</v>
      </c>
      <c r="K188" s="6" t="str">
        <f>IFERROR(__xludf.DUMMYFUNCTION("""COMPUTED_VALUE"""),"Nederland")</f>
        <v>Nederland</v>
      </c>
      <c r="L188" s="6" t="str">
        <f>IFERROR(__xludf.DUMMYFUNCTION("""COMPUTED_VALUE"""),"Ашиков")</f>
        <v>Ашиков</v>
      </c>
      <c r="M188" s="8">
        <f>IFERROR(__xludf.DUMMYFUNCTION("""COMPUTED_VALUE"""),45017.0)</f>
        <v>45017</v>
      </c>
      <c r="N188" s="6" t="str">
        <f>IFERROR(__xludf.DUMMYFUNCTION("""COMPUTED_VALUE"""),"NL577739700B01")</f>
        <v>NL577739700B01</v>
      </c>
      <c r="O188" s="6">
        <f>IFERROR(__xludf.DUMMYFUNCTION("""COMPUTED_VALUE"""),7.3668672E7)</f>
        <v>73668672</v>
      </c>
      <c r="P188" s="6" t="str">
        <f>IFERROR(__xludf.DUMMYFUNCTION("""COMPUTED_VALUE"""),"NL52INGB0008874584")</f>
        <v>NL52INGB0008874584</v>
      </c>
      <c r="Q188" s="9">
        <f>IFERROR(__xludf.DUMMYFUNCTION("""COMPUTED_VALUE"""),43466.0)</f>
        <v>43466</v>
      </c>
      <c r="R188" s="6"/>
      <c r="S188" s="6" t="str">
        <f>IFERROR(__xludf.DUMMYFUNCTION("""COMPUTED_VALUE"""),"NL002502702B28")</f>
        <v>NL002502702B28</v>
      </c>
      <c r="T188" s="6">
        <f>IFERROR(__xludf.DUMMYFUNCTION("""COMPUTED_VALUE"""),5.777397E8)</f>
        <v>577739700</v>
      </c>
      <c r="U188" s="7" t="str">
        <f>IFERROR(__xludf.DUMMYFUNCTION("""COMPUTED_VALUE"""),"Eenmanszaak")</f>
        <v>Eenmanszaak</v>
      </c>
      <c r="V188" s="7" t="str">
        <f>IFERROR(__xludf.DUMMYFUNCTION("""COMPUTED_VALUE"""),"000041682009")</f>
        <v>000041682009</v>
      </c>
      <c r="W188" s="6" t="str">
        <f>IFERROR(__xludf.DUMMYFUNCTION("""COMPUTED_VALUE"""),"ink.germaneca.2288aa@zarabota.nl")</f>
        <v>ink.germaneca.2288aa@zarabota.nl</v>
      </c>
      <c r="X188" s="6" t="str">
        <f>IFERROR(__xludf.DUMMYFUNCTION("""COMPUTED_VALUE"""),"ver.germaneca.2288aa@zarabota.nl")</f>
        <v>ver.germaneca.2288aa@zarabota.nl</v>
      </c>
      <c r="Y188" s="6" t="str">
        <f>IFERROR(__xludf.DUMMYFUNCTION("""COMPUTED_VALUE"""),"Hr.")</f>
        <v>Hr.</v>
      </c>
      <c r="Z188" s="6" t="str">
        <f>IFERROR(__xludf.DUMMYFUNCTION("""COMPUTED_VALUE"""),"Nikolay Slaveev")</f>
        <v>Nikolay Slaveev</v>
      </c>
      <c r="AA188" s="6" t="str">
        <f>IFERROR(__xludf.DUMMYFUNCTION("""COMPUTED_VALUE"""),"Ashikov")</f>
        <v>Ashikov</v>
      </c>
      <c r="AB188" s="6" t="str">
        <f>IFERROR(__xludf.DUMMYFUNCTION("""COMPUTED_VALUE"""),"N.S.")</f>
        <v>N.S.</v>
      </c>
      <c r="AC188" s="6">
        <f>IFERROR(__xludf.DUMMYFUNCTION("""COMPUTED_VALUE"""),5.777397E8)</f>
        <v>577739700</v>
      </c>
      <c r="AD188" s="9">
        <f>IFERROR(__xludf.DUMMYFUNCTION("""COMPUTED_VALUE"""),30414.0)</f>
        <v>30414</v>
      </c>
      <c r="AE188" s="6" t="str">
        <f>IFERROR(__xludf.DUMMYFUNCTION("""COMPUTED_VALUE"""),"bg")</f>
        <v>bg</v>
      </c>
      <c r="AF188" s="6" t="str">
        <f>IFERROR(__xludf.DUMMYFUNCTION("""COMPUTED_VALUE"""),"Plovdiv")</f>
        <v>Plovdiv</v>
      </c>
      <c r="AG188" s="6" t="str">
        <f>IFERROR(__xludf.DUMMYFUNCTION("""COMPUTED_VALUE"""),"Hr. N.S. Ashikov")</f>
        <v>Hr. N.S. Ashikov</v>
      </c>
      <c r="AH188" s="6" t="str">
        <f>IFERROR(__xludf.DUMMYFUNCTION("""COMPUTED_VALUE"""),"NL40INGB0792308298")</f>
        <v>NL40INGB0792308298</v>
      </c>
      <c r="AI188" s="6"/>
      <c r="AJ188" s="6" t="str">
        <f>IFERROR(__xludf.DUMMYFUNCTION("""COMPUTED_VALUE"""),"ID Kaart")</f>
        <v>ID Kaart</v>
      </c>
      <c r="AK188" s="6">
        <f>IFERROR(__xludf.DUMMYFUNCTION("""COMPUTED_VALUE"""),6.45303953E8)</f>
        <v>645303953</v>
      </c>
      <c r="AL188" s="9">
        <f>IFERROR(__xludf.DUMMYFUNCTION("""COMPUTED_VALUE"""),45497.0)</f>
        <v>45497</v>
      </c>
      <c r="AM188" s="6" t="str">
        <f>IFERROR(__xludf.DUMMYFUNCTION("""COMPUTED_VALUE"""),"Bulgarije")</f>
        <v>Bulgarije</v>
      </c>
      <c r="AN188" s="6" t="str">
        <f>IFERROR(__xludf.DUMMYFUNCTION("""COMPUTED_VALUE"""),"Nikolay Slaveev Ashikov")</f>
        <v>Nikolay Slaveev Ashikov</v>
      </c>
      <c r="AO188" s="6">
        <f>IFERROR(__xludf.DUMMYFUNCTION("""COMPUTED_VALUE"""),1483.0)</f>
        <v>1483</v>
      </c>
    </row>
    <row r="189">
      <c r="A189" s="6" t="str">
        <f>IFERROR(__xludf.DUMMYFUNCTION("""COMPUTED_VALUE"""),"GGG Bouw")</f>
        <v>GGG Bouw</v>
      </c>
      <c r="B189" s="6" t="str">
        <f>IFERROR(__xludf.DUMMYFUNCTION("""COMPUTED_VALUE"""),"GGG Bouw (niet een reguliere klant)")</f>
        <v>GGG Bouw (niet een reguliere klant)</v>
      </c>
      <c r="C189" s="6">
        <f>IFERROR(__xludf.DUMMYFUNCTION("""COMPUTED_VALUE"""),638.0)</f>
        <v>638</v>
      </c>
      <c r="D189" s="7" t="str">
        <f>IFERROR(__xludf.DUMMYFUNCTION("""COMPUTED_VALUE"""),"Georgi Ivanov Atanasov")</f>
        <v>Georgi Ivanov Atanasov</v>
      </c>
      <c r="E189" s="7" t="str">
        <f>IFERROR(__xludf.DUMMYFUNCTION("""COMPUTED_VALUE"""),"SBI-code: 4120 - Algemene burgerlijke en utiliteitsbouw")</f>
        <v>SBI-code: 4120 - Algemene burgerlijke en utiliteitsbouw</v>
      </c>
      <c r="F189" s="7" t="str">
        <f>IFERROR(__xludf.DUMMYFUNCTION("""COMPUTED_VALUE"""),"0628860469")</f>
        <v>0628860469</v>
      </c>
      <c r="G189" s="6" t="str">
        <f>IFERROR(__xludf.DUMMYFUNCTION("""COMPUTED_VALUE"""),"jorogipsa@yahoo.com")</f>
        <v>jorogipsa@yahoo.com</v>
      </c>
      <c r="H189" s="6" t="str">
        <f>IFERROR(__xludf.DUMMYFUNCTION("""COMPUTED_VALUE"""),"1e van Leyden Gaelstraat 394")</f>
        <v>1e van Leyden Gaelstraat 394</v>
      </c>
      <c r="I189" s="6" t="str">
        <f>IFERROR(__xludf.DUMMYFUNCTION("""COMPUTED_VALUE"""),"3134 LE")</f>
        <v>3134 LE</v>
      </c>
      <c r="J189" s="6" t="str">
        <f>IFERROR(__xludf.DUMMYFUNCTION("""COMPUTED_VALUE"""),"Vlaardingen")</f>
        <v>Vlaardingen</v>
      </c>
      <c r="K189" s="6" t="str">
        <f>IFERROR(__xludf.DUMMYFUNCTION("""COMPUTED_VALUE"""),"Nederland")</f>
        <v>Nederland</v>
      </c>
      <c r="L189" s="6" t="str">
        <f>IFERROR(__xludf.DUMMYFUNCTION("""COMPUTED_VALUE"""),"Атанасов")</f>
        <v>Атанасов</v>
      </c>
      <c r="M189" s="8">
        <f>IFERROR(__xludf.DUMMYFUNCTION("""COMPUTED_VALUE"""),43313.0)</f>
        <v>43313</v>
      </c>
      <c r="N189" s="6" t="str">
        <f>IFERROR(__xludf.DUMMYFUNCTION("""COMPUTED_VALUE"""),"NL509444374B01")</f>
        <v>NL509444374B01</v>
      </c>
      <c r="O189" s="6">
        <f>IFERROR(__xludf.DUMMYFUNCTION("""COMPUTED_VALUE"""),7.271789E7)</f>
        <v>72717890</v>
      </c>
      <c r="P189" s="6" t="str">
        <f>IFERROR(__xludf.DUMMYFUNCTION("""COMPUTED_VALUE"""),"NL28INGB0008626890")</f>
        <v>NL28INGB0008626890</v>
      </c>
      <c r="Q189" s="9">
        <f>IFERROR(__xludf.DUMMYFUNCTION("""COMPUTED_VALUE"""),43313.0)</f>
        <v>43313</v>
      </c>
      <c r="R189" s="6"/>
      <c r="S189" s="6" t="str">
        <f>IFERROR(__xludf.DUMMYFUNCTION("""COMPUTED_VALUE"""),"NL002493680B37")</f>
        <v>NL002493680B37</v>
      </c>
      <c r="T189" s="6">
        <f>IFERROR(__xludf.DUMMYFUNCTION("""COMPUTED_VALUE"""),5.09444374E8)</f>
        <v>509444374</v>
      </c>
      <c r="U189" s="7" t="str">
        <f>IFERROR(__xludf.DUMMYFUNCTION("""COMPUTED_VALUE"""),"Eenmanszaak")</f>
        <v>Eenmanszaak</v>
      </c>
      <c r="V189" s="7" t="str">
        <f>IFERROR(__xludf.DUMMYFUNCTION("""COMPUTED_VALUE"""),"000040810844")</f>
        <v>000040810844</v>
      </c>
      <c r="W189" s="6" t="str">
        <f>IFERROR(__xludf.DUMMYFUNCTION("""COMPUTED_VALUE"""),"ink.gggbouw.2288aa@zarabota.nl")</f>
        <v>ink.gggbouw.2288aa@zarabota.nl</v>
      </c>
      <c r="X189" s="6" t="str">
        <f>IFERROR(__xludf.DUMMYFUNCTION("""COMPUTED_VALUE"""),"ver.gggbouw.2288aa@zarabota.nl")</f>
        <v>ver.gggbouw.2288aa@zarabota.nl</v>
      </c>
      <c r="Y189" s="6" t="str">
        <f>IFERROR(__xludf.DUMMYFUNCTION("""COMPUTED_VALUE"""),"Hr.")</f>
        <v>Hr.</v>
      </c>
      <c r="Z189" s="6" t="str">
        <f>IFERROR(__xludf.DUMMYFUNCTION("""COMPUTED_VALUE"""),"Georgi Ivanov")</f>
        <v>Georgi Ivanov</v>
      </c>
      <c r="AA189" s="6" t="str">
        <f>IFERROR(__xludf.DUMMYFUNCTION("""COMPUTED_VALUE"""),"Atanasov")</f>
        <v>Atanasov</v>
      </c>
      <c r="AB189" s="6" t="str">
        <f>IFERROR(__xludf.DUMMYFUNCTION("""COMPUTED_VALUE"""),"G.I.")</f>
        <v>G.I.</v>
      </c>
      <c r="AC189" s="6">
        <f>IFERROR(__xludf.DUMMYFUNCTION("""COMPUTED_VALUE"""),5.09444374E8)</f>
        <v>509444374</v>
      </c>
      <c r="AD189" s="9">
        <f>IFERROR(__xludf.DUMMYFUNCTION("""COMPUTED_VALUE"""),31166.0)</f>
        <v>31166</v>
      </c>
      <c r="AE189" s="6" t="str">
        <f>IFERROR(__xludf.DUMMYFUNCTION("""COMPUTED_VALUE"""),"bg")</f>
        <v>bg</v>
      </c>
      <c r="AF189" s="6" t="str">
        <f>IFERROR(__xludf.DUMMYFUNCTION("""COMPUTED_VALUE"""),"Plovdiv")</f>
        <v>Plovdiv</v>
      </c>
      <c r="AG189" s="6" t="str">
        <f>IFERROR(__xludf.DUMMYFUNCTION("""COMPUTED_VALUE"""),"Hr. G.I. Atanasov")</f>
        <v>Hr. G.I. Atanasov</v>
      </c>
      <c r="AH189" s="6" t="str">
        <f>IFERROR(__xludf.DUMMYFUNCTION("""COMPUTED_VALUE"""),"NL61INGB0705181162")</f>
        <v>NL61INGB0705181162</v>
      </c>
      <c r="AI189" s="6"/>
      <c r="AJ189" s="6" t="str">
        <f>IFERROR(__xludf.DUMMYFUNCTION("""COMPUTED_VALUE"""),"ID Kaart")</f>
        <v>ID Kaart</v>
      </c>
      <c r="AK189" s="6">
        <f>IFERROR(__xludf.DUMMYFUNCTION("""COMPUTED_VALUE"""),6.40989281E8)</f>
        <v>640989281</v>
      </c>
      <c r="AL189" s="9">
        <f>IFERROR(__xludf.DUMMYFUNCTION("""COMPUTED_VALUE"""),44099.0)</f>
        <v>44099</v>
      </c>
      <c r="AM189" s="6"/>
      <c r="AN189" s="6" t="str">
        <f>IFERROR(__xludf.DUMMYFUNCTION("""COMPUTED_VALUE"""),"Georgi Ivanov Atanasov")</f>
        <v>Georgi Ivanov Atanasov</v>
      </c>
      <c r="AO189" s="6"/>
    </row>
    <row r="190">
      <c r="A190" s="6" t="str">
        <f>IFERROR(__xludf.DUMMYFUNCTION("""COMPUTED_VALUE"""),"Ginev Services VOF")</f>
        <v>Ginev Services VOF</v>
      </c>
      <c r="B190" s="6" t="str">
        <f>IFERROR(__xludf.DUMMYFUNCTION("""COMPUTED_VALUE"""),"Ginev Services")</f>
        <v>Ginev Services</v>
      </c>
      <c r="C190" s="6">
        <f>IFERROR(__xludf.DUMMYFUNCTION("""COMPUTED_VALUE"""),1274.0)</f>
        <v>1274</v>
      </c>
      <c r="D190" s="7" t="str">
        <f>IFERROR(__xludf.DUMMYFUNCTION("""COMPUTED_VALUE"""),"Hristo Kosev Ginev")</f>
        <v>Hristo Kosev Ginev</v>
      </c>
      <c r="E190" s="7" t="str">
        <f>IFERROR(__xludf.DUMMYFUNCTION("""COMPUTED_VALUE"""),"SBI-code: 4120 - Algemene burgerlijke en utiliteitsbouw")</f>
        <v>SBI-code: 4120 - Algemene burgerlijke en utiliteitsbouw</v>
      </c>
      <c r="F190" s="7" t="str">
        <f>IFERROR(__xludf.DUMMYFUNCTION("""COMPUTED_VALUE"""),"0645354013")</f>
        <v>0645354013</v>
      </c>
      <c r="G190" s="6" t="str">
        <f>IFERROR(__xludf.DUMMYFUNCTION("""COMPUTED_VALUE"""),"icooo_icooo@abv.bg")</f>
        <v>icooo_icooo@abv.bg</v>
      </c>
      <c r="H190" s="6" t="str">
        <f>IFERROR(__xludf.DUMMYFUNCTION("""COMPUTED_VALUE"""),"Hongarenburg 557")</f>
        <v>Hongarenburg 557</v>
      </c>
      <c r="I190" s="6" t="str">
        <f>IFERROR(__xludf.DUMMYFUNCTION("""COMPUTED_VALUE"""),"2591VV")</f>
        <v>2591VV</v>
      </c>
      <c r="J190" s="6" t="str">
        <f>IFERROR(__xludf.DUMMYFUNCTION("""COMPUTED_VALUE"""),"s-Gravenhage")</f>
        <v>s-Gravenhage</v>
      </c>
      <c r="K190" s="6" t="str">
        <f>IFERROR(__xludf.DUMMYFUNCTION("""COMPUTED_VALUE"""),"Nederland")</f>
        <v>Nederland</v>
      </c>
      <c r="L190" s="6" t="str">
        <f>IFERROR(__xludf.DUMMYFUNCTION("""COMPUTED_VALUE"""),"Гинев")</f>
        <v>Гинев</v>
      </c>
      <c r="M190" s="8">
        <f>IFERROR(__xludf.DUMMYFUNCTION("""COMPUTED_VALUE"""),45658.0)</f>
        <v>45658</v>
      </c>
      <c r="N190" s="6" t="str">
        <f>IFERROR(__xludf.DUMMYFUNCTION("""COMPUTED_VALUE"""),"NL686287319B02")</f>
        <v>NL686287319B02</v>
      </c>
      <c r="O190" s="6">
        <f>IFERROR(__xludf.DUMMYFUNCTION("""COMPUTED_VALUE"""),9.6925264E7)</f>
        <v>96925264</v>
      </c>
      <c r="P190" s="6" t="str">
        <f>IFERROR(__xludf.DUMMYFUNCTION("""COMPUTED_VALUE"""),"NL41INGB0675089018")</f>
        <v>NL41INGB0675089018</v>
      </c>
      <c r="Q190" s="9">
        <f>IFERROR(__xludf.DUMMYFUNCTION("""COMPUTED_VALUE"""),43291.0)</f>
        <v>43291</v>
      </c>
      <c r="R190" s="6"/>
      <c r="S190" s="6" t="str">
        <f>IFERROR(__xludf.DUMMYFUNCTION("""COMPUTED_VALUE"""),"NL005250013B14")</f>
        <v>NL005250013B14</v>
      </c>
      <c r="T190" s="6">
        <f>IFERROR(__xludf.DUMMYFUNCTION("""COMPUTED_VALUE"""),6.86287319E8)</f>
        <v>686287319</v>
      </c>
      <c r="U190" s="7" t="str">
        <f>IFERROR(__xludf.DUMMYFUNCTION("""COMPUTED_VALUE"""),"Vennootschap Onder Firma")</f>
        <v>Vennootschap Onder Firma</v>
      </c>
      <c r="V190" s="7" t="str">
        <f>IFERROR(__xludf.DUMMYFUNCTION("""COMPUTED_VALUE"""),"000040235378")</f>
        <v>000040235378</v>
      </c>
      <c r="W190" s="6" t="str">
        <f>IFERROR(__xludf.DUMMYFUNCTION("""COMPUTED_VALUE"""),"ink.ginevservices.2288aa@zarabota.nl")</f>
        <v>ink.ginevservices.2288aa@zarabota.nl</v>
      </c>
      <c r="X190" s="6" t="str">
        <f>IFERROR(__xludf.DUMMYFUNCTION("""COMPUTED_VALUE"""),"ver.ginevservices.2288aa@zarabota.nl")</f>
        <v>ver.ginevservices.2288aa@zarabota.nl</v>
      </c>
      <c r="Y190" s="6" t="str">
        <f>IFERROR(__xludf.DUMMYFUNCTION("""COMPUTED_VALUE"""),"Hr.")</f>
        <v>Hr.</v>
      </c>
      <c r="Z190" s="6" t="str">
        <f>IFERROR(__xludf.DUMMYFUNCTION("""COMPUTED_VALUE"""),"Hristo Kosev")</f>
        <v>Hristo Kosev</v>
      </c>
      <c r="AA190" s="6" t="str">
        <f>IFERROR(__xludf.DUMMYFUNCTION("""COMPUTED_VALUE"""),"Ginev")</f>
        <v>Ginev</v>
      </c>
      <c r="AB190" s="6" t="str">
        <f>IFERROR(__xludf.DUMMYFUNCTION("""COMPUTED_VALUE"""),"H.K.")</f>
        <v>H.K.</v>
      </c>
      <c r="AC190" s="6">
        <f>IFERROR(__xludf.DUMMYFUNCTION("""COMPUTED_VALUE"""),6.86287319E8)</f>
        <v>686287319</v>
      </c>
      <c r="AD190" s="9">
        <f>IFERROR(__xludf.DUMMYFUNCTION("""COMPUTED_VALUE"""),33037.0)</f>
        <v>33037</v>
      </c>
      <c r="AE190" s="6" t="str">
        <f>IFERROR(__xludf.DUMMYFUNCTION("""COMPUTED_VALUE"""),"bg")</f>
        <v>bg</v>
      </c>
      <c r="AF190" s="6" t="str">
        <f>IFERROR(__xludf.DUMMYFUNCTION("""COMPUTED_VALUE"""),"Kardzhali")</f>
        <v>Kardzhali</v>
      </c>
      <c r="AG190" s="6" t="str">
        <f>IFERROR(__xludf.DUMMYFUNCTION("""COMPUTED_VALUE"""),"Hr. H.K. Ginev")</f>
        <v>Hr. H.K. Ginev</v>
      </c>
      <c r="AH190" s="6" t="str">
        <f>IFERROR(__xludf.DUMMYFUNCTION("""COMPUTED_VALUE"""),"NL47RABO0316380326")</f>
        <v>NL47RABO0316380326</v>
      </c>
      <c r="AI190" s="6"/>
      <c r="AJ190" s="6" t="str">
        <f>IFERROR(__xludf.DUMMYFUNCTION("""COMPUTED_VALUE"""),"ID Kaart")</f>
        <v>ID Kaart</v>
      </c>
      <c r="AK190" s="6">
        <f>IFERROR(__xludf.DUMMYFUNCTION("""COMPUTED_VALUE"""),6.46686977E8)</f>
        <v>646686977</v>
      </c>
      <c r="AL190" s="9">
        <f>IFERROR(__xludf.DUMMYFUNCTION("""COMPUTED_VALUE"""),46293.0)</f>
        <v>46293</v>
      </c>
      <c r="AM190" s="6" t="str">
        <f>IFERROR(__xludf.DUMMYFUNCTION("""COMPUTED_VALUE"""),"Bulgarije")</f>
        <v>Bulgarije</v>
      </c>
      <c r="AN190" s="6" t="str">
        <f>IFERROR(__xludf.DUMMYFUNCTION("""COMPUTED_VALUE"""),"Hristo Kosev Ginev")</f>
        <v>Hristo Kosev Ginev</v>
      </c>
      <c r="AO190" s="6">
        <f>IFERROR(__xludf.DUMMYFUNCTION("""COMPUTED_VALUE"""),1274.0)</f>
        <v>1274</v>
      </c>
    </row>
    <row r="191">
      <c r="A191" s="6" t="str">
        <f>IFERROR(__xludf.DUMMYFUNCTION("""COMPUTED_VALUE"""),"Gocha Bouw")</f>
        <v>Gocha Bouw</v>
      </c>
      <c r="B191" s="6" t="str">
        <f>IFERROR(__xludf.DUMMYFUNCTION("""COMPUTED_VALUE"""),"Gocha Bouw")</f>
        <v>Gocha Bouw</v>
      </c>
      <c r="C191" s="6">
        <f>IFERROR(__xludf.DUMMYFUNCTION("""COMPUTED_VALUE"""),761.0)</f>
        <v>761</v>
      </c>
      <c r="D191" s="7" t="str">
        <f>IFERROR(__xludf.DUMMYFUNCTION("""COMPUTED_VALUE"""),"Goran Chavejski")</f>
        <v>Goran Chavejski</v>
      </c>
      <c r="E191" s="7" t="str">
        <f>IFERROR(__xludf.DUMMYFUNCTION("""COMPUTED_VALUE"""),"SBI-code: 4120 - Algemene burgerlijke en utiliteitsbouw")</f>
        <v>SBI-code: 4120 - Algemene burgerlijke en utiliteitsbouw</v>
      </c>
      <c r="F191" s="7" t="str">
        <f>IFERROR(__xludf.DUMMYFUNCTION("""COMPUTED_VALUE"""),"0614536262")</f>
        <v>0614536262</v>
      </c>
      <c r="G191" s="6" t="str">
        <f>IFERROR(__xludf.DUMMYFUNCTION("""COMPUTED_VALUE"""),"cavejskigoran@gmail.com")</f>
        <v>cavejskigoran@gmail.com</v>
      </c>
      <c r="H191" s="6" t="str">
        <f>IFERROR(__xludf.DUMMYFUNCTION("""COMPUTED_VALUE"""),"Floris Burgwal 173")</f>
        <v>Floris Burgwal 173</v>
      </c>
      <c r="I191" s="6" t="str">
        <f>IFERROR(__xludf.DUMMYFUNCTION("""COMPUTED_VALUE"""),"2907PE")</f>
        <v>2907PE</v>
      </c>
      <c r="J191" s="6" t="str">
        <f>IFERROR(__xludf.DUMMYFUNCTION("""COMPUTED_VALUE"""),"Capelle aan den IJssel")</f>
        <v>Capelle aan den IJssel</v>
      </c>
      <c r="K191" s="6" t="str">
        <f>IFERROR(__xludf.DUMMYFUNCTION("""COMPUTED_VALUE"""),"Nederland")</f>
        <v>Nederland</v>
      </c>
      <c r="L191" s="6" t="str">
        <f>IFERROR(__xludf.DUMMYFUNCTION("""COMPUTED_VALUE"""),"Чавейски")</f>
        <v>Чавейски</v>
      </c>
      <c r="M191" s="8">
        <f>IFERROR(__xludf.DUMMYFUNCTION("""COMPUTED_VALUE"""),43556.0)</f>
        <v>43556</v>
      </c>
      <c r="N191" s="6" t="str">
        <f>IFERROR(__xludf.DUMMYFUNCTION("""COMPUTED_VALUE"""),"NL259988595B01")</f>
        <v>NL259988595B01</v>
      </c>
      <c r="O191" s="6">
        <f>IFERROR(__xludf.DUMMYFUNCTION("""COMPUTED_VALUE"""),7.4579541E7)</f>
        <v>74579541</v>
      </c>
      <c r="P191" s="6" t="str">
        <f>IFERROR(__xludf.DUMMYFUNCTION("""COMPUTED_VALUE"""),"NL15INGB0009222219")</f>
        <v>NL15INGB0009222219</v>
      </c>
      <c r="Q191" s="9">
        <f>IFERROR(__xludf.DUMMYFUNCTION("""COMPUTED_VALUE"""),43556.0)</f>
        <v>43556</v>
      </c>
      <c r="R191" s="6"/>
      <c r="S191" s="6" t="str">
        <f>IFERROR(__xludf.DUMMYFUNCTION("""COMPUTED_VALUE"""),"NL002451035B13")</f>
        <v>NL002451035B13</v>
      </c>
      <c r="T191" s="6">
        <f>IFERROR(__xludf.DUMMYFUNCTION("""COMPUTED_VALUE"""),2.59988595E8)</f>
        <v>259988595</v>
      </c>
      <c r="U191" s="7" t="str">
        <f>IFERROR(__xludf.DUMMYFUNCTION("""COMPUTED_VALUE"""),"Eenmanszaak")</f>
        <v>Eenmanszaak</v>
      </c>
      <c r="V191" s="7" t="str">
        <f>IFERROR(__xludf.DUMMYFUNCTION("""COMPUTED_VALUE"""),"000042524830")</f>
        <v>000042524830</v>
      </c>
      <c r="W191" s="6" t="str">
        <f>IFERROR(__xludf.DUMMYFUNCTION("""COMPUTED_VALUE"""),"ink.gochabouw.2288aa@zarabota.nl")</f>
        <v>ink.gochabouw.2288aa@zarabota.nl</v>
      </c>
      <c r="X191" s="6" t="str">
        <f>IFERROR(__xludf.DUMMYFUNCTION("""COMPUTED_VALUE"""),"ver.gochabouw.2288aa@zarabota.nl")</f>
        <v>ver.gochabouw.2288aa@zarabota.nl</v>
      </c>
      <c r="Y191" s="6" t="str">
        <f>IFERROR(__xludf.DUMMYFUNCTION("""COMPUTED_VALUE"""),"Hr.")</f>
        <v>Hr.</v>
      </c>
      <c r="Z191" s="6" t="str">
        <f>IFERROR(__xludf.DUMMYFUNCTION("""COMPUTED_VALUE"""),"Goran")</f>
        <v>Goran</v>
      </c>
      <c r="AA191" s="6" t="str">
        <f>IFERROR(__xludf.DUMMYFUNCTION("""COMPUTED_VALUE"""),"Cavejski")</f>
        <v>Cavejski</v>
      </c>
      <c r="AB191" s="6" t="str">
        <f>IFERROR(__xludf.DUMMYFUNCTION("""COMPUTED_VALUE"""),"G.")</f>
        <v>G.</v>
      </c>
      <c r="AC191" s="6">
        <f>IFERROR(__xludf.DUMMYFUNCTION("""COMPUTED_VALUE"""),2.59988595E8)</f>
        <v>259988595</v>
      </c>
      <c r="AD191" s="9">
        <f>IFERROR(__xludf.DUMMYFUNCTION("""COMPUTED_VALUE"""),30647.0)</f>
        <v>30647</v>
      </c>
      <c r="AE191" s="6" t="str">
        <f>IFERROR(__xludf.DUMMYFUNCTION("""COMPUTED_VALUE"""),"bg")</f>
        <v>bg</v>
      </c>
      <c r="AF191" s="6" t="str">
        <f>IFERROR(__xludf.DUMMYFUNCTION("""COMPUTED_VALUE"""),"Kumanovo")</f>
        <v>Kumanovo</v>
      </c>
      <c r="AG191" s="6" t="str">
        <f>IFERROR(__xludf.DUMMYFUNCTION("""COMPUTED_VALUE"""),"Hr. G. Cavejski")</f>
        <v>Hr. G. Cavejski</v>
      </c>
      <c r="AH191" s="6"/>
      <c r="AI191" s="6"/>
      <c r="AJ191" s="6"/>
      <c r="AK191" s="6"/>
      <c r="AL191" s="6"/>
      <c r="AM191" s="6"/>
      <c r="AN191" s="6" t="str">
        <f>IFERROR(__xludf.DUMMYFUNCTION("""COMPUTED_VALUE"""),"Goran Cavejski")</f>
        <v>Goran Cavejski</v>
      </c>
      <c r="AO191" s="6"/>
    </row>
    <row r="192">
      <c r="A192" s="6" t="str">
        <f>IFERROR(__xludf.DUMMYFUNCTION("""COMPUTED_VALUE"""),"Gosim")</f>
        <v>Gosim</v>
      </c>
      <c r="B192" s="6" t="str">
        <f>IFERROR(__xludf.DUMMYFUNCTION("""COMPUTED_VALUE"""),"Gosim")</f>
        <v>Gosim</v>
      </c>
      <c r="C192" s="6">
        <f>IFERROR(__xludf.DUMMYFUNCTION("""COMPUTED_VALUE"""),898.0)</f>
        <v>898</v>
      </c>
      <c r="D192" s="7" t="str">
        <f>IFERROR(__xludf.DUMMYFUNCTION("""COMPUTED_VALUE"""),"Vladimir Sofkarovski")</f>
        <v>Vladimir Sofkarovski</v>
      </c>
      <c r="E192" s="7" t="str">
        <f>IFERROR(__xludf.DUMMYFUNCTION("""COMPUTED_VALUE"""),"SBI-code: 4120 - Algemene burgerlijke en utiliteitsbouw")</f>
        <v>SBI-code: 4120 - Algemene burgerlijke en utiliteitsbouw</v>
      </c>
      <c r="F192" s="7" t="str">
        <f>IFERROR(__xludf.DUMMYFUNCTION("""COMPUTED_VALUE"""),"0633794134")</f>
        <v>0633794134</v>
      </c>
      <c r="G192" s="6" t="str">
        <f>IFERROR(__xludf.DUMMYFUNCTION("""COMPUTED_VALUE"""),"vladimir.sofkarovski@gmail.com")</f>
        <v>vladimir.sofkarovski@gmail.com</v>
      </c>
      <c r="H192" s="6" t="str">
        <f>IFERROR(__xludf.DUMMYFUNCTION("""COMPUTED_VALUE"""),"Lange Beestenmarkt 17")</f>
        <v>Lange Beestenmarkt 17</v>
      </c>
      <c r="I192" s="6" t="str">
        <f>IFERROR(__xludf.DUMMYFUNCTION("""COMPUTED_VALUE"""),"2512EB")</f>
        <v>2512EB</v>
      </c>
      <c r="J192" s="6" t="str">
        <f>IFERROR(__xludf.DUMMYFUNCTION("""COMPUTED_VALUE"""),"s-Gravenhage")</f>
        <v>s-Gravenhage</v>
      </c>
      <c r="K192" s="6" t="str">
        <f>IFERROR(__xludf.DUMMYFUNCTION("""COMPUTED_VALUE"""),"Nederland")</f>
        <v>Nederland</v>
      </c>
      <c r="L192" s="6" t="str">
        <f>IFERROR(__xludf.DUMMYFUNCTION("""COMPUTED_VALUE"""),"Софкаровски")</f>
        <v>Софкаровски</v>
      </c>
      <c r="M192" s="8">
        <f>IFERROR(__xludf.DUMMYFUNCTION("""COMPUTED_VALUE"""),43831.0)</f>
        <v>43831</v>
      </c>
      <c r="N192" s="6" t="str">
        <f>IFERROR(__xludf.DUMMYFUNCTION("""COMPUTED_VALUE"""),"NL435359344B01")</f>
        <v>NL435359344B01</v>
      </c>
      <c r="O192" s="6">
        <f>IFERROR(__xludf.DUMMYFUNCTION("""COMPUTED_VALUE"""),7.1940006E7)</f>
        <v>71940006</v>
      </c>
      <c r="P192" s="6" t="str">
        <f>IFERROR(__xludf.DUMMYFUNCTION("""COMPUTED_VALUE"""),"NL53INGB0008433992")</f>
        <v>NL53INGB0008433992</v>
      </c>
      <c r="Q192" s="9">
        <f>IFERROR(__xludf.DUMMYFUNCTION("""COMPUTED_VALUE"""),43273.0)</f>
        <v>43273</v>
      </c>
      <c r="R192" s="6"/>
      <c r="S192" s="6" t="str">
        <f>IFERROR(__xludf.DUMMYFUNCTION("""COMPUTED_VALUE"""),"NL002483662B86")</f>
        <v>NL002483662B86</v>
      </c>
      <c r="T192" s="6">
        <f>IFERROR(__xludf.DUMMYFUNCTION("""COMPUTED_VALUE"""),4.35359344E8)</f>
        <v>435359344</v>
      </c>
      <c r="U192" s="7" t="str">
        <f>IFERROR(__xludf.DUMMYFUNCTION("""COMPUTED_VALUE"""),"Eenmanszaak")</f>
        <v>Eenmanszaak</v>
      </c>
      <c r="V192" s="7" t="str">
        <f>IFERROR(__xludf.DUMMYFUNCTION("""COMPUTED_VALUE"""),"000040086917")</f>
        <v>000040086917</v>
      </c>
      <c r="W192" s="6" t="str">
        <f>IFERROR(__xludf.DUMMYFUNCTION("""COMPUTED_VALUE"""),"ink.gosim.2288aa@zarabota.nl")</f>
        <v>ink.gosim.2288aa@zarabota.nl</v>
      </c>
      <c r="X192" s="6" t="str">
        <f>IFERROR(__xludf.DUMMYFUNCTION("""COMPUTED_VALUE"""),"ver.gosim.2288aa@zarabota.nl")</f>
        <v>ver.gosim.2288aa@zarabota.nl</v>
      </c>
      <c r="Y192" s="6" t="str">
        <f>IFERROR(__xludf.DUMMYFUNCTION("""COMPUTED_VALUE"""),"Hr.")</f>
        <v>Hr.</v>
      </c>
      <c r="Z192" s="6" t="str">
        <f>IFERROR(__xludf.DUMMYFUNCTION("""COMPUTED_VALUE"""),"Vladimir")</f>
        <v>Vladimir</v>
      </c>
      <c r="AA192" s="6" t="str">
        <f>IFERROR(__xludf.DUMMYFUNCTION("""COMPUTED_VALUE"""),"Sofkarovski")</f>
        <v>Sofkarovski</v>
      </c>
      <c r="AB192" s="6" t="str">
        <f>IFERROR(__xludf.DUMMYFUNCTION("""COMPUTED_VALUE"""),"V.")</f>
        <v>V.</v>
      </c>
      <c r="AC192" s="6">
        <f>IFERROR(__xludf.DUMMYFUNCTION("""COMPUTED_VALUE"""),4.35359344E8)</f>
        <v>435359344</v>
      </c>
      <c r="AD192" s="9">
        <f>IFERROR(__xludf.DUMMYFUNCTION("""COMPUTED_VALUE"""),25493.0)</f>
        <v>25493</v>
      </c>
      <c r="AE192" s="6" t="str">
        <f>IFERROR(__xludf.DUMMYFUNCTION("""COMPUTED_VALUE"""),"bg")</f>
        <v>bg</v>
      </c>
      <c r="AF192" s="6"/>
      <c r="AG192" s="6" t="str">
        <f>IFERROR(__xludf.DUMMYFUNCTION("""COMPUTED_VALUE"""),"Hr. V. Sofkarovski")</f>
        <v>Hr. V. Sofkarovski</v>
      </c>
      <c r="AH192" s="6" t="str">
        <f>IFERROR(__xludf.DUMMYFUNCTION("""COMPUTED_VALUE"""),"NL31INGB0656299231")</f>
        <v>NL31INGB0656299231</v>
      </c>
      <c r="AI192" s="6"/>
      <c r="AJ192" s="6" t="str">
        <f>IFERROR(__xludf.DUMMYFUNCTION("""COMPUTED_VALUE"""),"Paspoort")</f>
        <v>Paspoort</v>
      </c>
      <c r="AK192" s="6">
        <f>IFERROR(__xludf.DUMMYFUNCTION("""COMPUTED_VALUE"""),3.84636491E8)</f>
        <v>384636491</v>
      </c>
      <c r="AL192" s="9">
        <f>IFERROR(__xludf.DUMMYFUNCTION("""COMPUTED_VALUE"""),44731.0)</f>
        <v>44731</v>
      </c>
      <c r="AM192" s="6"/>
      <c r="AN192" s="6" t="str">
        <f>IFERROR(__xludf.DUMMYFUNCTION("""COMPUTED_VALUE"""),"Vladimir Sofkarovski")</f>
        <v>Vladimir Sofkarovski</v>
      </c>
      <c r="AO192" s="6"/>
    </row>
    <row r="193">
      <c r="A193" s="6" t="str">
        <f>IFERROR(__xludf.DUMMYFUNCTION("""COMPUTED_VALUE"""),"Gurbuz Bouw")</f>
        <v>Gurbuz Bouw</v>
      </c>
      <c r="B193" s="6" t="str">
        <f>IFERROR(__xludf.DUMMYFUNCTION("""COMPUTED_VALUE"""),"Gurbuz Bouw")</f>
        <v>Gurbuz Bouw</v>
      </c>
      <c r="C193" s="6">
        <f>IFERROR(__xludf.DUMMYFUNCTION("""COMPUTED_VALUE"""),1428.0)</f>
        <v>1428</v>
      </c>
      <c r="D193" s="7" t="str">
        <f>IFERROR(__xludf.DUMMYFUNCTION("""COMPUTED_VALUE"""),"Abdussamet Gurbuz")</f>
        <v>Abdussamet Gurbuz</v>
      </c>
      <c r="E193" s="7" t="str">
        <f>IFERROR(__xludf.DUMMYFUNCTION("""COMPUTED_VALUE"""),"SBI-code: 4120 - Algemene burgerlijke en utiliteitsbouw")</f>
        <v>SBI-code: 4120 - Algemene burgerlijke en utiliteitsbouw</v>
      </c>
      <c r="F193" s="7" t="str">
        <f>IFERROR(__xludf.DUMMYFUNCTION("""COMPUTED_VALUE"""),"0685526093")</f>
        <v>0685526093</v>
      </c>
      <c r="G193" s="6" t="str">
        <f>IFERROR(__xludf.DUMMYFUNCTION("""COMPUTED_VALUE"""),"sametgurbuz734@gmail.com")</f>
        <v>sametgurbuz734@gmail.com</v>
      </c>
      <c r="H193" s="6" t="str">
        <f>IFERROR(__xludf.DUMMYFUNCTION("""COMPUTED_VALUE"""),"Vaillantlaan 90")</f>
        <v>Vaillantlaan 90</v>
      </c>
      <c r="I193" s="6" t="str">
        <f>IFERROR(__xludf.DUMMYFUNCTION("""COMPUTED_VALUE"""),"2526HM")</f>
        <v>2526HM</v>
      </c>
      <c r="J193" s="6" t="str">
        <f>IFERROR(__xludf.DUMMYFUNCTION("""COMPUTED_VALUE"""),"s-Gravenhage")</f>
        <v>s-Gravenhage</v>
      </c>
      <c r="K193" s="6" t="str">
        <f>IFERROR(__xludf.DUMMYFUNCTION("""COMPUTED_VALUE"""),"Nederland")</f>
        <v>Nederland</v>
      </c>
      <c r="L193" s="6" t="str">
        <f>IFERROR(__xludf.DUMMYFUNCTION("""COMPUTED_VALUE"""),"Gurbuz")</f>
        <v>Gurbuz</v>
      </c>
      <c r="M193" s="8">
        <f>IFERROR(__xludf.DUMMYFUNCTION("""COMPUTED_VALUE"""),44845.0)</f>
        <v>44845</v>
      </c>
      <c r="N193" s="6" t="str">
        <f>IFERROR(__xludf.DUMMYFUNCTION("""COMPUTED_VALUE"""),"NL533950818B01")</f>
        <v>NL533950818B01</v>
      </c>
      <c r="O193" s="6">
        <f>IFERROR(__xludf.DUMMYFUNCTION("""COMPUTED_VALUE"""),8.8061981E7)</f>
        <v>88061981</v>
      </c>
      <c r="P193" s="6" t="str">
        <f>IFERROR(__xludf.DUMMYFUNCTION("""COMPUTED_VALUE"""),"NL82INGB0398372500")</f>
        <v>NL82INGB0398372500</v>
      </c>
      <c r="Q193" s="9">
        <f>IFERROR(__xludf.DUMMYFUNCTION("""COMPUTED_VALUE"""),44845.0)</f>
        <v>44845</v>
      </c>
      <c r="R193" s="6"/>
      <c r="S193" s="6" t="str">
        <f>IFERROR(__xludf.DUMMYFUNCTION("""COMPUTED_VALUE"""),"NL004545008B95")</f>
        <v>NL004545008B95</v>
      </c>
      <c r="T193" s="6">
        <f>IFERROR(__xludf.DUMMYFUNCTION("""COMPUTED_VALUE"""),5.33950818E8)</f>
        <v>533950818</v>
      </c>
      <c r="U193" s="7" t="str">
        <f>IFERROR(__xludf.DUMMYFUNCTION("""COMPUTED_VALUE"""),"Eenmanszaak")</f>
        <v>Eenmanszaak</v>
      </c>
      <c r="V193" s="7" t="str">
        <f>IFERROR(__xludf.DUMMYFUNCTION("""COMPUTED_VALUE"""),"000053947150")</f>
        <v>000053947150</v>
      </c>
      <c r="W193" s="6" t="str">
        <f>IFERROR(__xludf.DUMMYFUNCTION("""COMPUTED_VALUE"""),"ink.gurbuz.2288aa@zarabota.nl")</f>
        <v>ink.gurbuz.2288aa@zarabota.nl</v>
      </c>
      <c r="X193" s="6" t="str">
        <f>IFERROR(__xludf.DUMMYFUNCTION("""COMPUTED_VALUE"""),"ver.gurbuz.2288aa@zarabota.nl")</f>
        <v>ver.gurbuz.2288aa@zarabota.nl</v>
      </c>
      <c r="Y193" s="6" t="str">
        <f>IFERROR(__xludf.DUMMYFUNCTION("""COMPUTED_VALUE"""),"Hr.")</f>
        <v>Hr.</v>
      </c>
      <c r="Z193" s="6" t="str">
        <f>IFERROR(__xludf.DUMMYFUNCTION("""COMPUTED_VALUE"""),"Abdussamet")</f>
        <v>Abdussamet</v>
      </c>
      <c r="AA193" s="6" t="str">
        <f>IFERROR(__xludf.DUMMYFUNCTION("""COMPUTED_VALUE"""),"Gurbuz")</f>
        <v>Gurbuz</v>
      </c>
      <c r="AB193" s="6" t="str">
        <f>IFERROR(__xludf.DUMMYFUNCTION("""COMPUTED_VALUE"""),"A.")</f>
        <v>A.</v>
      </c>
      <c r="AC193" s="6">
        <f>IFERROR(__xludf.DUMMYFUNCTION("""COMPUTED_VALUE"""),5.33950818E8)</f>
        <v>533950818</v>
      </c>
      <c r="AD193" s="9">
        <f>IFERROR(__xludf.DUMMYFUNCTION("""COMPUTED_VALUE"""),31116.0)</f>
        <v>31116</v>
      </c>
      <c r="AE193" s="6" t="str">
        <f>IFERROR(__xludf.DUMMYFUNCTION("""COMPUTED_VALUE"""),"bg")</f>
        <v>bg</v>
      </c>
      <c r="AF193" s="6" t="str">
        <f>IFERROR(__xludf.DUMMYFUNCTION("""COMPUTED_VALUE"""),"Develi")</f>
        <v>Develi</v>
      </c>
      <c r="AG193" s="6" t="str">
        <f>IFERROR(__xludf.DUMMYFUNCTION("""COMPUTED_VALUE"""),"Hr. A. Gurbuz")</f>
        <v>Hr. A. Gurbuz</v>
      </c>
      <c r="AH193" s="6" t="str">
        <f>IFERROR(__xludf.DUMMYFUNCTION("""COMPUTED_VALUE"""),"NL20INGB0398406111")</f>
        <v>NL20INGB0398406111</v>
      </c>
      <c r="AI193" s="9">
        <f>IFERROR(__xludf.DUMMYFUNCTION("""COMPUTED_VALUE"""),44845.0)</f>
        <v>44845</v>
      </c>
      <c r="AJ193" s="6" t="str">
        <f>IFERROR(__xludf.DUMMYFUNCTION("""COMPUTED_VALUE"""),"Paspoort")</f>
        <v>Paspoort</v>
      </c>
      <c r="AK193" s="6">
        <f>IFERROR(__xludf.DUMMYFUNCTION("""COMPUTED_VALUE"""),1.6631444458E10)</f>
        <v>16631444458</v>
      </c>
      <c r="AL193" s="9">
        <f>IFERROR(__xludf.DUMMYFUNCTION("""COMPUTED_VALUE"""),47580.0)</f>
        <v>47580</v>
      </c>
      <c r="AM193" s="6" t="str">
        <f>IFERROR(__xludf.DUMMYFUNCTION("""COMPUTED_VALUE"""),"Turkije")</f>
        <v>Turkije</v>
      </c>
      <c r="AN193" s="6" t="str">
        <f>IFERROR(__xludf.DUMMYFUNCTION("""COMPUTED_VALUE"""),"Abdussamet Gurbuz")</f>
        <v>Abdussamet Gurbuz</v>
      </c>
      <c r="AO193" s="6">
        <f>IFERROR(__xludf.DUMMYFUNCTION("""COMPUTED_VALUE"""),1428.0)</f>
        <v>1428</v>
      </c>
    </row>
    <row r="194">
      <c r="A194" s="6" t="str">
        <f>IFERROR(__xludf.DUMMYFUNCTION("""COMPUTED_VALUE"""),"Gurkan Bouw")</f>
        <v>Gurkan Bouw</v>
      </c>
      <c r="B194" s="6" t="str">
        <f>IFERROR(__xludf.DUMMYFUNCTION("""COMPUTED_VALUE"""),"Gurkan Bouw VOF")</f>
        <v>Gurkan Bouw VOF</v>
      </c>
      <c r="C194" s="6">
        <f>IFERROR(__xludf.DUMMYFUNCTION("""COMPUTED_VALUE"""),1771.0)</f>
        <v>1771</v>
      </c>
      <c r="D194" s="7" t="str">
        <f>IFERROR(__xludf.DUMMYFUNCTION("""COMPUTED_VALUE"""),"Borislav Stiliyanov Slavov")</f>
        <v>Borislav Stiliyanov Slavov</v>
      </c>
      <c r="E194" s="7" t="str">
        <f>IFERROR(__xludf.DUMMYFUNCTION("""COMPUTED_VALUE"""),"SBI-code: 4120 - Algemene burgerlijke en utiliteitsbouw")</f>
        <v>SBI-code: 4120 - Algemene burgerlijke en utiliteitsbouw</v>
      </c>
      <c r="F194" s="7" t="str">
        <f>IFERROR(__xludf.DUMMYFUNCTION("""COMPUTED_VALUE"""),"0687064206")</f>
        <v>0687064206</v>
      </c>
      <c r="G194" s="6" t="str">
        <f>IFERROR(__xludf.DUMMYFUNCTION("""COMPUTED_VALUE"""),"borislavslavov1997@gmail.com")</f>
        <v>borislavslavov1997@gmail.com</v>
      </c>
      <c r="H194" s="6" t="str">
        <f>IFERROR(__xludf.DUMMYFUNCTION("""COMPUTED_VALUE"""),"Nicolaas Beetsstraat 17")</f>
        <v>Nicolaas Beetsstraat 17</v>
      </c>
      <c r="I194" s="6" t="str">
        <f>IFERROR(__xludf.DUMMYFUNCTION("""COMPUTED_VALUE"""),"3117SM")</f>
        <v>3117SM</v>
      </c>
      <c r="J194" s="6" t="str">
        <f>IFERROR(__xludf.DUMMYFUNCTION("""COMPUTED_VALUE"""),"Schiedam")</f>
        <v>Schiedam</v>
      </c>
      <c r="K194" s="6" t="str">
        <f>IFERROR(__xludf.DUMMYFUNCTION("""COMPUTED_VALUE"""),"Nederland")</f>
        <v>Nederland</v>
      </c>
      <c r="L194" s="6" t="str">
        <f>IFERROR(__xludf.DUMMYFUNCTION("""COMPUTED_VALUE"""),"Славов")</f>
        <v>Славов</v>
      </c>
      <c r="M194" s="8">
        <f>IFERROR(__xludf.DUMMYFUNCTION("""COMPUTED_VALUE"""),46023.0)</f>
        <v>46023</v>
      </c>
      <c r="N194" s="6" t="str">
        <f>IFERROR(__xludf.DUMMYFUNCTION("""COMPUTED_VALUE"""),"NL869256166B01")</f>
        <v>NL869256166B01</v>
      </c>
      <c r="O194" s="6">
        <f>IFERROR(__xludf.DUMMYFUNCTION("""COMPUTED_VALUE"""),4.2007211E7)</f>
        <v>42007211</v>
      </c>
      <c r="P194" s="6" t="str">
        <f>IFERROR(__xludf.DUMMYFUNCTION("""COMPUTED_VALUE"""),"NL04INGB000786484805")</f>
        <v>NL04INGB000786484805</v>
      </c>
      <c r="Q194" s="9">
        <f>IFERROR(__xludf.DUMMYFUNCTION("""COMPUTED_VALUE"""),46023.0)</f>
        <v>46023</v>
      </c>
      <c r="R194" s="6"/>
      <c r="S194" s="6" t="str">
        <f>IFERROR(__xludf.DUMMYFUNCTION("""COMPUTED_VALUE"""),"NL869256166B01")</f>
        <v>NL869256166B01</v>
      </c>
      <c r="T194" s="6">
        <f>IFERROR(__xludf.DUMMYFUNCTION("""COMPUTED_VALUE"""),8.69256166E8)</f>
        <v>869256166</v>
      </c>
      <c r="U194" s="7" t="str">
        <f>IFERROR(__xludf.DUMMYFUNCTION("""COMPUTED_VALUE"""),"Vennootschap Onder Firma")</f>
        <v>Vennootschap Onder Firma</v>
      </c>
      <c r="V194" s="7" t="str">
        <f>IFERROR(__xludf.DUMMYFUNCTION("""COMPUTED_VALUE"""),"000043197272")</f>
        <v>000043197272</v>
      </c>
      <c r="W194" s="6" t="str">
        <f>IFERROR(__xludf.DUMMYFUNCTION("""COMPUTED_VALUE"""),"ink.gurkanbouw.2288aa@zarabota.nl")</f>
        <v>ink.gurkanbouw.2288aa@zarabota.nl</v>
      </c>
      <c r="X194" s="6" t="str">
        <f>IFERROR(__xludf.DUMMYFUNCTION("""COMPUTED_VALUE"""),"ver.gurkanbouw.2288aa@zarabota.nl")</f>
        <v>ver.gurkanbouw.2288aa@zarabota.nl</v>
      </c>
      <c r="Y194" s="6" t="str">
        <f>IFERROR(__xludf.DUMMYFUNCTION("""COMPUTED_VALUE"""),"Hr.")</f>
        <v>Hr.</v>
      </c>
      <c r="Z194" s="6" t="str">
        <f>IFERROR(__xludf.DUMMYFUNCTION("""COMPUTED_VALUE"""),"Borislav Stiliyanov")</f>
        <v>Borislav Stiliyanov</v>
      </c>
      <c r="AA194" s="6" t="str">
        <f>IFERROR(__xludf.DUMMYFUNCTION("""COMPUTED_VALUE"""),"Slavov")</f>
        <v>Slavov</v>
      </c>
      <c r="AB194" s="6" t="str">
        <f>IFERROR(__xludf.DUMMYFUNCTION("""COMPUTED_VALUE"""),"B.S.")</f>
        <v>B.S.</v>
      </c>
      <c r="AC194" s="6">
        <f>IFERROR(__xludf.DUMMYFUNCTION("""COMPUTED_VALUE"""),5.59525953E8)</f>
        <v>559525953</v>
      </c>
      <c r="AD194" s="9">
        <f>IFERROR(__xludf.DUMMYFUNCTION("""COMPUTED_VALUE"""),35593.0)</f>
        <v>35593</v>
      </c>
      <c r="AE194" s="6" t="str">
        <f>IFERROR(__xludf.DUMMYFUNCTION("""COMPUTED_VALUE"""),"bg")</f>
        <v>bg</v>
      </c>
      <c r="AF194" s="6" t="str">
        <f>IFERROR(__xludf.DUMMYFUNCTION("""COMPUTED_VALUE"""),"Singulare")</f>
        <v>Singulare</v>
      </c>
      <c r="AG194" s="6" t="str">
        <f>IFERROR(__xludf.DUMMYFUNCTION("""COMPUTED_VALUE"""),"Hr. B.S. Slavov")</f>
        <v>Hr. B.S. Slavov</v>
      </c>
      <c r="AH194" s="6" t="str">
        <f>IFERROR(__xludf.DUMMYFUNCTION("""COMPUTED_VALUE"""),"NL94INGB0669424137")</f>
        <v>NL94INGB0669424137</v>
      </c>
      <c r="AI194" s="6"/>
      <c r="AJ194" s="6" t="str">
        <f>IFERROR(__xludf.DUMMYFUNCTION("""COMPUTED_VALUE"""),"ID Kaart")</f>
        <v>ID Kaart</v>
      </c>
      <c r="AK194" s="6">
        <f>IFERROR(__xludf.DUMMYFUNCTION("""COMPUTED_VALUE"""),6.51403314E8)</f>
        <v>651403314</v>
      </c>
      <c r="AL194" s="9">
        <f>IFERROR(__xludf.DUMMYFUNCTION("""COMPUTED_VALUE"""),48436.0)</f>
        <v>48436</v>
      </c>
      <c r="AM194" s="6" t="str">
        <f>IFERROR(__xludf.DUMMYFUNCTION("""COMPUTED_VALUE"""),"Bulgarije")</f>
        <v>Bulgarije</v>
      </c>
      <c r="AN194" s="6" t="str">
        <f>IFERROR(__xludf.DUMMYFUNCTION("""COMPUTED_VALUE"""),"Borislav Stiliyanov Slavov")</f>
        <v>Borislav Stiliyanov Slavov</v>
      </c>
      <c r="AO194" s="6">
        <f>IFERROR(__xludf.DUMMYFUNCTION("""COMPUTED_VALUE"""),1771.0)</f>
        <v>1771</v>
      </c>
    </row>
    <row r="195">
      <c r="A195" s="6" t="str">
        <f>IFERROR(__xludf.DUMMYFUNCTION("""COMPUTED_VALUE"""),"GVG Transport")</f>
        <v>GVG Transport</v>
      </c>
      <c r="B195" s="6" t="str">
        <f>IFERROR(__xludf.DUMMYFUNCTION("""COMPUTED_VALUE"""),"GVG Transport")</f>
        <v>GVG Transport</v>
      </c>
      <c r="C195" s="6">
        <f>IFERROR(__xludf.DUMMYFUNCTION("""COMPUTED_VALUE"""),1361.0)</f>
        <v>1361</v>
      </c>
      <c r="D195" s="7" t="str">
        <f>IFERROR(__xludf.DUMMYFUNCTION("""COMPUTED_VALUE"""),"Georgi Valentinov Georgiev")</f>
        <v>Georgi Valentinov Georgiev</v>
      </c>
      <c r="E195" s="7" t="str">
        <f>IFERROR(__xludf.DUMMYFUNCTION("""COMPUTED_VALUE"""),"SBI-code: 4120 - Algemene burgerlijke en utiliteitsbouw")</f>
        <v>SBI-code: 4120 - Algemene burgerlijke en utiliteitsbouw</v>
      </c>
      <c r="F195" s="7" t="str">
        <f>IFERROR(__xludf.DUMMYFUNCTION("""COMPUTED_VALUE"""),"0642173143")</f>
        <v>0642173143</v>
      </c>
      <c r="G195" s="6" t="str">
        <f>IFERROR(__xludf.DUMMYFUNCTION("""COMPUTED_VALUE"""),"gvgtransport19@gmail.com")</f>
        <v>gvgtransport19@gmail.com</v>
      </c>
      <c r="H195" s="6" t="str">
        <f>IFERROR(__xludf.DUMMYFUNCTION("""COMPUTED_VALUE"""),"Lou Jansenplein 29")</f>
        <v>Lou Jansenplein 29</v>
      </c>
      <c r="I195" s="6" t="str">
        <f>IFERROR(__xludf.DUMMYFUNCTION("""COMPUTED_VALUE"""),"1063GV")</f>
        <v>1063GV</v>
      </c>
      <c r="J195" s="6" t="str">
        <f>IFERROR(__xludf.DUMMYFUNCTION("""COMPUTED_VALUE"""),"Amsterdam")</f>
        <v>Amsterdam</v>
      </c>
      <c r="K195" s="6" t="str">
        <f>IFERROR(__xludf.DUMMYFUNCTION("""COMPUTED_VALUE"""),"Nederland")</f>
        <v>Nederland</v>
      </c>
      <c r="L195" s="6" t="str">
        <f>IFERROR(__xludf.DUMMYFUNCTION("""COMPUTED_VALUE"""),"Георгиев")</f>
        <v>Георгиев</v>
      </c>
      <c r="M195" s="8">
        <f>IFERROR(__xludf.DUMMYFUNCTION("""COMPUTED_VALUE"""),44682.0)</f>
        <v>44682</v>
      </c>
      <c r="N195" s="6" t="str">
        <f>IFERROR(__xludf.DUMMYFUNCTION("""COMPUTED_VALUE"""),"NL631276099B01")</f>
        <v>NL631276099B01</v>
      </c>
      <c r="O195" s="6">
        <f>IFERROR(__xludf.DUMMYFUNCTION("""COMPUTED_VALUE"""),7.6446263E7)</f>
        <v>76446263</v>
      </c>
      <c r="P195" s="6" t="str">
        <f>IFERROR(__xludf.DUMMYFUNCTION("""COMPUTED_VALUE"""),"NL33INGB0009066986")</f>
        <v>NL33INGB0009066986</v>
      </c>
      <c r="Q195" s="9">
        <f>IFERROR(__xludf.DUMMYFUNCTION("""COMPUTED_VALUE"""),43788.0)</f>
        <v>43788</v>
      </c>
      <c r="R195" s="6"/>
      <c r="S195" s="6" t="str">
        <f>IFERROR(__xludf.DUMMYFUNCTION("""COMPUTED_VALUE"""),"NL003090925B87")</f>
        <v>NL003090925B87</v>
      </c>
      <c r="T195" s="6">
        <f>IFERROR(__xludf.DUMMYFUNCTION("""COMPUTED_VALUE"""),6.31276099E8)</f>
        <v>631276099</v>
      </c>
      <c r="U195" s="7" t="str">
        <f>IFERROR(__xludf.DUMMYFUNCTION("""COMPUTED_VALUE"""),"Eenmanszaak")</f>
        <v>Eenmanszaak</v>
      </c>
      <c r="V195" s="7" t="str">
        <f>IFERROR(__xludf.DUMMYFUNCTION("""COMPUTED_VALUE"""),"000044231091")</f>
        <v>000044231091</v>
      </c>
      <c r="W195" s="6" t="str">
        <f>IFERROR(__xludf.DUMMYFUNCTION("""COMPUTED_VALUE"""),"ink.gvgtransport.2288aa@zarabota.nl")</f>
        <v>ink.gvgtransport.2288aa@zarabota.nl</v>
      </c>
      <c r="X195" s="6" t="str">
        <f>IFERROR(__xludf.DUMMYFUNCTION("""COMPUTED_VALUE"""),"ver.gvgtransport.2288aa@zarabota.nl")</f>
        <v>ver.gvgtransport.2288aa@zarabota.nl</v>
      </c>
      <c r="Y195" s="6" t="str">
        <f>IFERROR(__xludf.DUMMYFUNCTION("""COMPUTED_VALUE"""),"Hr.")</f>
        <v>Hr.</v>
      </c>
      <c r="Z195" s="6" t="str">
        <f>IFERROR(__xludf.DUMMYFUNCTION("""COMPUTED_VALUE"""),"Georgi Valentinov")</f>
        <v>Georgi Valentinov</v>
      </c>
      <c r="AA195" s="6" t="str">
        <f>IFERROR(__xludf.DUMMYFUNCTION("""COMPUTED_VALUE"""),"Georgiev")</f>
        <v>Georgiev</v>
      </c>
      <c r="AB195" s="6" t="str">
        <f>IFERROR(__xludf.DUMMYFUNCTION("""COMPUTED_VALUE"""),"G.V.")</f>
        <v>G.V.</v>
      </c>
      <c r="AC195" s="6">
        <f>IFERROR(__xludf.DUMMYFUNCTION("""COMPUTED_VALUE"""),6.31276099E8)</f>
        <v>631276099</v>
      </c>
      <c r="AD195" s="9">
        <f>IFERROR(__xludf.DUMMYFUNCTION("""COMPUTED_VALUE"""),32393.0)</f>
        <v>32393</v>
      </c>
      <c r="AE195" s="6" t="str">
        <f>IFERROR(__xludf.DUMMYFUNCTION("""COMPUTED_VALUE"""),"bg")</f>
        <v>bg</v>
      </c>
      <c r="AF195" s="6" t="str">
        <f>IFERROR(__xludf.DUMMYFUNCTION("""COMPUTED_VALUE"""),"Montana")</f>
        <v>Montana</v>
      </c>
      <c r="AG195" s="6" t="str">
        <f>IFERROR(__xludf.DUMMYFUNCTION("""COMPUTED_VALUE"""),"Hr. G.V. Georgiev")</f>
        <v>Hr. G.V. Georgiev</v>
      </c>
      <c r="AH195" s="6"/>
      <c r="AI195" s="6"/>
      <c r="AJ195" s="6" t="str">
        <f>IFERROR(__xludf.DUMMYFUNCTION("""COMPUTED_VALUE"""),"ID Kaart")</f>
        <v>ID Kaart</v>
      </c>
      <c r="AK195" s="6">
        <f>IFERROR(__xludf.DUMMYFUNCTION("""COMPUTED_VALUE"""),6.46440149E8)</f>
        <v>646440149</v>
      </c>
      <c r="AL195" s="9">
        <f>IFERROR(__xludf.DUMMYFUNCTION("""COMPUTED_VALUE"""),46292.0)</f>
        <v>46292</v>
      </c>
      <c r="AM195" s="6" t="str">
        <f>IFERROR(__xludf.DUMMYFUNCTION("""COMPUTED_VALUE"""),"Bulgarije")</f>
        <v>Bulgarije</v>
      </c>
      <c r="AN195" s="6" t="str">
        <f>IFERROR(__xludf.DUMMYFUNCTION("""COMPUTED_VALUE"""),"Georgi Valentinov Georgiev")</f>
        <v>Georgi Valentinov Georgiev</v>
      </c>
      <c r="AO195" s="6"/>
    </row>
    <row r="196">
      <c r="A196" s="6" t="str">
        <f>IFERROR(__xludf.DUMMYFUNCTION("""COMPUTED_VALUE"""),"Hadzhiev Bouw")</f>
        <v>Hadzhiev Bouw</v>
      </c>
      <c r="B196" s="6" t="str">
        <f>IFERROR(__xludf.DUMMYFUNCTION("""COMPUTED_VALUE"""),"Hadzhiev Bouw")</f>
        <v>Hadzhiev Bouw</v>
      </c>
      <c r="C196" s="6">
        <f>IFERROR(__xludf.DUMMYFUNCTION("""COMPUTED_VALUE"""),1357.0)</f>
        <v>1357</v>
      </c>
      <c r="D196" s="7" t="str">
        <f>IFERROR(__xludf.DUMMYFUNCTION("""COMPUTED_VALUE"""),"Viktor Veselinov Hadzhiev")</f>
        <v>Viktor Veselinov Hadzhiev</v>
      </c>
      <c r="E196" s="7" t="str">
        <f>IFERROR(__xludf.DUMMYFUNCTION("""COMPUTED_VALUE"""),"SBI-code: 4120 - Algemene burgerlijke en utiliteitsbouw")</f>
        <v>SBI-code: 4120 - Algemene burgerlijke en utiliteitsbouw</v>
      </c>
      <c r="F196" s="7" t="str">
        <f>IFERROR(__xludf.DUMMYFUNCTION("""COMPUTED_VALUE"""),"0684280592")</f>
        <v>0684280592</v>
      </c>
      <c r="G196" s="6" t="str">
        <f>IFERROR(__xludf.DUMMYFUNCTION("""COMPUTED_VALUE"""),"viktorhadzhiev616@gmail.com")</f>
        <v>viktorhadzhiev616@gmail.com</v>
      </c>
      <c r="H196" s="6" t="str">
        <f>IFERROR(__xludf.DUMMYFUNCTION("""COMPUTED_VALUE"""),"Van Musschenbroekstraat 147")</f>
        <v>Van Musschenbroekstraat 147</v>
      </c>
      <c r="I196" s="6" t="str">
        <f>IFERROR(__xludf.DUMMYFUNCTION("""COMPUTED_VALUE"""),"2522AL")</f>
        <v>2522AL</v>
      </c>
      <c r="J196" s="6" t="str">
        <f>IFERROR(__xludf.DUMMYFUNCTION("""COMPUTED_VALUE"""),"s-Gravenhage")</f>
        <v>s-Gravenhage</v>
      </c>
      <c r="K196" s="6" t="str">
        <f>IFERROR(__xludf.DUMMYFUNCTION("""COMPUTED_VALUE"""),"Nederland")</f>
        <v>Nederland</v>
      </c>
      <c r="L196" s="6" t="str">
        <f>IFERROR(__xludf.DUMMYFUNCTION("""COMPUTED_VALUE"""),"Хаджиев")</f>
        <v>Хаджиев</v>
      </c>
      <c r="M196" s="8">
        <f>IFERROR(__xludf.DUMMYFUNCTION("""COMPUTED_VALUE"""),44682.0)</f>
        <v>44682</v>
      </c>
      <c r="N196" s="6" t="str">
        <f>IFERROR(__xludf.DUMMYFUNCTION("""COMPUTED_VALUE"""),"NL283996134B01")</f>
        <v>NL283996134B01</v>
      </c>
      <c r="O196" s="6">
        <f>IFERROR(__xludf.DUMMYFUNCTION("""COMPUTED_VALUE"""),8.6650416E7)</f>
        <v>86650416</v>
      </c>
      <c r="P196" s="6" t="str">
        <f>IFERROR(__xludf.DUMMYFUNCTION("""COMPUTED_VALUE"""),"NL48INGB0395701538")</f>
        <v>NL48INGB0395701538</v>
      </c>
      <c r="Q196" s="9">
        <f>IFERROR(__xludf.DUMMYFUNCTION("""COMPUTED_VALUE"""),44682.0)</f>
        <v>44682</v>
      </c>
      <c r="R196" s="6"/>
      <c r="S196" s="6" t="str">
        <f>IFERROR(__xludf.DUMMYFUNCTION("""COMPUTED_VALUE"""),"NL004284268B34")</f>
        <v>NL004284268B34</v>
      </c>
      <c r="T196" s="6">
        <f>IFERROR(__xludf.DUMMYFUNCTION("""COMPUTED_VALUE"""),2.83996134E8)</f>
        <v>283996134</v>
      </c>
      <c r="U196" s="7" t="str">
        <f>IFERROR(__xludf.DUMMYFUNCTION("""COMPUTED_VALUE"""),"Eenmanszaak")</f>
        <v>Eenmanszaak</v>
      </c>
      <c r="V196" s="7" t="str">
        <f>IFERROR(__xludf.DUMMYFUNCTION("""COMPUTED_VALUE"""),"000052614271")</f>
        <v>000052614271</v>
      </c>
      <c r="W196" s="6" t="str">
        <f>IFERROR(__xludf.DUMMYFUNCTION("""COMPUTED_VALUE"""),"ink.hadzhievbouw.2288aa@zarabota.nl")</f>
        <v>ink.hadzhievbouw.2288aa@zarabota.nl</v>
      </c>
      <c r="X196" s="6" t="str">
        <f>IFERROR(__xludf.DUMMYFUNCTION("""COMPUTED_VALUE"""),"ver.hadzhievbouw.2288aa@zarabota.nl")</f>
        <v>ver.hadzhievbouw.2288aa@zarabota.nl</v>
      </c>
      <c r="Y196" s="6" t="str">
        <f>IFERROR(__xludf.DUMMYFUNCTION("""COMPUTED_VALUE"""),"Hr.")</f>
        <v>Hr.</v>
      </c>
      <c r="Z196" s="6" t="str">
        <f>IFERROR(__xludf.DUMMYFUNCTION("""COMPUTED_VALUE"""),"Viktor Veselinov")</f>
        <v>Viktor Veselinov</v>
      </c>
      <c r="AA196" s="6" t="str">
        <f>IFERROR(__xludf.DUMMYFUNCTION("""COMPUTED_VALUE"""),"Hadzhiev")</f>
        <v>Hadzhiev</v>
      </c>
      <c r="AB196" s="6" t="str">
        <f>IFERROR(__xludf.DUMMYFUNCTION("""COMPUTED_VALUE"""),"V.V.")</f>
        <v>V.V.</v>
      </c>
      <c r="AC196" s="6">
        <f>IFERROR(__xludf.DUMMYFUNCTION("""COMPUTED_VALUE"""),2.83996134E8)</f>
        <v>283996134</v>
      </c>
      <c r="AD196" s="9">
        <f>IFERROR(__xludf.DUMMYFUNCTION("""COMPUTED_VALUE"""),37566.0)</f>
        <v>37566</v>
      </c>
      <c r="AE196" s="6" t="str">
        <f>IFERROR(__xludf.DUMMYFUNCTION("""COMPUTED_VALUE"""),"bg")</f>
        <v>bg</v>
      </c>
      <c r="AF196" s="6"/>
      <c r="AG196" s="6" t="str">
        <f>IFERROR(__xludf.DUMMYFUNCTION("""COMPUTED_VALUE"""),"Hr. V.V. Hadzhiev")</f>
        <v>Hr. V.V. Hadzhiev</v>
      </c>
      <c r="AH196" s="6"/>
      <c r="AI196" s="6"/>
      <c r="AJ196" s="6" t="str">
        <f>IFERROR(__xludf.DUMMYFUNCTION("""COMPUTED_VALUE"""),"ID Kaart")</f>
        <v>ID Kaart</v>
      </c>
      <c r="AK196" s="6">
        <f>IFERROR(__xludf.DUMMYFUNCTION("""COMPUTED_VALUE"""),6.49835097E8)</f>
        <v>649835097</v>
      </c>
      <c r="AL196" s="9">
        <f>IFERROR(__xludf.DUMMYFUNCTION("""COMPUTED_VALUE"""),47804.0)</f>
        <v>47804</v>
      </c>
      <c r="AM196" s="6" t="str">
        <f>IFERROR(__xludf.DUMMYFUNCTION("""COMPUTED_VALUE"""),"Bulgarije")</f>
        <v>Bulgarije</v>
      </c>
      <c r="AN196" s="6" t="str">
        <f>IFERROR(__xludf.DUMMYFUNCTION("""COMPUTED_VALUE"""),"Viktor Veselinov Hadzhiev")</f>
        <v>Viktor Veselinov Hadzhiev</v>
      </c>
      <c r="AO196" s="6">
        <f>IFERROR(__xludf.DUMMYFUNCTION("""COMPUTED_VALUE"""),1357.0)</f>
        <v>1357</v>
      </c>
    </row>
    <row r="197">
      <c r="A197" s="6" t="str">
        <f>IFERROR(__xludf.DUMMYFUNCTION("""COMPUTED_VALUE"""),"Hari69")</f>
        <v>Hari69</v>
      </c>
      <c r="B197" s="6" t="str">
        <f>IFERROR(__xludf.DUMMYFUNCTION("""COMPUTED_VALUE"""),"Hari69")</f>
        <v>Hari69</v>
      </c>
      <c r="C197" s="6">
        <f>IFERROR(__xludf.DUMMYFUNCTION("""COMPUTED_VALUE"""),144.0)</f>
        <v>144</v>
      </c>
      <c r="D197" s="7" t="str">
        <f>IFERROR(__xludf.DUMMYFUNCTION("""COMPUTED_VALUE"""),"Zahari Vasilev Tatarov")</f>
        <v>Zahari Vasilev Tatarov</v>
      </c>
      <c r="E197" s="7" t="str">
        <f>IFERROR(__xludf.DUMMYFUNCTION("""COMPUTED_VALUE"""),"SBI-code: 4120 - Algemene burgerlijke en utiliteitsbouw")</f>
        <v>SBI-code: 4120 - Algemene burgerlijke en utiliteitsbouw</v>
      </c>
      <c r="F197" s="7" t="str">
        <f>IFERROR(__xludf.DUMMYFUNCTION("""COMPUTED_VALUE"""),"0618696754")</f>
        <v>0618696754</v>
      </c>
      <c r="G197" s="6" t="str">
        <f>IFERROR(__xludf.DUMMYFUNCTION("""COMPUTED_VALUE"""),"zaharitatarov5@gmail.com")</f>
        <v>zaharitatarov5@gmail.com</v>
      </c>
      <c r="H197" s="6" t="str">
        <f>IFERROR(__xludf.DUMMYFUNCTION("""COMPUTED_VALUE"""),"Generaal Spoorlaan 175")</f>
        <v>Generaal Spoorlaan 175</v>
      </c>
      <c r="I197" s="6" t="str">
        <f>IFERROR(__xludf.DUMMYFUNCTION("""COMPUTED_VALUE"""),"2283GE")</f>
        <v>2283GE</v>
      </c>
      <c r="J197" s="6" t="str">
        <f>IFERROR(__xludf.DUMMYFUNCTION("""COMPUTED_VALUE"""),"Rijswijk")</f>
        <v>Rijswijk</v>
      </c>
      <c r="K197" s="6" t="str">
        <f>IFERROR(__xludf.DUMMYFUNCTION("""COMPUTED_VALUE"""),"Nederland")</f>
        <v>Nederland</v>
      </c>
      <c r="L197" s="6" t="str">
        <f>IFERROR(__xludf.DUMMYFUNCTION("""COMPUTED_VALUE"""),"Татаров")</f>
        <v>Татаров</v>
      </c>
      <c r="M197" s="8">
        <f>IFERROR(__xludf.DUMMYFUNCTION("""COMPUTED_VALUE"""),41852.0)</f>
        <v>41852</v>
      </c>
      <c r="N197" s="6" t="str">
        <f>IFERROR(__xludf.DUMMYFUNCTION("""COMPUTED_VALUE"""),"NL507521304B01")</f>
        <v>NL507521304B01</v>
      </c>
      <c r="O197" s="6">
        <f>IFERROR(__xludf.DUMMYFUNCTION("""COMPUTED_VALUE"""),6.1214523E7)</f>
        <v>61214523</v>
      </c>
      <c r="P197" s="6" t="str">
        <f>IFERROR(__xludf.DUMMYFUNCTION("""COMPUTED_VALUE"""),"NL48INGB0006616496")</f>
        <v>NL48INGB0006616496</v>
      </c>
      <c r="Q197" s="9">
        <f>IFERROR(__xludf.DUMMYFUNCTION("""COMPUTED_VALUE"""),41852.0)</f>
        <v>41852</v>
      </c>
      <c r="R197" s="6"/>
      <c r="S197" s="6" t="str">
        <f>IFERROR(__xludf.DUMMYFUNCTION("""COMPUTED_VALUE"""),"NL002493278B66")</f>
        <v>NL002493278B66</v>
      </c>
      <c r="T197" s="6">
        <f>IFERROR(__xludf.DUMMYFUNCTION("""COMPUTED_VALUE"""),5.07521304E8)</f>
        <v>507521304</v>
      </c>
      <c r="U197" s="7" t="str">
        <f>IFERROR(__xludf.DUMMYFUNCTION("""COMPUTED_VALUE"""),"Eenmanszaak")</f>
        <v>Eenmanszaak</v>
      </c>
      <c r="V197" s="7" t="str">
        <f>IFERROR(__xludf.DUMMYFUNCTION("""COMPUTED_VALUE"""),"000030334071")</f>
        <v>000030334071</v>
      </c>
      <c r="W197" s="6" t="str">
        <f>IFERROR(__xludf.DUMMYFUNCTION("""COMPUTED_VALUE"""),"ink.hari69.2288aa@zarabota.nl")</f>
        <v>ink.hari69.2288aa@zarabota.nl</v>
      </c>
      <c r="X197" s="6" t="str">
        <f>IFERROR(__xludf.DUMMYFUNCTION("""COMPUTED_VALUE"""),"ver.hari69.2288aa@zarabota.nl")</f>
        <v>ver.hari69.2288aa@zarabota.nl</v>
      </c>
      <c r="Y197" s="6" t="str">
        <f>IFERROR(__xludf.DUMMYFUNCTION("""COMPUTED_VALUE"""),"Hr.")</f>
        <v>Hr.</v>
      </c>
      <c r="Z197" s="6" t="str">
        <f>IFERROR(__xludf.DUMMYFUNCTION("""COMPUTED_VALUE"""),"Zahari  Vasilev")</f>
        <v>Zahari  Vasilev</v>
      </c>
      <c r="AA197" s="6" t="str">
        <f>IFERROR(__xludf.DUMMYFUNCTION("""COMPUTED_VALUE"""),"Tatarov")</f>
        <v>Tatarov</v>
      </c>
      <c r="AB197" s="6" t="str">
        <f>IFERROR(__xludf.DUMMYFUNCTION("""COMPUTED_VALUE"""),"Z.V.")</f>
        <v>Z.V.</v>
      </c>
      <c r="AC197" s="6">
        <f>IFERROR(__xludf.DUMMYFUNCTION("""COMPUTED_VALUE"""),5.07521304E8)</f>
        <v>507521304</v>
      </c>
      <c r="AD197" s="9">
        <f>IFERROR(__xludf.DUMMYFUNCTION("""COMPUTED_VALUE"""),28954.0)</f>
        <v>28954</v>
      </c>
      <c r="AE197" s="6" t="str">
        <f>IFERROR(__xludf.DUMMYFUNCTION("""COMPUTED_VALUE"""),"bg")</f>
        <v>bg</v>
      </c>
      <c r="AF197" s="6" t="str">
        <f>IFERROR(__xludf.DUMMYFUNCTION("""COMPUTED_VALUE"""),"Madan")</f>
        <v>Madan</v>
      </c>
      <c r="AG197" s="6" t="str">
        <f>IFERROR(__xludf.DUMMYFUNCTION("""COMPUTED_VALUE"""),"Hr. Z.V. Tatarov")</f>
        <v>Hr. Z.V. Tatarov</v>
      </c>
      <c r="AH197" s="6" t="str">
        <f>IFERROR(__xludf.DUMMYFUNCTION("""COMPUTED_VALUE"""),"NL32INGB0667507272")</f>
        <v>NL32INGB0667507272</v>
      </c>
      <c r="AI197" s="9">
        <f>IFERROR(__xludf.DUMMYFUNCTION("""COMPUTED_VALUE"""),41851.0)</f>
        <v>41851</v>
      </c>
      <c r="AJ197" s="6" t="str">
        <f>IFERROR(__xludf.DUMMYFUNCTION("""COMPUTED_VALUE"""),"ID Kaart")</f>
        <v>ID Kaart</v>
      </c>
      <c r="AK197" s="6">
        <f>IFERROR(__xludf.DUMMYFUNCTION("""COMPUTED_VALUE"""),6.42344345E8)</f>
        <v>642344345</v>
      </c>
      <c r="AL197" s="9">
        <f>IFERROR(__xludf.DUMMYFUNCTION("""COMPUTED_VALUE"""),44321.0)</f>
        <v>44321</v>
      </c>
      <c r="AM197" s="6"/>
      <c r="AN197" s="6" t="str">
        <f>IFERROR(__xludf.DUMMYFUNCTION("""COMPUTED_VALUE"""),"Zahari  Vasilev Tatarov")</f>
        <v>Zahari  Vasilev Tatarov</v>
      </c>
      <c r="AO197" s="6"/>
    </row>
    <row r="198">
      <c r="A198" s="6" t="str">
        <f>IFERROR(__xludf.DUMMYFUNCTION("""COMPUTED_VALUE"""),"Hasan Yusuf Bouwbedrijf")</f>
        <v>Hasan Yusuf Bouwbedrijf</v>
      </c>
      <c r="B198" s="6" t="str">
        <f>IFERROR(__xludf.DUMMYFUNCTION("""COMPUTED_VALUE"""),"Hasan Yusuf Bouwbedrijf")</f>
        <v>Hasan Yusuf Bouwbedrijf</v>
      </c>
      <c r="C198" s="6">
        <f>IFERROR(__xludf.DUMMYFUNCTION("""COMPUTED_VALUE"""),642.0)</f>
        <v>642</v>
      </c>
      <c r="D198" s="7" t="str">
        <f>IFERROR(__xludf.DUMMYFUNCTION("""COMPUTED_VALUE"""),"Hasan Hyusein Yusuf")</f>
        <v>Hasan Hyusein Yusuf</v>
      </c>
      <c r="E198" s="7" t="str">
        <f>IFERROR(__xludf.DUMMYFUNCTION("""COMPUTED_VALUE"""),"SBI-code: 4120 - Algemene burgerlijke en utiliteitsbouw")</f>
        <v>SBI-code: 4120 - Algemene burgerlijke en utiliteitsbouw</v>
      </c>
      <c r="F198" s="7" t="str">
        <f>IFERROR(__xludf.DUMMYFUNCTION("""COMPUTED_VALUE"""),"0634610574")</f>
        <v>0634610574</v>
      </c>
      <c r="G198" s="6" t="str">
        <f>IFERROR(__xludf.DUMMYFUNCTION("""COMPUTED_VALUE"""),"hsn.yusuff@gmail.com")</f>
        <v>hsn.yusuff@gmail.com</v>
      </c>
      <c r="H198" s="6" t="str">
        <f>IFERROR(__xludf.DUMMYFUNCTION("""COMPUTED_VALUE"""),"Nunspetlaan 478")</f>
        <v>Nunspetlaan 478</v>
      </c>
      <c r="I198" s="6" t="str">
        <f>IFERROR(__xludf.DUMMYFUNCTION("""COMPUTED_VALUE"""),"2573GW")</f>
        <v>2573GW</v>
      </c>
      <c r="J198" s="6" t="str">
        <f>IFERROR(__xludf.DUMMYFUNCTION("""COMPUTED_VALUE"""),"Den Haag")</f>
        <v>Den Haag</v>
      </c>
      <c r="K198" s="6" t="str">
        <f>IFERROR(__xludf.DUMMYFUNCTION("""COMPUTED_VALUE"""),"Nederland")</f>
        <v>Nederland</v>
      </c>
      <c r="L198" s="6" t="str">
        <f>IFERROR(__xludf.DUMMYFUNCTION("""COMPUTED_VALUE"""),"Юсуф")</f>
        <v>Юсуф</v>
      </c>
      <c r="M198" s="8">
        <f>IFERROR(__xludf.DUMMYFUNCTION("""COMPUTED_VALUE"""),44963.0)</f>
        <v>44963</v>
      </c>
      <c r="N198" s="6" t="str">
        <f>IFERROR(__xludf.DUMMYFUNCTION("""COMPUTED_VALUE"""),"NL561183375B02")</f>
        <v>NL561183375B02</v>
      </c>
      <c r="O198" s="6">
        <f>IFERROR(__xludf.DUMMYFUNCTION("""COMPUTED_VALUE"""),8.9484304E7)</f>
        <v>89484304</v>
      </c>
      <c r="P198" s="6" t="str">
        <f>IFERROR(__xludf.DUMMYFUNCTION("""COMPUTED_VALUE"""),"NL18INGB0100275095")</f>
        <v>NL18INGB0100275095</v>
      </c>
      <c r="Q198" s="9">
        <f>IFERROR(__xludf.DUMMYFUNCTION("""COMPUTED_VALUE"""),43348.0)</f>
        <v>43348</v>
      </c>
      <c r="R198" s="6"/>
      <c r="S198" s="6" t="str">
        <f>IFERROR(__xludf.DUMMYFUNCTION("""COMPUTED_VALUE"""),"NL004732284B83")</f>
        <v>NL004732284B83</v>
      </c>
      <c r="T198" s="6">
        <f>IFERROR(__xludf.DUMMYFUNCTION("""COMPUTED_VALUE"""),5.61183375E8)</f>
        <v>561183375</v>
      </c>
      <c r="U198" s="7" t="str">
        <f>IFERROR(__xludf.DUMMYFUNCTION("""COMPUTED_VALUE"""),"Eenmanszaak")</f>
        <v>Eenmanszaak</v>
      </c>
      <c r="V198" s="7" t="str">
        <f>IFERROR(__xludf.DUMMYFUNCTION("""COMPUTED_VALUE"""),"000040613658")</f>
        <v>000040613658</v>
      </c>
      <c r="W198" s="6" t="str">
        <f>IFERROR(__xludf.DUMMYFUNCTION("""COMPUTED_VALUE"""),"ink.hasanyusufbouwbedrijf.2288aa@zarabota.nl")</f>
        <v>ink.hasanyusufbouwbedrijf.2288aa@zarabota.nl</v>
      </c>
      <c r="X198" s="6" t="str">
        <f>IFERROR(__xludf.DUMMYFUNCTION("""COMPUTED_VALUE"""),"ver.hasanyusufbouwbedrijf.2288aa@zarabota.nl")</f>
        <v>ver.hasanyusufbouwbedrijf.2288aa@zarabota.nl</v>
      </c>
      <c r="Y198" s="6" t="str">
        <f>IFERROR(__xludf.DUMMYFUNCTION("""COMPUTED_VALUE"""),"Hr.")</f>
        <v>Hr.</v>
      </c>
      <c r="Z198" s="6" t="str">
        <f>IFERROR(__xludf.DUMMYFUNCTION("""COMPUTED_VALUE"""),"Hasan Hyusein")</f>
        <v>Hasan Hyusein</v>
      </c>
      <c r="AA198" s="6" t="str">
        <f>IFERROR(__xludf.DUMMYFUNCTION("""COMPUTED_VALUE"""),"Yusuf")</f>
        <v>Yusuf</v>
      </c>
      <c r="AB198" s="6" t="str">
        <f>IFERROR(__xludf.DUMMYFUNCTION("""COMPUTED_VALUE"""),"H.H.")</f>
        <v>H.H.</v>
      </c>
      <c r="AC198" s="6">
        <f>IFERROR(__xludf.DUMMYFUNCTION("""COMPUTED_VALUE"""),5.61183375E8)</f>
        <v>561183375</v>
      </c>
      <c r="AD198" s="9">
        <f>IFERROR(__xludf.DUMMYFUNCTION("""COMPUTED_VALUE"""),33007.0)</f>
        <v>33007</v>
      </c>
      <c r="AE198" s="6" t="str">
        <f>IFERROR(__xludf.DUMMYFUNCTION("""COMPUTED_VALUE"""),"bg")</f>
        <v>bg</v>
      </c>
      <c r="AF198" s="6" t="str">
        <f>IFERROR(__xludf.DUMMYFUNCTION("""COMPUTED_VALUE"""),"Razgrad")</f>
        <v>Razgrad</v>
      </c>
      <c r="AG198" s="6" t="str">
        <f>IFERROR(__xludf.DUMMYFUNCTION("""COMPUTED_VALUE"""),"Hr. H.H. Yusuf")</f>
        <v>Hr. H.H. Yusuf</v>
      </c>
      <c r="AH198" s="6" t="str">
        <f>IFERROR(__xludf.DUMMYFUNCTION("""COMPUTED_VALUE"""),"NL67INGB0669621242")</f>
        <v>NL67INGB0669621242</v>
      </c>
      <c r="AI198" s="6"/>
      <c r="AJ198" s="6"/>
      <c r="AK198" s="6"/>
      <c r="AL198" s="6"/>
      <c r="AM198" s="6"/>
      <c r="AN198" s="6" t="str">
        <f>IFERROR(__xludf.DUMMYFUNCTION("""COMPUTED_VALUE"""),"Hasan Hyusein Yusuf")</f>
        <v>Hasan Hyusein Yusuf</v>
      </c>
      <c r="AO198" s="6">
        <f>IFERROR(__xludf.DUMMYFUNCTION("""COMPUTED_VALUE"""),642.0)</f>
        <v>642</v>
      </c>
    </row>
    <row r="199">
      <c r="A199" s="6" t="str">
        <f>IFERROR(__xludf.DUMMYFUNCTION("""COMPUTED_VALUE"""),"Haveli Bouw VOF")</f>
        <v>Haveli Bouw VOF</v>
      </c>
      <c r="B199" s="6" t="str">
        <f>IFERROR(__xludf.DUMMYFUNCTION("""COMPUTED_VALUE"""),"Haveli Bouw VOF")</f>
        <v>Haveli Bouw VOF</v>
      </c>
      <c r="C199" s="6">
        <f>IFERROR(__xludf.DUMMYFUNCTION("""COMPUTED_VALUE"""),200.0)</f>
        <v>200</v>
      </c>
      <c r="D199" s="7" t="str">
        <f>IFERROR(__xludf.DUMMYFUNCTION("""COMPUTED_VALUE"""),"Veli Halil Ibryam")</f>
        <v>Veli Halil Ibryam</v>
      </c>
      <c r="E199" s="7" t="str">
        <f>IFERROR(__xludf.DUMMYFUNCTION("""COMPUTED_VALUE"""),"SBI-code: 4120 - Algemene burgerlijke en utiliteitsbouw")</f>
        <v>SBI-code: 4120 - Algemene burgerlijke en utiliteitsbouw</v>
      </c>
      <c r="F199" s="7" t="str">
        <f>IFERROR(__xludf.DUMMYFUNCTION("""COMPUTED_VALUE"""),"0684306771")</f>
        <v>0684306771</v>
      </c>
      <c r="G199" s="6" t="str">
        <f>IFERROR(__xludf.DUMMYFUNCTION("""COMPUTED_VALUE"""),"ibryamv439@gmail.com")</f>
        <v>ibryamv439@gmail.com</v>
      </c>
      <c r="H199" s="6" t="str">
        <f>IFERROR(__xludf.DUMMYFUNCTION("""COMPUTED_VALUE"""),"Oranjelaan 12")</f>
        <v>Oranjelaan 12</v>
      </c>
      <c r="I199" s="6" t="str">
        <f>IFERROR(__xludf.DUMMYFUNCTION("""COMPUTED_VALUE"""),"1735HR")</f>
        <v>1735HR</v>
      </c>
      <c r="J199" s="6" t="str">
        <f>IFERROR(__xludf.DUMMYFUNCTION("""COMPUTED_VALUE"""),"t Veld")</f>
        <v>t Veld</v>
      </c>
      <c r="K199" s="6" t="str">
        <f>IFERROR(__xludf.DUMMYFUNCTION("""COMPUTED_VALUE"""),"Nederland")</f>
        <v>Nederland</v>
      </c>
      <c r="L199" s="6" t="str">
        <f>IFERROR(__xludf.DUMMYFUNCTION("""COMPUTED_VALUE"""),"Ибрям")</f>
        <v>Ибрям</v>
      </c>
      <c r="M199" s="8">
        <f>IFERROR(__xludf.DUMMYFUNCTION("""COMPUTED_VALUE"""),43175.0)</f>
        <v>43175</v>
      </c>
      <c r="N199" s="6" t="str">
        <f>IFERROR(__xludf.DUMMYFUNCTION("""COMPUTED_VALUE"""),"NL854960478B01")</f>
        <v>NL854960478B01</v>
      </c>
      <c r="O199" s="6">
        <f>IFERROR(__xludf.DUMMYFUNCTION("""COMPUTED_VALUE"""),6.2796607E7)</f>
        <v>62796607</v>
      </c>
      <c r="P199" s="6" t="str">
        <f>IFERROR(__xludf.DUMMYFUNCTION("""COMPUTED_VALUE"""),"NL34INGB0006847802")</f>
        <v>NL34INGB0006847802</v>
      </c>
      <c r="Q199" s="9">
        <f>IFERROR(__xludf.DUMMYFUNCTION("""COMPUTED_VALUE"""),42036.0)</f>
        <v>42036</v>
      </c>
      <c r="R199" s="6"/>
      <c r="S199" s="6" t="str">
        <f>IFERROR(__xludf.DUMMYFUNCTION("""COMPUTED_VALUE"""),"NL854960478B01")</f>
        <v>NL854960478B01</v>
      </c>
      <c r="T199" s="6">
        <f>IFERROR(__xludf.DUMMYFUNCTION("""COMPUTED_VALUE"""),8.54960478E8)</f>
        <v>854960478</v>
      </c>
      <c r="U199" s="7" t="str">
        <f>IFERROR(__xludf.DUMMYFUNCTION("""COMPUTED_VALUE"""),"Vennootschap Onder Firma")</f>
        <v>Vennootschap Onder Firma</v>
      </c>
      <c r="V199" s="7" t="str">
        <f>IFERROR(__xludf.DUMMYFUNCTION("""COMPUTED_VALUE"""),"000031773966")</f>
        <v>000031773966</v>
      </c>
      <c r="W199" s="6" t="str">
        <f>IFERROR(__xludf.DUMMYFUNCTION("""COMPUTED_VALUE"""),"ink.havelibouwvof.2288aa@zarabota.nl")</f>
        <v>ink.havelibouwvof.2288aa@zarabota.nl</v>
      </c>
      <c r="X199" s="6" t="str">
        <f>IFERROR(__xludf.DUMMYFUNCTION("""COMPUTED_VALUE"""),"ver.havelibouwvof.2288aa@zarabota.nl")</f>
        <v>ver.havelibouwvof.2288aa@zarabota.nl</v>
      </c>
      <c r="Y199" s="6" t="str">
        <f>IFERROR(__xludf.DUMMYFUNCTION("""COMPUTED_VALUE"""),"Hr.")</f>
        <v>Hr.</v>
      </c>
      <c r="Z199" s="6" t="str">
        <f>IFERROR(__xludf.DUMMYFUNCTION("""COMPUTED_VALUE"""),"Veli Halil")</f>
        <v>Veli Halil</v>
      </c>
      <c r="AA199" s="6" t="str">
        <f>IFERROR(__xludf.DUMMYFUNCTION("""COMPUTED_VALUE"""),"Ibryam")</f>
        <v>Ibryam</v>
      </c>
      <c r="AB199" s="6" t="str">
        <f>IFERROR(__xludf.DUMMYFUNCTION("""COMPUTED_VALUE"""),"V.H.")</f>
        <v>V.H.</v>
      </c>
      <c r="AC199" s="6">
        <f>IFERROR(__xludf.DUMMYFUNCTION("""COMPUTED_VALUE"""),3.56550254E8)</f>
        <v>356550254</v>
      </c>
      <c r="AD199" s="9">
        <f>IFERROR(__xludf.DUMMYFUNCTION("""COMPUTED_VALUE"""),31605.0)</f>
        <v>31605</v>
      </c>
      <c r="AE199" s="6" t="str">
        <f>IFERROR(__xludf.DUMMYFUNCTION("""COMPUTED_VALUE"""),"bg")</f>
        <v>bg</v>
      </c>
      <c r="AF199" s="6" t="str">
        <f>IFERROR(__xludf.DUMMYFUNCTION("""COMPUTED_VALUE"""),"Kubrat")</f>
        <v>Kubrat</v>
      </c>
      <c r="AG199" s="6" t="str">
        <f>IFERROR(__xludf.DUMMYFUNCTION("""COMPUTED_VALUE"""),"Hr. V.H. Ibryam")</f>
        <v>Hr. V.H. Ibryam</v>
      </c>
      <c r="AH199" s="6" t="str">
        <f>IFERROR(__xludf.DUMMYFUNCTION("""COMPUTED_VALUE"""),"NL36INGB0750907606")</f>
        <v>NL36INGB0750907606</v>
      </c>
      <c r="AI199" s="9">
        <f>IFERROR(__xludf.DUMMYFUNCTION("""COMPUTED_VALUE"""),42065.0)</f>
        <v>42065</v>
      </c>
      <c r="AJ199" s="6" t="str">
        <f>IFERROR(__xludf.DUMMYFUNCTION("""COMPUTED_VALUE"""),"ID Kaart")</f>
        <v>ID Kaart</v>
      </c>
      <c r="AK199" s="6">
        <f>IFERROR(__xludf.DUMMYFUNCTION("""COMPUTED_VALUE"""),6.49298545E8)</f>
        <v>649298545</v>
      </c>
      <c r="AL199" s="9">
        <f>IFERROR(__xludf.DUMMYFUNCTION("""COMPUTED_VALUE"""),47699.0)</f>
        <v>47699</v>
      </c>
      <c r="AM199" s="6" t="str">
        <f>IFERROR(__xludf.DUMMYFUNCTION("""COMPUTED_VALUE"""),"Bulgarije")</f>
        <v>Bulgarije</v>
      </c>
      <c r="AN199" s="6" t="str">
        <f>IFERROR(__xludf.DUMMYFUNCTION("""COMPUTED_VALUE"""),"Veli Halil Ibryam")</f>
        <v>Veli Halil Ibryam</v>
      </c>
      <c r="AO199" s="6"/>
    </row>
    <row r="200">
      <c r="A200" s="6" t="str">
        <f>IFERROR(__xludf.DUMMYFUNCTION("""COMPUTED_VALUE"""),"Helios-sp B.V.")</f>
        <v>Helios-sp B.V.</v>
      </c>
      <c r="B200" s="6" t="str">
        <f>IFERROR(__xludf.DUMMYFUNCTION("""COMPUTED_VALUE"""),"Helios-sp B.V.")</f>
        <v>Helios-sp B.V.</v>
      </c>
      <c r="C200" s="6">
        <f>IFERROR(__xludf.DUMMYFUNCTION("""COMPUTED_VALUE"""),1668.0)</f>
        <v>1668</v>
      </c>
      <c r="D200" s="7" t="str">
        <f>IFERROR(__xludf.DUMMYFUNCTION("""COMPUTED_VALUE"""),"Aleks Vladimirov Minchev")</f>
        <v>Aleks Vladimirov Minchev</v>
      </c>
      <c r="E200" s="7" t="str">
        <f>IFERROR(__xludf.DUMMYFUNCTION("""COMPUTED_VALUE"""),"SBI-code: 4222 - Leggen van elektriciteits- en telecommunicatiekabels")</f>
        <v>SBI-code: 4222 - Leggen van elektriciteits- en telecommunicatiekabels</v>
      </c>
      <c r="F200" s="7" t="str">
        <f>IFERROR(__xludf.DUMMYFUNCTION("""COMPUTED_VALUE"""),"0622056410")</f>
        <v>0622056410</v>
      </c>
      <c r="G200" s="6" t="str">
        <f>IFERROR(__xludf.DUMMYFUNCTION("""COMPUTED_VALUE"""),"info@helios-sp.com")</f>
        <v>info@helios-sp.com</v>
      </c>
      <c r="H200" s="6" t="str">
        <f>IFERROR(__xludf.DUMMYFUNCTION("""COMPUTED_VALUE"""),"Piet Paaltjensstraat 41")</f>
        <v>Piet Paaltjensstraat 41</v>
      </c>
      <c r="I200" s="6" t="str">
        <f>IFERROR(__xludf.DUMMYFUNCTION("""COMPUTED_VALUE"""),"2522VG")</f>
        <v>2522VG</v>
      </c>
      <c r="J200" s="6" t="str">
        <f>IFERROR(__xludf.DUMMYFUNCTION("""COMPUTED_VALUE"""),"s-Gravenhage")</f>
        <v>s-Gravenhage</v>
      </c>
      <c r="K200" s="6" t="str">
        <f>IFERROR(__xludf.DUMMYFUNCTION("""COMPUTED_VALUE"""),"Nederland")</f>
        <v>Nederland</v>
      </c>
      <c r="L200" s="6" t="str">
        <f>IFERROR(__xludf.DUMMYFUNCTION("""COMPUTED_VALUE"""),"Минчев")</f>
        <v>Минчев</v>
      </c>
      <c r="M200" s="8">
        <f>IFERROR(__xludf.DUMMYFUNCTION("""COMPUTED_VALUE"""),45588.0)</f>
        <v>45588</v>
      </c>
      <c r="N200" s="6" t="str">
        <f>IFERROR(__xludf.DUMMYFUNCTION("""COMPUTED_VALUE"""),"NL867080541B01")</f>
        <v>NL867080541B01</v>
      </c>
      <c r="O200" s="6">
        <f>IFERROR(__xludf.DUMMYFUNCTION("""COMPUTED_VALUE"""),9.5306145E7)</f>
        <v>95306145</v>
      </c>
      <c r="P200" s="6" t="str">
        <f>IFERROR(__xludf.DUMMYFUNCTION("""COMPUTED_VALUE"""),"NL43INGB0109932935")</f>
        <v>NL43INGB0109932935</v>
      </c>
      <c r="Q200" s="9">
        <f>IFERROR(__xludf.DUMMYFUNCTION("""COMPUTED_VALUE"""),45588.0)</f>
        <v>45588</v>
      </c>
      <c r="R200" s="6"/>
      <c r="S200" s="6" t="str">
        <f>IFERROR(__xludf.DUMMYFUNCTION("""COMPUTED_VALUE"""),"NL867080541B01")</f>
        <v>NL867080541B01</v>
      </c>
      <c r="T200" s="6">
        <f>IFERROR(__xludf.DUMMYFUNCTION("""COMPUTED_VALUE"""),8.67080541E8)</f>
        <v>867080541</v>
      </c>
      <c r="U200" s="7" t="str">
        <f>IFERROR(__xludf.DUMMYFUNCTION("""COMPUTED_VALUE"""),"Eenmanszaak")</f>
        <v>Eenmanszaak</v>
      </c>
      <c r="V200" s="7" t="str">
        <f>IFERROR(__xludf.DUMMYFUNCTION("""COMPUTED_VALUE"""),"000060725249")</f>
        <v>000060725249</v>
      </c>
      <c r="W200" s="6" t="str">
        <f>IFERROR(__xludf.DUMMYFUNCTION("""COMPUTED_VALUE"""),"ink.heliossp.2288aa@zarabota.nl")</f>
        <v>ink.heliossp.2288aa@zarabota.nl</v>
      </c>
      <c r="X200" s="6" t="str">
        <f>IFERROR(__xludf.DUMMYFUNCTION("""COMPUTED_VALUE"""),"ver.heliossp.2288aa@zarabota.nl")</f>
        <v>ver.heliossp.2288aa@zarabota.nl</v>
      </c>
      <c r="Y200" s="6" t="str">
        <f>IFERROR(__xludf.DUMMYFUNCTION("""COMPUTED_VALUE"""),"Hr.")</f>
        <v>Hr.</v>
      </c>
      <c r="Z200" s="6" t="str">
        <f>IFERROR(__xludf.DUMMYFUNCTION("""COMPUTED_VALUE"""),"Aleks Vladimirov")</f>
        <v>Aleks Vladimirov</v>
      </c>
      <c r="AA200" s="6" t="str">
        <f>IFERROR(__xludf.DUMMYFUNCTION("""COMPUTED_VALUE"""),"Minchev")</f>
        <v>Minchev</v>
      </c>
      <c r="AB200" s="6" t="str">
        <f>IFERROR(__xludf.DUMMYFUNCTION("""COMPUTED_VALUE"""),"A.V.")</f>
        <v>A.V.</v>
      </c>
      <c r="AC200" s="6">
        <f>IFERROR(__xludf.DUMMYFUNCTION("""COMPUTED_VALUE"""),6.32969672E8)</f>
        <v>632969672</v>
      </c>
      <c r="AD200" s="9">
        <f>IFERROR(__xludf.DUMMYFUNCTION("""COMPUTED_VALUE"""),35726.0)</f>
        <v>35726</v>
      </c>
      <c r="AE200" s="6" t="str">
        <f>IFERROR(__xludf.DUMMYFUNCTION("""COMPUTED_VALUE"""),"bg")</f>
        <v>bg</v>
      </c>
      <c r="AF200" s="6" t="str">
        <f>IFERROR(__xludf.DUMMYFUNCTION("""COMPUTED_VALUE"""),"Momchilgrad")</f>
        <v>Momchilgrad</v>
      </c>
      <c r="AG200" s="6" t="str">
        <f>IFERROR(__xludf.DUMMYFUNCTION("""COMPUTED_VALUE"""),"Hr. A.V. Minchev")</f>
        <v>Hr. A.V. Minchev</v>
      </c>
      <c r="AH200" s="6"/>
      <c r="AI200" s="6"/>
      <c r="AJ200" s="6" t="str">
        <f>IFERROR(__xludf.DUMMYFUNCTION("""COMPUTED_VALUE"""),"ID Kaart")</f>
        <v>ID Kaart</v>
      </c>
      <c r="AK200" s="6">
        <f>IFERROR(__xludf.DUMMYFUNCTION("""COMPUTED_VALUE"""),6.52104869E8)</f>
        <v>652104869</v>
      </c>
      <c r="AL200" s="9">
        <f>IFERROR(__xludf.DUMMYFUNCTION("""COMPUTED_VALUE"""),48448.0)</f>
        <v>48448</v>
      </c>
      <c r="AM200" s="6" t="str">
        <f>IFERROR(__xludf.DUMMYFUNCTION("""COMPUTED_VALUE"""),"Bulgarije")</f>
        <v>Bulgarije</v>
      </c>
      <c r="AN200" s="6" t="str">
        <f>IFERROR(__xludf.DUMMYFUNCTION("""COMPUTED_VALUE"""),"Aleks Vladimirov Minchev")</f>
        <v>Aleks Vladimirov Minchev</v>
      </c>
      <c r="AO200" s="6">
        <f>IFERROR(__xludf.DUMMYFUNCTION("""COMPUTED_VALUE"""),1668.0)</f>
        <v>1668</v>
      </c>
    </row>
    <row r="201">
      <c r="A201" s="6" t="str">
        <f>IFERROR(__xludf.DUMMYFUNCTION("""COMPUTED_VALUE"""),"Heyk Onderhoud")</f>
        <v>Heyk Onderhoud</v>
      </c>
      <c r="B201" s="6" t="str">
        <f>IFERROR(__xludf.DUMMYFUNCTION("""COMPUTED_VALUE"""),"Hayk Onderhoud")</f>
        <v>Hayk Onderhoud</v>
      </c>
      <c r="C201" s="6">
        <f>IFERROR(__xludf.DUMMYFUNCTION("""COMPUTED_VALUE"""),1728.0)</f>
        <v>1728</v>
      </c>
      <c r="D201" s="7" t="str">
        <f>IFERROR(__xludf.DUMMYFUNCTION("""COMPUTED_VALUE"""),"Hayk Ghukasyan")</f>
        <v>Hayk Ghukasyan</v>
      </c>
      <c r="E201" s="7" t="str">
        <f>IFERROR(__xludf.DUMMYFUNCTION("""COMPUTED_VALUE"""),"SBI-code: 4120 - Algemene burgerlijke en utiliteitsbouw")</f>
        <v>SBI-code: 4120 - Algemene burgerlijke en utiliteitsbouw</v>
      </c>
      <c r="F201" s="7" t="str">
        <f>IFERROR(__xludf.DUMMYFUNCTION("""COMPUTED_VALUE"""),"0684696056")</f>
        <v>0684696056</v>
      </c>
      <c r="G201" s="6" t="str">
        <f>IFERROR(__xludf.DUMMYFUNCTION("""COMPUTED_VALUE"""),"gaikgukasyan@gmail.com")</f>
        <v>gaikgukasyan@gmail.com</v>
      </c>
      <c r="H201" s="6" t="str">
        <f>IFERROR(__xludf.DUMMYFUNCTION("""COMPUTED_VALUE"""),"Van Anrooijstraat 10")</f>
        <v>Van Anrooijstraat 10</v>
      </c>
      <c r="I201" s="6" t="str">
        <f>IFERROR(__xludf.DUMMYFUNCTION("""COMPUTED_VALUE"""),"5343BC")</f>
        <v>5343BC</v>
      </c>
      <c r="J201" s="6" t="str">
        <f>IFERROR(__xludf.DUMMYFUNCTION("""COMPUTED_VALUE"""),"Oss")</f>
        <v>Oss</v>
      </c>
      <c r="K201" s="6" t="str">
        <f>IFERROR(__xludf.DUMMYFUNCTION("""COMPUTED_VALUE"""),"Nederland")</f>
        <v>Nederland</v>
      </c>
      <c r="L201" s="6" t="str">
        <f>IFERROR(__xludf.DUMMYFUNCTION("""COMPUTED_VALUE"""),"Гукасян")</f>
        <v>Гукасян</v>
      </c>
      <c r="M201" s="8">
        <f>IFERROR(__xludf.DUMMYFUNCTION("""COMPUTED_VALUE"""),45658.0)</f>
        <v>45658</v>
      </c>
      <c r="N201" s="6" t="str">
        <f>IFERROR(__xludf.DUMMYFUNCTION("""COMPUTED_VALUE"""),"NL410616424B01")</f>
        <v>NL410616424B01</v>
      </c>
      <c r="O201" s="6">
        <f>IFERROR(__xludf.DUMMYFUNCTION("""COMPUTED_VALUE"""),7.475525E7)</f>
        <v>74755250</v>
      </c>
      <c r="P201" s="6" t="str">
        <f>IFERROR(__xludf.DUMMYFUNCTION("""COMPUTED_VALUE"""),"NL45INGB0009015166")</f>
        <v>NL45INGB0009015166</v>
      </c>
      <c r="Q201" s="9">
        <f>IFERROR(__xludf.DUMMYFUNCTION("""COMPUTED_VALUE"""),43577.0)</f>
        <v>43577</v>
      </c>
      <c r="R201" s="6"/>
      <c r="S201" s="6" t="str">
        <f>IFERROR(__xludf.DUMMYFUNCTION("""COMPUTED_VALUE"""),"NL002479770B97")</f>
        <v>NL002479770B97</v>
      </c>
      <c r="T201" s="6">
        <f>IFERROR(__xludf.DUMMYFUNCTION("""COMPUTED_VALUE"""),4.10616424E8)</f>
        <v>410616424</v>
      </c>
      <c r="U201" s="7" t="str">
        <f>IFERROR(__xludf.DUMMYFUNCTION("""COMPUTED_VALUE"""),"Eenmanszaak")</f>
        <v>Eenmanszaak</v>
      </c>
      <c r="V201" s="7" t="str">
        <f>IFERROR(__xludf.DUMMYFUNCTION("""COMPUTED_VALUE"""),"000042690080")</f>
        <v>000042690080</v>
      </c>
      <c r="W201" s="6" t="str">
        <f>IFERROR(__xludf.DUMMYFUNCTION("""COMPUTED_VALUE"""),"ink.heyk.2288aa@zarabota.nl")</f>
        <v>ink.heyk.2288aa@zarabota.nl</v>
      </c>
      <c r="X201" s="6" t="str">
        <f>IFERROR(__xludf.DUMMYFUNCTION("""COMPUTED_VALUE"""),"ver.heyk.2288aa@zarabota.nl")</f>
        <v>ver.heyk.2288aa@zarabota.nl</v>
      </c>
      <c r="Y201" s="6" t="str">
        <f>IFERROR(__xludf.DUMMYFUNCTION("""COMPUTED_VALUE"""),"Hr.")</f>
        <v>Hr.</v>
      </c>
      <c r="Z201" s="6" t="str">
        <f>IFERROR(__xludf.DUMMYFUNCTION("""COMPUTED_VALUE"""),"Hayk")</f>
        <v>Hayk</v>
      </c>
      <c r="AA201" s="6" t="str">
        <f>IFERROR(__xludf.DUMMYFUNCTION("""COMPUTED_VALUE"""),"Ghukasyan")</f>
        <v>Ghukasyan</v>
      </c>
      <c r="AB201" s="6" t="str">
        <f>IFERROR(__xludf.DUMMYFUNCTION("""COMPUTED_VALUE"""),"H.")</f>
        <v>H.</v>
      </c>
      <c r="AC201" s="6">
        <f>IFERROR(__xludf.DUMMYFUNCTION("""COMPUTED_VALUE"""),4.10616424E8)</f>
        <v>410616424</v>
      </c>
      <c r="AD201" s="9">
        <f>IFERROR(__xludf.DUMMYFUNCTION("""COMPUTED_VALUE"""),29179.0)</f>
        <v>29179</v>
      </c>
      <c r="AE201" s="6" t="str">
        <f>IFERROR(__xludf.DUMMYFUNCTION("""COMPUTED_VALUE"""),"bg")</f>
        <v>bg</v>
      </c>
      <c r="AF201" s="6" t="str">
        <f>IFERROR(__xludf.DUMMYFUNCTION("""COMPUTED_VALUE"""),"Stepanavan")</f>
        <v>Stepanavan</v>
      </c>
      <c r="AG201" s="6" t="str">
        <f>IFERROR(__xludf.DUMMYFUNCTION("""COMPUTED_VALUE"""),"Hr. H. Ghukasyan")</f>
        <v>Hr. H. Ghukasyan</v>
      </c>
      <c r="AH201" s="6"/>
      <c r="AI201" s="6"/>
      <c r="AJ201" s="6" t="str">
        <f>IFERROR(__xludf.DUMMYFUNCTION("""COMPUTED_VALUE"""),"Rijbewijs")</f>
        <v>Rijbewijs</v>
      </c>
      <c r="AK201" s="6">
        <f>IFERROR(__xludf.DUMMYFUNCTION("""COMPUTED_VALUE"""),5.83651089E9)</f>
        <v>5836510890</v>
      </c>
      <c r="AL201" s="9">
        <f>IFERROR(__xludf.DUMMYFUNCTION("""COMPUTED_VALUE"""),46988.0)</f>
        <v>46988</v>
      </c>
      <c r="AM201" s="6" t="str">
        <f>IFERROR(__xludf.DUMMYFUNCTION("""COMPUTED_VALUE"""),"Sovjet-Unie")</f>
        <v>Sovjet-Unie</v>
      </c>
      <c r="AN201" s="6" t="str">
        <f>IFERROR(__xludf.DUMMYFUNCTION("""COMPUTED_VALUE"""),"Hayk Ghukasyan")</f>
        <v>Hayk Ghukasyan</v>
      </c>
      <c r="AO201" s="6">
        <f>IFERROR(__xludf.DUMMYFUNCTION("""COMPUTED_VALUE"""),1728.0)</f>
        <v>1728</v>
      </c>
    </row>
    <row r="202">
      <c r="A202" s="6" t="str">
        <f>IFERROR(__xludf.DUMMYFUNCTION("""COMPUTED_VALUE"""),"HKSR Bouw en Elektra")</f>
        <v>HKSR Bouw en Elektra</v>
      </c>
      <c r="B202" s="6" t="str">
        <f>IFERROR(__xludf.DUMMYFUNCTION("""COMPUTED_VALUE"""),"HKSR Bouw en Elektra")</f>
        <v>HKSR Bouw en Elektra</v>
      </c>
      <c r="C202" s="6">
        <f>IFERROR(__xludf.DUMMYFUNCTION("""COMPUTED_VALUE"""),388.0)</f>
        <v>388</v>
      </c>
      <c r="D202" s="7" t="str">
        <f>IFERROR(__xludf.DUMMYFUNCTION("""COMPUTED_VALUE"""),"Hari Sevdalinov Kehayov")</f>
        <v>Hari Sevdalinov Kehayov</v>
      </c>
      <c r="E202" s="7" t="str">
        <f>IFERROR(__xludf.DUMMYFUNCTION("""COMPUTED_VALUE"""),"SBI-code: 4120 - Algemene burgerlijke en utiliteitsbouw")</f>
        <v>SBI-code: 4120 - Algemene burgerlijke en utiliteitsbouw</v>
      </c>
      <c r="F202" s="7" t="str">
        <f>IFERROR(__xludf.DUMMYFUNCTION("""COMPUTED_VALUE"""),"0653526878")</f>
        <v>0653526878</v>
      </c>
      <c r="G202" s="6" t="str">
        <f>IFERROR(__xludf.DUMMYFUNCTION("""COMPUTED_VALUE"""),"hari.65.hk@gmail.com")</f>
        <v>hari.65.hk@gmail.com</v>
      </c>
      <c r="H202" s="6" t="str">
        <f>IFERROR(__xludf.DUMMYFUNCTION("""COMPUTED_VALUE"""),"Drebbelstraat 303")</f>
        <v>Drebbelstraat 303</v>
      </c>
      <c r="I202" s="6" t="str">
        <f>IFERROR(__xludf.DUMMYFUNCTION("""COMPUTED_VALUE"""),"2522DD")</f>
        <v>2522DD</v>
      </c>
      <c r="J202" s="6" t="str">
        <f>IFERROR(__xludf.DUMMYFUNCTION("""COMPUTED_VALUE"""),"s-Gravenhage")</f>
        <v>s-Gravenhage</v>
      </c>
      <c r="K202" s="6" t="str">
        <f>IFERROR(__xludf.DUMMYFUNCTION("""COMPUTED_VALUE"""),"Nederland")</f>
        <v>Nederland</v>
      </c>
      <c r="L202" s="6" t="str">
        <f>IFERROR(__xludf.DUMMYFUNCTION("""COMPUTED_VALUE"""),"Кехайов")</f>
        <v>Кехайов</v>
      </c>
      <c r="M202" s="8">
        <f>IFERROR(__xludf.DUMMYFUNCTION("""COMPUTED_VALUE"""),43175.0)</f>
        <v>43175</v>
      </c>
      <c r="N202" s="6" t="str">
        <f>IFERROR(__xludf.DUMMYFUNCTION("""COMPUTED_VALUE"""),"NL495732060B03")</f>
        <v>NL495732060B03</v>
      </c>
      <c r="O202" s="6">
        <f>IFERROR(__xludf.DUMMYFUNCTION("""COMPUTED_VALUE"""),6.8106637E7)</f>
        <v>68106637</v>
      </c>
      <c r="P202" s="6" t="str">
        <f>IFERROR(__xludf.DUMMYFUNCTION("""COMPUTED_VALUE"""),"NL21ABNA0817907092")</f>
        <v>NL21ABNA0817907092</v>
      </c>
      <c r="Q202" s="9">
        <f>IFERROR(__xludf.DUMMYFUNCTION("""COMPUTED_VALUE"""),42781.0)</f>
        <v>42781</v>
      </c>
      <c r="R202" s="6"/>
      <c r="S202" s="6" t="str">
        <f>IFERROR(__xludf.DUMMYFUNCTION("""COMPUTED_VALUE"""),"NL002491665B33")</f>
        <v>NL002491665B33</v>
      </c>
      <c r="T202" s="6">
        <f>IFERROR(__xludf.DUMMYFUNCTION("""COMPUTED_VALUE"""),4.9573206E8)</f>
        <v>495732060</v>
      </c>
      <c r="U202" s="7" t="str">
        <f>IFERROR(__xludf.DUMMYFUNCTION("""COMPUTED_VALUE"""),"Eenmanszaak")</f>
        <v>Eenmanszaak</v>
      </c>
      <c r="V202" s="7" t="str">
        <f>IFERROR(__xludf.DUMMYFUNCTION("""COMPUTED_VALUE"""),"000036577405")</f>
        <v>000036577405</v>
      </c>
      <c r="W202" s="6" t="str">
        <f>IFERROR(__xludf.DUMMYFUNCTION("""COMPUTED_VALUE"""),"ink.hksrbouwenelektra.2288aa@zarabota.nl")</f>
        <v>ink.hksrbouwenelektra.2288aa@zarabota.nl</v>
      </c>
      <c r="X202" s="6" t="str">
        <f>IFERROR(__xludf.DUMMYFUNCTION("""COMPUTED_VALUE"""),"ver.hksrbouwenelektra.2288aa@zarabota.nl")</f>
        <v>ver.hksrbouwenelektra.2288aa@zarabota.nl</v>
      </c>
      <c r="Y202" s="6" t="str">
        <f>IFERROR(__xludf.DUMMYFUNCTION("""COMPUTED_VALUE"""),"Hr.")</f>
        <v>Hr.</v>
      </c>
      <c r="Z202" s="6" t="str">
        <f>IFERROR(__xludf.DUMMYFUNCTION("""COMPUTED_VALUE"""),"Hari Sevdalinov")</f>
        <v>Hari Sevdalinov</v>
      </c>
      <c r="AA202" s="6" t="str">
        <f>IFERROR(__xludf.DUMMYFUNCTION("""COMPUTED_VALUE"""),"Kehayov")</f>
        <v>Kehayov</v>
      </c>
      <c r="AB202" s="6" t="str">
        <f>IFERROR(__xludf.DUMMYFUNCTION("""COMPUTED_VALUE"""),"H.S.")</f>
        <v>H.S.</v>
      </c>
      <c r="AC202" s="6">
        <f>IFERROR(__xludf.DUMMYFUNCTION("""COMPUTED_VALUE"""),4.9573206E8)</f>
        <v>495732060</v>
      </c>
      <c r="AD202" s="9">
        <f>IFERROR(__xludf.DUMMYFUNCTION("""COMPUTED_VALUE"""),24100.0)</f>
        <v>24100</v>
      </c>
      <c r="AE202" s="6" t="str">
        <f>IFERROR(__xludf.DUMMYFUNCTION("""COMPUTED_VALUE"""),"bg")</f>
        <v>bg</v>
      </c>
      <c r="AF202" s="6" t="str">
        <f>IFERROR(__xludf.DUMMYFUNCTION("""COMPUTED_VALUE"""),"Rudozem")</f>
        <v>Rudozem</v>
      </c>
      <c r="AG202" s="6" t="str">
        <f>IFERROR(__xludf.DUMMYFUNCTION("""COMPUTED_VALUE"""),"Hr. H.S. Kehayov")</f>
        <v>Hr. H.S. Kehayov</v>
      </c>
      <c r="AH202" s="6" t="str">
        <f>IFERROR(__xludf.DUMMYFUNCTION("""COMPUTED_VALUE"""),"NL45ABNA0459724363")</f>
        <v>NL45ABNA0459724363</v>
      </c>
      <c r="AI202" s="6"/>
      <c r="AJ202" s="6"/>
      <c r="AK202" s="6"/>
      <c r="AL202" s="6"/>
      <c r="AM202" s="6" t="str">
        <f>IFERROR(__xludf.DUMMYFUNCTION("""COMPUTED_VALUE"""),"Bulgarije")</f>
        <v>Bulgarije</v>
      </c>
      <c r="AN202" s="6" t="str">
        <f>IFERROR(__xludf.DUMMYFUNCTION("""COMPUTED_VALUE"""),"Hari Sevdalinov Kehayov")</f>
        <v>Hari Sevdalinov Kehayov</v>
      </c>
      <c r="AO202" s="6"/>
    </row>
    <row r="203">
      <c r="A203" s="6" t="str">
        <f>IFERROR(__xludf.DUMMYFUNCTION("""COMPUTED_VALUE"""),"Hrisi 12")</f>
        <v>Hrisi 12</v>
      </c>
      <c r="B203" s="6" t="str">
        <f>IFERROR(__xludf.DUMMYFUNCTION("""COMPUTED_VALUE"""),"Hrisi 12")</f>
        <v>Hrisi 12</v>
      </c>
      <c r="C203" s="6">
        <f>IFERROR(__xludf.DUMMYFUNCTION("""COMPUTED_VALUE"""),1676.0)</f>
        <v>1676</v>
      </c>
      <c r="D203" s="7" t="str">
        <f>IFERROR(__xludf.DUMMYFUNCTION("""COMPUTED_VALUE"""),"Ventsislav Boykov Tsvetkov")</f>
        <v>Ventsislav Boykov Tsvetkov</v>
      </c>
      <c r="E203" s="7" t="str">
        <f>IFERROR(__xludf.DUMMYFUNCTION("""COMPUTED_VALUE"""),"SBI-code: 4120 - Algemene burgerlijke en utiliteitsbouw")</f>
        <v>SBI-code: 4120 - Algemene burgerlijke en utiliteitsbouw</v>
      </c>
      <c r="F203" s="7" t="str">
        <f>IFERROR(__xludf.DUMMYFUNCTION("""COMPUTED_VALUE"""),"0685363304")</f>
        <v>0685363304</v>
      </c>
      <c r="G203" s="6" t="str">
        <f>IFERROR(__xludf.DUMMYFUNCTION("""COMPUTED_VALUE"""),"hrisi12bouw@gmail.com")</f>
        <v>hrisi12bouw@gmail.com</v>
      </c>
      <c r="H203" s="6" t="str">
        <f>IFERROR(__xludf.DUMMYFUNCTION("""COMPUTED_VALUE"""),"Linnaeusstraat 83")</f>
        <v>Linnaeusstraat 83</v>
      </c>
      <c r="I203" s="6" t="str">
        <f>IFERROR(__xludf.DUMMYFUNCTION("""COMPUTED_VALUE"""),"2522 GD")</f>
        <v>2522 GD</v>
      </c>
      <c r="J203" s="6" t="str">
        <f>IFERROR(__xludf.DUMMYFUNCTION("""COMPUTED_VALUE"""),"s-Gravenhage")</f>
        <v>s-Gravenhage</v>
      </c>
      <c r="K203" s="6" t="str">
        <f>IFERROR(__xludf.DUMMYFUNCTION("""COMPUTED_VALUE"""),"Nederland")</f>
        <v>Nederland</v>
      </c>
      <c r="L203" s="6" t="str">
        <f>IFERROR(__xludf.DUMMYFUNCTION("""COMPUTED_VALUE"""),"Цветков")</f>
        <v>Цветков</v>
      </c>
      <c r="M203" s="8">
        <f>IFERROR(__xludf.DUMMYFUNCTION("""COMPUTED_VALUE"""),43479.0)</f>
        <v>43479</v>
      </c>
      <c r="N203" s="6" t="str">
        <f>IFERROR(__xludf.DUMMYFUNCTION("""COMPUTED_VALUE"""),"NL434033303B03")</f>
        <v>NL434033303B03</v>
      </c>
      <c r="O203" s="6">
        <f>IFERROR(__xludf.DUMMYFUNCTION("""COMPUTED_VALUE"""),9.8560867E7)</f>
        <v>98560867</v>
      </c>
      <c r="P203" s="6" t="str">
        <f>IFERROR(__xludf.DUMMYFUNCTION("""COMPUTED_VALUE"""),"NL10INGB0008714805")</f>
        <v>NL10INGB0008714805</v>
      </c>
      <c r="Q203" s="9">
        <f>IFERROR(__xludf.DUMMYFUNCTION("""COMPUTED_VALUE"""),45929.0)</f>
        <v>45929</v>
      </c>
      <c r="R203" s="6"/>
      <c r="S203" s="6" t="str">
        <f>IFERROR(__xludf.DUMMYFUNCTION("""COMPUTED_VALUE"""),"NL005343879B90")</f>
        <v>NL005343879B90</v>
      </c>
      <c r="T203" s="6">
        <f>IFERROR(__xludf.DUMMYFUNCTION("""COMPUTED_VALUE"""),4.34033303E8)</f>
        <v>434033303</v>
      </c>
      <c r="U203" s="7" t="str">
        <f>IFERROR(__xludf.DUMMYFUNCTION("""COMPUTED_VALUE"""),"Eenmanszaak")</f>
        <v>Eenmanszaak</v>
      </c>
      <c r="V203" s="7" t="str">
        <f>IFERROR(__xludf.DUMMYFUNCTION("""COMPUTED_VALUE"""),"000041661982")</f>
        <v>000041661982</v>
      </c>
      <c r="W203" s="6" t="str">
        <f>IFERROR(__xludf.DUMMYFUNCTION("""COMPUTED_VALUE"""),"ink.hrisi12.2288aa@zarabota.nl")</f>
        <v>ink.hrisi12.2288aa@zarabota.nl</v>
      </c>
      <c r="X203" s="6" t="str">
        <f>IFERROR(__xludf.DUMMYFUNCTION("""COMPUTED_VALUE"""),"ver.hrisi12.2288aa@zarabota.nl")</f>
        <v>ver.hrisi12.2288aa@zarabota.nl</v>
      </c>
      <c r="Y203" s="6" t="str">
        <f>IFERROR(__xludf.DUMMYFUNCTION("""COMPUTED_VALUE"""),"Hr.")</f>
        <v>Hr.</v>
      </c>
      <c r="Z203" s="6" t="str">
        <f>IFERROR(__xludf.DUMMYFUNCTION("""COMPUTED_VALUE"""),"Ventsislav Boykov")</f>
        <v>Ventsislav Boykov</v>
      </c>
      <c r="AA203" s="6" t="str">
        <f>IFERROR(__xludf.DUMMYFUNCTION("""COMPUTED_VALUE"""),"Tsvetkov")</f>
        <v>Tsvetkov</v>
      </c>
      <c r="AB203" s="6" t="str">
        <f>IFERROR(__xludf.DUMMYFUNCTION("""COMPUTED_VALUE"""),"V.B.")</f>
        <v>V.B.</v>
      </c>
      <c r="AC203" s="6">
        <f>IFERROR(__xludf.DUMMYFUNCTION("""COMPUTED_VALUE"""),4.34033303E8)</f>
        <v>434033303</v>
      </c>
      <c r="AD203" s="9">
        <f>IFERROR(__xludf.DUMMYFUNCTION("""COMPUTED_VALUE"""),27557.0)</f>
        <v>27557</v>
      </c>
      <c r="AE203" s="6" t="str">
        <f>IFERROR(__xludf.DUMMYFUNCTION("""COMPUTED_VALUE"""),"bg")</f>
        <v>bg</v>
      </c>
      <c r="AF203" s="6" t="str">
        <f>IFERROR(__xludf.DUMMYFUNCTION("""COMPUTED_VALUE"""),"Madan")</f>
        <v>Madan</v>
      </c>
      <c r="AG203" s="6" t="str">
        <f>IFERROR(__xludf.DUMMYFUNCTION("""COMPUTED_VALUE"""),"Hr. V.B. Tsvetkov")</f>
        <v>Hr. V.B. Tsvetkov</v>
      </c>
      <c r="AH203" s="6" t="str">
        <f>IFERROR(__xludf.DUMMYFUNCTION("""COMPUTED_VALUE"""),"NL71INGB0794863981")</f>
        <v>NL71INGB0794863981</v>
      </c>
      <c r="AI203" s="9">
        <f>IFERROR(__xludf.DUMMYFUNCTION("""COMPUTED_VALUE"""),43473.0)</f>
        <v>43473</v>
      </c>
      <c r="AJ203" s="6" t="str">
        <f>IFERROR(__xludf.DUMMYFUNCTION("""COMPUTED_VALUE"""),"ID Kaart")</f>
        <v>ID Kaart</v>
      </c>
      <c r="AK203" s="6">
        <f>IFERROR(__xludf.DUMMYFUNCTION("""COMPUTED_VALUE"""),6.47985852E8)</f>
        <v>647985852</v>
      </c>
      <c r="AL203" s="9">
        <f>IFERROR(__xludf.DUMMYFUNCTION("""COMPUTED_VALUE"""),47101.0)</f>
        <v>47101</v>
      </c>
      <c r="AM203" s="6" t="str">
        <f>IFERROR(__xludf.DUMMYFUNCTION("""COMPUTED_VALUE"""),"Bulgarije")</f>
        <v>Bulgarije</v>
      </c>
      <c r="AN203" s="6" t="str">
        <f>IFERROR(__xludf.DUMMYFUNCTION("""COMPUTED_VALUE"""),"Ventsislav Boykov Tsvetkov")</f>
        <v>Ventsislav Boykov Tsvetkov</v>
      </c>
      <c r="AO203" s="6">
        <f>IFERROR(__xludf.DUMMYFUNCTION("""COMPUTED_VALUE"""),1676.0)</f>
        <v>1676</v>
      </c>
    </row>
    <row r="204">
      <c r="A204" s="6" t="str">
        <f>IFERROR(__xludf.DUMMYFUNCTION("""COMPUTED_VALUE"""),"Hrisim VOF")</f>
        <v>Hrisim VOF</v>
      </c>
      <c r="B204" s="6" t="str">
        <f>IFERROR(__xludf.DUMMYFUNCTION("""COMPUTED_VALUE"""),"Hrisim VOF")</f>
        <v>Hrisim VOF</v>
      </c>
      <c r="C204" s="6">
        <f>IFERROR(__xludf.DUMMYFUNCTION("""COMPUTED_VALUE"""),385.0)</f>
        <v>385</v>
      </c>
      <c r="D204" s="7" t="str">
        <f>IFERROR(__xludf.DUMMYFUNCTION("""COMPUTED_VALUE"""),"Hristo Denev Todorov")</f>
        <v>Hristo Denev Todorov</v>
      </c>
      <c r="E204" s="7" t="str">
        <f>IFERROR(__xludf.DUMMYFUNCTION("""COMPUTED_VALUE"""),"SBI-code: 4120 - Algemene burgerlijke en utiliteitsbouw")</f>
        <v>SBI-code: 4120 - Algemene burgerlijke en utiliteitsbouw</v>
      </c>
      <c r="F204" s="7" t="str">
        <f>IFERROR(__xludf.DUMMYFUNCTION("""COMPUTED_VALUE"""),"+359898538441")</f>
        <v>+359898538441</v>
      </c>
      <c r="G204" s="6" t="str">
        <f>IFERROR(__xludf.DUMMYFUNCTION("""COMPUTED_VALUE"""),"hristak72@gmail.com")</f>
        <v>hristak72@gmail.com</v>
      </c>
      <c r="H204" s="6" t="str">
        <f>IFERROR(__xludf.DUMMYFUNCTION("""COMPUTED_VALUE"""),"Lyonnetstraat 15")</f>
        <v>Lyonnetstraat 15</v>
      </c>
      <c r="I204" s="6" t="str">
        <f>IFERROR(__xludf.DUMMYFUNCTION("""COMPUTED_VALUE"""),"2522NA")</f>
        <v>2522NA</v>
      </c>
      <c r="J204" s="6" t="str">
        <f>IFERROR(__xludf.DUMMYFUNCTION("""COMPUTED_VALUE"""),"s-Gravenhage")</f>
        <v>s-Gravenhage</v>
      </c>
      <c r="K204" s="6" t="str">
        <f>IFERROR(__xludf.DUMMYFUNCTION("""COMPUTED_VALUE"""),"Nederland")</f>
        <v>Nederland</v>
      </c>
      <c r="L204" s="6" t="str">
        <f>IFERROR(__xludf.DUMMYFUNCTION("""COMPUTED_VALUE"""),"Тодоров")</f>
        <v>Тодоров</v>
      </c>
      <c r="M204" s="8">
        <f>IFERROR(__xludf.DUMMYFUNCTION("""COMPUTED_VALUE"""),43175.0)</f>
        <v>43175</v>
      </c>
      <c r="N204" s="6" t="str">
        <f>IFERROR(__xludf.DUMMYFUNCTION("""COMPUTED_VALUE"""),"NL857324305B01")</f>
        <v>NL857324305B01</v>
      </c>
      <c r="O204" s="6">
        <f>IFERROR(__xludf.DUMMYFUNCTION("""COMPUTED_VALUE"""),6.8155751E7)</f>
        <v>68155751</v>
      </c>
      <c r="P204" s="6" t="str">
        <f>IFERROR(__xludf.DUMMYFUNCTION("""COMPUTED_VALUE"""),"NL77INGB0007649703")</f>
        <v>NL77INGB0007649703</v>
      </c>
      <c r="Q204" s="9">
        <f>IFERROR(__xludf.DUMMYFUNCTION("""COMPUTED_VALUE"""),43175.0)</f>
        <v>43175</v>
      </c>
      <c r="R204" s="6"/>
      <c r="S204" s="6" t="str">
        <f>IFERROR(__xludf.DUMMYFUNCTION("""COMPUTED_VALUE"""),"NL857324305B01")</f>
        <v>NL857324305B01</v>
      </c>
      <c r="T204" s="6">
        <f>IFERROR(__xludf.DUMMYFUNCTION("""COMPUTED_VALUE"""),8.57324305E8)</f>
        <v>857324305</v>
      </c>
      <c r="U204" s="7" t="str">
        <f>IFERROR(__xludf.DUMMYFUNCTION("""COMPUTED_VALUE"""),"Vennootschap Onder Firma")</f>
        <v>Vennootschap Onder Firma</v>
      </c>
      <c r="V204" s="7" t="str">
        <f>IFERROR(__xludf.DUMMYFUNCTION("""COMPUTED_VALUE"""),"000036622052")</f>
        <v>000036622052</v>
      </c>
      <c r="W204" s="6" t="str">
        <f>IFERROR(__xludf.DUMMYFUNCTION("""COMPUTED_VALUE"""),"ink.hrisimvof.2288aa@zarabota.nl")</f>
        <v>ink.hrisimvof.2288aa@zarabota.nl</v>
      </c>
      <c r="X204" s="6" t="str">
        <f>IFERROR(__xludf.DUMMYFUNCTION("""COMPUTED_VALUE"""),"ver.hrisimvof.2288aa@zarabota.nl")</f>
        <v>ver.hrisimvof.2288aa@zarabota.nl</v>
      </c>
      <c r="Y204" s="6" t="str">
        <f>IFERROR(__xludf.DUMMYFUNCTION("""COMPUTED_VALUE"""),"Hr.")</f>
        <v>Hr.</v>
      </c>
      <c r="Z204" s="6" t="str">
        <f>IFERROR(__xludf.DUMMYFUNCTION("""COMPUTED_VALUE"""),"Hristo Denev")</f>
        <v>Hristo Denev</v>
      </c>
      <c r="AA204" s="6" t="str">
        <f>IFERROR(__xludf.DUMMYFUNCTION("""COMPUTED_VALUE"""),"Todorov")</f>
        <v>Todorov</v>
      </c>
      <c r="AB204" s="6" t="str">
        <f>IFERROR(__xludf.DUMMYFUNCTION("""COMPUTED_VALUE"""),"H.D.")</f>
        <v>H.D.</v>
      </c>
      <c r="AC204" s="6">
        <f>IFERROR(__xludf.DUMMYFUNCTION("""COMPUTED_VALUE"""),4.73704067E8)</f>
        <v>473704067</v>
      </c>
      <c r="AD204" s="9">
        <f>IFERROR(__xludf.DUMMYFUNCTION("""COMPUTED_VALUE"""),26427.0)</f>
        <v>26427</v>
      </c>
      <c r="AE204" s="6" t="str">
        <f>IFERROR(__xludf.DUMMYFUNCTION("""COMPUTED_VALUE"""),"bg")</f>
        <v>bg</v>
      </c>
      <c r="AF204" s="6" t="str">
        <f>IFERROR(__xludf.DUMMYFUNCTION("""COMPUTED_VALUE"""),"Kubrat")</f>
        <v>Kubrat</v>
      </c>
      <c r="AG204" s="6" t="str">
        <f>IFERROR(__xludf.DUMMYFUNCTION("""COMPUTED_VALUE"""),"Hr. H.D. Todorov")</f>
        <v>Hr. H.D. Todorov</v>
      </c>
      <c r="AH204" s="6"/>
      <c r="AI204" s="6"/>
      <c r="AJ204" s="6"/>
      <c r="AK204" s="6"/>
      <c r="AL204" s="6"/>
      <c r="AM204" s="6"/>
      <c r="AN204" s="6" t="str">
        <f>IFERROR(__xludf.DUMMYFUNCTION("""COMPUTED_VALUE"""),"Hristo Denev Todorov")</f>
        <v>Hristo Denev Todorov</v>
      </c>
      <c r="AO204" s="6"/>
    </row>
    <row r="205">
      <c r="A205" s="6" t="str">
        <f>IFERROR(__xludf.DUMMYFUNCTION("""COMPUTED_VALUE"""),"Hunev Transport")</f>
        <v>Hunev Transport</v>
      </c>
      <c r="B205" s="6" t="str">
        <f>IFERROR(__xludf.DUMMYFUNCTION("""COMPUTED_VALUE"""),"Hunev Transport")</f>
        <v>Hunev Transport</v>
      </c>
      <c r="C205" s="6">
        <f>IFERROR(__xludf.DUMMYFUNCTION("""COMPUTED_VALUE"""),865.0)</f>
        <v>865</v>
      </c>
      <c r="D205" s="7" t="str">
        <f>IFERROR(__xludf.DUMMYFUNCTION("""COMPUTED_VALUE"""),"Stefan Krasimirov Hunev")</f>
        <v>Stefan Krasimirov Hunev</v>
      </c>
      <c r="E205" s="7" t="str">
        <f>IFERROR(__xludf.DUMMYFUNCTION("""COMPUTED_VALUE"""),"SBI-code: 4120 - Algemene burgerlijke en utiliteitsbouw")</f>
        <v>SBI-code: 4120 - Algemene burgerlijke en utiliteitsbouw</v>
      </c>
      <c r="F205" s="7" t="str">
        <f>IFERROR(__xludf.DUMMYFUNCTION("""COMPUTED_VALUE"""),"0686251660")</f>
        <v>0686251660</v>
      </c>
      <c r="G205" s="6" t="str">
        <f>IFERROR(__xludf.DUMMYFUNCTION("""COMPUTED_VALUE"""),"stefanhunev@gmail.com")</f>
        <v>stefanhunev@gmail.com</v>
      </c>
      <c r="H205" s="6" t="str">
        <f>IFERROR(__xludf.DUMMYFUNCTION("""COMPUTED_VALUE"""),"Borgesiusstraat 45 A02")</f>
        <v>Borgesiusstraat 45 A02</v>
      </c>
      <c r="I205" s="6" t="str">
        <f>IFERROR(__xludf.DUMMYFUNCTION("""COMPUTED_VALUE"""),"3038TC")</f>
        <v>3038TC</v>
      </c>
      <c r="J205" s="6" t="str">
        <f>IFERROR(__xludf.DUMMYFUNCTION("""COMPUTED_VALUE"""),"Rotterdam")</f>
        <v>Rotterdam</v>
      </c>
      <c r="K205" s="6" t="str">
        <f>IFERROR(__xludf.DUMMYFUNCTION("""COMPUTED_VALUE"""),"Nederland")</f>
        <v>Nederland</v>
      </c>
      <c r="L205" s="6" t="str">
        <f>IFERROR(__xludf.DUMMYFUNCTION("""COMPUTED_VALUE"""),"Хунев")</f>
        <v>Хунев</v>
      </c>
      <c r="M205" s="8">
        <f>IFERROR(__xludf.DUMMYFUNCTION("""COMPUTED_VALUE"""),43711.0)</f>
        <v>43711</v>
      </c>
      <c r="N205" s="6" t="str">
        <f>IFERROR(__xludf.DUMMYFUNCTION("""COMPUTED_VALUE"""),"NL671571618B01")</f>
        <v>NL671571618B01</v>
      </c>
      <c r="O205" s="6">
        <f>IFERROR(__xludf.DUMMYFUNCTION("""COMPUTED_VALUE"""),7.5731398E7)</f>
        <v>75731398</v>
      </c>
      <c r="P205" s="6" t="str">
        <f>IFERROR(__xludf.DUMMYFUNCTION("""COMPUTED_VALUE"""),"NL74INGB0009260151")</f>
        <v>NL74INGB0009260151</v>
      </c>
      <c r="Q205" s="9">
        <f>IFERROR(__xludf.DUMMYFUNCTION("""COMPUTED_VALUE"""),43711.0)</f>
        <v>43711</v>
      </c>
      <c r="R205" s="6"/>
      <c r="S205" s="6" t="str">
        <f>IFERROR(__xludf.DUMMYFUNCTION("""COMPUTED_VALUE"""),"NL002515402B91")</f>
        <v>NL002515402B91</v>
      </c>
      <c r="T205" s="6">
        <f>IFERROR(__xludf.DUMMYFUNCTION("""COMPUTED_VALUE"""),6.71571618E8)</f>
        <v>671571618</v>
      </c>
      <c r="U205" s="7" t="str">
        <f>IFERROR(__xludf.DUMMYFUNCTION("""COMPUTED_VALUE"""),"Eenmanszaak")</f>
        <v>Eenmanszaak</v>
      </c>
      <c r="V205" s="7" t="str">
        <f>IFERROR(__xludf.DUMMYFUNCTION("""COMPUTED_VALUE"""),"000043587453")</f>
        <v>000043587453</v>
      </c>
      <c r="W205" s="6" t="str">
        <f>IFERROR(__xludf.DUMMYFUNCTION("""COMPUTED_VALUE"""),"ink.hunevkoerier.2288aa@zarabota.nl")</f>
        <v>ink.hunevkoerier.2288aa@zarabota.nl</v>
      </c>
      <c r="X205" s="6" t="str">
        <f>IFERROR(__xludf.DUMMYFUNCTION("""COMPUTED_VALUE"""),"ver.hunevkoerier.2288aa@zarabota.nl")</f>
        <v>ver.hunevkoerier.2288aa@zarabota.nl</v>
      </c>
      <c r="Y205" s="6" t="str">
        <f>IFERROR(__xludf.DUMMYFUNCTION("""COMPUTED_VALUE"""),"Hr.")</f>
        <v>Hr.</v>
      </c>
      <c r="Z205" s="6" t="str">
        <f>IFERROR(__xludf.DUMMYFUNCTION("""COMPUTED_VALUE"""),"Stefan Krasimirov")</f>
        <v>Stefan Krasimirov</v>
      </c>
      <c r="AA205" s="6" t="str">
        <f>IFERROR(__xludf.DUMMYFUNCTION("""COMPUTED_VALUE"""),"Hunev")</f>
        <v>Hunev</v>
      </c>
      <c r="AB205" s="6" t="str">
        <f>IFERROR(__xludf.DUMMYFUNCTION("""COMPUTED_VALUE"""),"S.K.")</f>
        <v>S.K.</v>
      </c>
      <c r="AC205" s="6">
        <f>IFERROR(__xludf.DUMMYFUNCTION("""COMPUTED_VALUE"""),6.71571618E8)</f>
        <v>671571618</v>
      </c>
      <c r="AD205" s="9">
        <f>IFERROR(__xludf.DUMMYFUNCTION("""COMPUTED_VALUE"""),23788.0)</f>
        <v>23788</v>
      </c>
      <c r="AE205" s="6" t="str">
        <f>IFERROR(__xludf.DUMMYFUNCTION("""COMPUTED_VALUE"""),"bg")</f>
        <v>bg</v>
      </c>
      <c r="AF205" s="6" t="str">
        <f>IFERROR(__xludf.DUMMYFUNCTION("""COMPUTED_VALUE"""),"Galishte")</f>
        <v>Galishte</v>
      </c>
      <c r="AG205" s="6" t="str">
        <f>IFERROR(__xludf.DUMMYFUNCTION("""COMPUTED_VALUE"""),"Hr. S.K. Hunev")</f>
        <v>Hr. S.K. Hunev</v>
      </c>
      <c r="AH205" s="6" t="str">
        <f>IFERROR(__xludf.DUMMYFUNCTION("""COMPUTED_VALUE"""),"NL09INGB0796431744")</f>
        <v>NL09INGB0796431744</v>
      </c>
      <c r="AI205" s="9">
        <f>IFERROR(__xludf.DUMMYFUNCTION("""COMPUTED_VALUE"""),43682.0)</f>
        <v>43682</v>
      </c>
      <c r="AJ205" s="6" t="str">
        <f>IFERROR(__xludf.DUMMYFUNCTION("""COMPUTED_VALUE"""),"ID Kaart")</f>
        <v>ID Kaart</v>
      </c>
      <c r="AK205" s="6">
        <f>IFERROR(__xludf.DUMMYFUNCTION("""COMPUTED_VALUE"""),6.46545003E8)</f>
        <v>646545003</v>
      </c>
      <c r="AL205" s="9">
        <f>IFERROR(__xludf.DUMMYFUNCTION("""COMPUTED_VALUE"""),46222.0)</f>
        <v>46222</v>
      </c>
      <c r="AM205" s="6"/>
      <c r="AN205" s="6" t="str">
        <f>IFERROR(__xludf.DUMMYFUNCTION("""COMPUTED_VALUE"""),"Stefan Krasimirov Hunev")</f>
        <v>Stefan Krasimirov Hunev</v>
      </c>
      <c r="AO205" s="6"/>
    </row>
    <row r="206">
      <c r="A206" s="6" t="str">
        <f>IFERROR(__xludf.DUMMYFUNCTION("""COMPUTED_VALUE"""),"HV Moerti VOF")</f>
        <v>HV Moerti VOF</v>
      </c>
      <c r="B206" s="6" t="str">
        <f>IFERROR(__xludf.DUMMYFUNCTION("""COMPUTED_VALUE"""),"HV Moerti VOF")</f>
        <v>HV Moerti VOF</v>
      </c>
      <c r="C206" s="6">
        <f>IFERROR(__xludf.DUMMYFUNCTION("""COMPUTED_VALUE"""),631.0)</f>
        <v>631</v>
      </c>
      <c r="D206" s="7" t="str">
        <f>IFERROR(__xludf.DUMMYFUNCTION("""COMPUTED_VALUE"""),"Murtaza Ali Murtaza")</f>
        <v>Murtaza Ali Murtaza</v>
      </c>
      <c r="E206" s="7" t="str">
        <f>IFERROR(__xludf.DUMMYFUNCTION("""COMPUTED_VALUE"""),"SBI-code: 4120 - Algemene burgerlijke en utiliteitsbouw")</f>
        <v>SBI-code: 4120 - Algemene burgerlijke en utiliteitsbouw</v>
      </c>
      <c r="F206" s="7" t="str">
        <f>IFERROR(__xludf.DUMMYFUNCTION("""COMPUTED_VALUE"""),"0630025470")</f>
        <v>0630025470</v>
      </c>
      <c r="G206" s="6" t="str">
        <f>IFERROR(__xludf.DUMMYFUNCTION("""COMPUTED_VALUE"""),"hv.moerti@yahoo.com")</f>
        <v>hv.moerti@yahoo.com</v>
      </c>
      <c r="H206" s="6" t="str">
        <f>IFERROR(__xludf.DUMMYFUNCTION("""COMPUTED_VALUE"""),"Van Vlotenstraat 10")</f>
        <v>Van Vlotenstraat 10</v>
      </c>
      <c r="I206" s="6" t="str">
        <f>IFERROR(__xludf.DUMMYFUNCTION("""COMPUTED_VALUE"""),"2523 JC")</f>
        <v>2523 JC</v>
      </c>
      <c r="J206" s="6" t="str">
        <f>IFERROR(__xludf.DUMMYFUNCTION("""COMPUTED_VALUE"""),"s-Gravenhage")</f>
        <v>s-Gravenhage</v>
      </c>
      <c r="K206" s="6" t="str">
        <f>IFERROR(__xludf.DUMMYFUNCTION("""COMPUTED_VALUE"""),"Nederland")</f>
        <v>Nederland</v>
      </c>
      <c r="L206" s="6" t="str">
        <f>IFERROR(__xludf.DUMMYFUNCTION("""COMPUTED_VALUE"""),"Муртаза")</f>
        <v>Муртаза</v>
      </c>
      <c r="M206" s="8">
        <f>IFERROR(__xludf.DUMMYFUNCTION("""COMPUTED_VALUE"""),43359.0)</f>
        <v>43359</v>
      </c>
      <c r="N206" s="6" t="str">
        <f>IFERROR(__xludf.DUMMYFUNCTION("""COMPUTED_VALUE"""),"NL859248574B01")</f>
        <v>NL859248574B01</v>
      </c>
      <c r="O206" s="6">
        <f>IFERROR(__xludf.DUMMYFUNCTION("""COMPUTED_VALUE"""),7.2820209E7)</f>
        <v>72820209</v>
      </c>
      <c r="P206" s="6" t="str">
        <f>IFERROR(__xludf.DUMMYFUNCTION("""COMPUTED_VALUE"""),"NL48INGB0008703063")</f>
        <v>NL48INGB0008703063</v>
      </c>
      <c r="Q206" s="9">
        <f>IFERROR(__xludf.DUMMYFUNCTION("""COMPUTED_VALUE"""),43359.0)</f>
        <v>43359</v>
      </c>
      <c r="R206" s="6"/>
      <c r="S206" s="6" t="str">
        <f>IFERROR(__xludf.DUMMYFUNCTION("""COMPUTED_VALUE"""),"NL859248574B01")</f>
        <v>NL859248574B01</v>
      </c>
      <c r="T206" s="6">
        <f>IFERROR(__xludf.DUMMYFUNCTION("""COMPUTED_VALUE"""),8.59248574E8)</f>
        <v>859248574</v>
      </c>
      <c r="U206" s="7" t="str">
        <f>IFERROR(__xludf.DUMMYFUNCTION("""COMPUTED_VALUE"""),"Vennootschap Onder Firma")</f>
        <v>Vennootschap Onder Firma</v>
      </c>
      <c r="V206" s="7" t="str">
        <f>IFERROR(__xludf.DUMMYFUNCTION("""COMPUTED_VALUE"""),"000040906558")</f>
        <v>000040906558</v>
      </c>
      <c r="W206" s="6" t="str">
        <f>IFERROR(__xludf.DUMMYFUNCTION("""COMPUTED_VALUE"""),"ink.hvmoertivof.2288aa@zarabota.nl")</f>
        <v>ink.hvmoertivof.2288aa@zarabota.nl</v>
      </c>
      <c r="X206" s="6" t="str">
        <f>IFERROR(__xludf.DUMMYFUNCTION("""COMPUTED_VALUE"""),"ver.hvmoertivof.2288aa@zarabota.nl")</f>
        <v>ver.hvmoertivof.2288aa@zarabota.nl</v>
      </c>
      <c r="Y206" s="6" t="str">
        <f>IFERROR(__xludf.DUMMYFUNCTION("""COMPUTED_VALUE"""),"Hr.")</f>
        <v>Hr.</v>
      </c>
      <c r="Z206" s="6" t="str">
        <f>IFERROR(__xludf.DUMMYFUNCTION("""COMPUTED_VALUE"""),"Murtaza Ali")</f>
        <v>Murtaza Ali</v>
      </c>
      <c r="AA206" s="6" t="str">
        <f>IFERROR(__xludf.DUMMYFUNCTION("""COMPUTED_VALUE"""),"Murtaza")</f>
        <v>Murtaza</v>
      </c>
      <c r="AB206" s="6" t="str">
        <f>IFERROR(__xludf.DUMMYFUNCTION("""COMPUTED_VALUE"""),"M.A.")</f>
        <v>M.A.</v>
      </c>
      <c r="AC206" s="6">
        <f>IFERROR(__xludf.DUMMYFUNCTION("""COMPUTED_VALUE"""),2.84234345E8)</f>
        <v>284234345</v>
      </c>
      <c r="AD206" s="9">
        <f>IFERROR(__xludf.DUMMYFUNCTION("""COMPUTED_VALUE"""),29568.0)</f>
        <v>29568</v>
      </c>
      <c r="AE206" s="6" t="str">
        <f>IFERROR(__xludf.DUMMYFUNCTION("""COMPUTED_VALUE"""),"bg")</f>
        <v>bg</v>
      </c>
      <c r="AF206" s="6" t="str">
        <f>IFERROR(__xludf.DUMMYFUNCTION("""COMPUTED_VALUE"""),"Targovishte")</f>
        <v>Targovishte</v>
      </c>
      <c r="AG206" s="6" t="str">
        <f>IFERROR(__xludf.DUMMYFUNCTION("""COMPUTED_VALUE"""),"Hr. M.A. Murtaza")</f>
        <v>Hr. M.A. Murtaza</v>
      </c>
      <c r="AH206" s="6" t="str">
        <f>IFERROR(__xludf.DUMMYFUNCTION("""COMPUTED_VALUE"""),"NL38INGB0794453392")</f>
        <v>NL38INGB0794453392</v>
      </c>
      <c r="AI206" s="9">
        <f>IFERROR(__xludf.DUMMYFUNCTION("""COMPUTED_VALUE"""),43375.0)</f>
        <v>43375</v>
      </c>
      <c r="AJ206" s="6" t="str">
        <f>IFERROR(__xludf.DUMMYFUNCTION("""COMPUTED_VALUE"""),"ID Kaart")</f>
        <v>ID Kaart</v>
      </c>
      <c r="AK206" s="6">
        <f>IFERROR(__xludf.DUMMYFUNCTION("""COMPUTED_VALUE"""),6.46474669E8)</f>
        <v>646474669</v>
      </c>
      <c r="AL206" s="9">
        <f>IFERROR(__xludf.DUMMYFUNCTION("""COMPUTED_VALUE"""),46267.0)</f>
        <v>46267</v>
      </c>
      <c r="AM206" s="6"/>
      <c r="AN206" s="6" t="str">
        <f>IFERROR(__xludf.DUMMYFUNCTION("""COMPUTED_VALUE"""),"Murtaza Ali Murtaza")</f>
        <v>Murtaza Ali Murtaza</v>
      </c>
      <c r="AO206" s="6"/>
    </row>
    <row r="207">
      <c r="A207" s="6" t="str">
        <f>IFERROR(__xludf.DUMMYFUNCTION("""COMPUTED_VALUE"""),"I van SZ")</f>
        <v>I van SZ</v>
      </c>
      <c r="B207" s="6" t="str">
        <f>IFERROR(__xludf.DUMMYFUNCTION("""COMPUTED_VALUE"""),"I van SZ")</f>
        <v>I van SZ</v>
      </c>
      <c r="C207" s="6">
        <f>IFERROR(__xludf.DUMMYFUNCTION("""COMPUTED_VALUE"""),1490.0)</f>
        <v>1490</v>
      </c>
      <c r="D207" s="7" t="str">
        <f>IFERROR(__xludf.DUMMYFUNCTION("""COMPUTED_VALUE"""),"Ivan Zhelev Ivanov")</f>
        <v>Ivan Zhelev Ivanov</v>
      </c>
      <c r="E207" s="7" t="str">
        <f>IFERROR(__xludf.DUMMYFUNCTION("""COMPUTED_VALUE"""),"SBI-code: 4941 - Goederenvervoer over de weg (geen verhuizingen)")</f>
        <v>SBI-code: 4941 - Goederenvervoer over de weg (geen verhuizingen)</v>
      </c>
      <c r="F207" s="7" t="str">
        <f>IFERROR(__xludf.DUMMYFUNCTION("""COMPUTED_VALUE"""),"0681409116")</f>
        <v>0681409116</v>
      </c>
      <c r="G207" s="6" t="str">
        <f>IFERROR(__xludf.DUMMYFUNCTION("""COMPUTED_VALUE"""),"ivan.zhelev72@gmail.com")</f>
        <v>ivan.zhelev72@gmail.com</v>
      </c>
      <c r="H207" s="6" t="str">
        <f>IFERROR(__xludf.DUMMYFUNCTION("""COMPUTED_VALUE"""),"Hordijk 20")</f>
        <v>Hordijk 20</v>
      </c>
      <c r="I207" s="6" t="str">
        <f>IFERROR(__xludf.DUMMYFUNCTION("""COMPUTED_VALUE"""),"3079DJ")</f>
        <v>3079DJ</v>
      </c>
      <c r="J207" s="6" t="str">
        <f>IFERROR(__xludf.DUMMYFUNCTION("""COMPUTED_VALUE"""),"Rotterdam")</f>
        <v>Rotterdam</v>
      </c>
      <c r="K207" s="6" t="str">
        <f>IFERROR(__xludf.DUMMYFUNCTION("""COMPUTED_VALUE"""),"Nederland")</f>
        <v>Nederland</v>
      </c>
      <c r="L207" s="6" t="str">
        <f>IFERROR(__xludf.DUMMYFUNCTION("""COMPUTED_VALUE"""),"Иванов")</f>
        <v>Иванов</v>
      </c>
      <c r="M207" s="8">
        <f>IFERROR(__xludf.DUMMYFUNCTION("""COMPUTED_VALUE"""),45078.0)</f>
        <v>45078</v>
      </c>
      <c r="N207" s="6" t="str">
        <f>IFERROR(__xludf.DUMMYFUNCTION("""COMPUTED_VALUE"""),"NL393156795B01")</f>
        <v>NL393156795B01</v>
      </c>
      <c r="O207" s="6">
        <f>IFERROR(__xludf.DUMMYFUNCTION("""COMPUTED_VALUE"""),9.0445406E7)</f>
        <v>90445406</v>
      </c>
      <c r="P207" s="6" t="str">
        <f>IFERROR(__xludf.DUMMYFUNCTION("""COMPUTED_VALUE"""),"NL65INGB0104097698")</f>
        <v>NL65INGB0104097698</v>
      </c>
      <c r="Q207" s="9">
        <f>IFERROR(__xludf.DUMMYFUNCTION("""COMPUTED_VALUE"""),45078.0)</f>
        <v>45078</v>
      </c>
      <c r="R207" s="6"/>
      <c r="S207" s="6" t="str">
        <f>IFERROR(__xludf.DUMMYFUNCTION("""COMPUTED_VALUE"""),"NL004816777B29")</f>
        <v>NL004816777B29</v>
      </c>
      <c r="T207" s="6">
        <f>IFERROR(__xludf.DUMMYFUNCTION("""COMPUTED_VALUE"""),3.93156795E8)</f>
        <v>393156795</v>
      </c>
      <c r="U207" s="7" t="str">
        <f>IFERROR(__xludf.DUMMYFUNCTION("""COMPUTED_VALUE"""),"Eenmanszaak")</f>
        <v>Eenmanszaak</v>
      </c>
      <c r="V207" s="7" t="str">
        <f>IFERROR(__xludf.DUMMYFUNCTION("""COMPUTED_VALUE"""),"000056175787")</f>
        <v>000056175787</v>
      </c>
      <c r="W207" s="6" t="str">
        <f>IFERROR(__xludf.DUMMYFUNCTION("""COMPUTED_VALUE"""),"ink.ivansz.2288aa@zarabota.nl")</f>
        <v>ink.ivansz.2288aa@zarabota.nl</v>
      </c>
      <c r="X207" s="6" t="str">
        <f>IFERROR(__xludf.DUMMYFUNCTION("""COMPUTED_VALUE"""),"ver.ivansz.2288aa@zarabota.nl")</f>
        <v>ver.ivansz.2288aa@zarabota.nl</v>
      </c>
      <c r="Y207" s="6" t="str">
        <f>IFERROR(__xludf.DUMMYFUNCTION("""COMPUTED_VALUE"""),"Hr.")</f>
        <v>Hr.</v>
      </c>
      <c r="Z207" s="6" t="str">
        <f>IFERROR(__xludf.DUMMYFUNCTION("""COMPUTED_VALUE"""),"Ivan Zhelev")</f>
        <v>Ivan Zhelev</v>
      </c>
      <c r="AA207" s="6" t="str">
        <f>IFERROR(__xludf.DUMMYFUNCTION("""COMPUTED_VALUE"""),"Ivanov")</f>
        <v>Ivanov</v>
      </c>
      <c r="AB207" s="6" t="str">
        <f>IFERROR(__xludf.DUMMYFUNCTION("""COMPUTED_VALUE"""),"I.Z.")</f>
        <v>I.Z.</v>
      </c>
      <c r="AC207" s="6">
        <f>IFERROR(__xludf.DUMMYFUNCTION("""COMPUTED_VALUE"""),3.93156795E8)</f>
        <v>393156795</v>
      </c>
      <c r="AD207" s="9">
        <f>IFERROR(__xludf.DUMMYFUNCTION("""COMPUTED_VALUE"""),26348.0)</f>
        <v>26348</v>
      </c>
      <c r="AE207" s="6" t="str">
        <f>IFERROR(__xludf.DUMMYFUNCTION("""COMPUTED_VALUE"""),"bg")</f>
        <v>bg</v>
      </c>
      <c r="AF207" s="6" t="str">
        <f>IFERROR(__xludf.DUMMYFUNCTION("""COMPUTED_VALUE"""),"Stara Zagora")</f>
        <v>Stara Zagora</v>
      </c>
      <c r="AG207" s="6" t="str">
        <f>IFERROR(__xludf.DUMMYFUNCTION("""COMPUTED_VALUE"""),"Hr. I.Z. Ivanov")</f>
        <v>Hr. I.Z. Ivanov</v>
      </c>
      <c r="AH207" s="6" t="str">
        <f>IFERROR(__xludf.DUMMYFUNCTION("""COMPUTED_VALUE"""),"NL07SNSB0705541657")</f>
        <v>NL07SNSB0705541657</v>
      </c>
      <c r="AI207" s="6"/>
      <c r="AJ207" s="6" t="str">
        <f>IFERROR(__xludf.DUMMYFUNCTION("""COMPUTED_VALUE"""),"ID Kaart")</f>
        <v>ID Kaart</v>
      </c>
      <c r="AK207" s="6">
        <f>IFERROR(__xludf.DUMMYFUNCTION("""COMPUTED_VALUE"""),6.4834114E8)</f>
        <v>648341140</v>
      </c>
      <c r="AL207" s="9">
        <f>IFERROR(__xludf.DUMMYFUNCTION("""COMPUTED_VALUE"""),47302.0)</f>
        <v>47302</v>
      </c>
      <c r="AM207" s="6" t="str">
        <f>IFERROR(__xludf.DUMMYFUNCTION("""COMPUTED_VALUE"""),"Bulgarije")</f>
        <v>Bulgarije</v>
      </c>
      <c r="AN207" s="6" t="str">
        <f>IFERROR(__xludf.DUMMYFUNCTION("""COMPUTED_VALUE"""),"Ivan Zhelev Ivanov")</f>
        <v>Ivan Zhelev Ivanov</v>
      </c>
      <c r="AO207" s="6">
        <f>IFERROR(__xludf.DUMMYFUNCTION("""COMPUTED_VALUE"""),1490.0)</f>
        <v>1490</v>
      </c>
    </row>
    <row r="208">
      <c r="A208" s="6" t="str">
        <f>IFERROR(__xludf.DUMMYFUNCTION("""COMPUTED_VALUE"""),"I. Kostov Onderhoud")</f>
        <v>I. Kostov Onderhoud</v>
      </c>
      <c r="B208" s="6" t="str">
        <f>IFERROR(__xludf.DUMMYFUNCTION("""COMPUTED_VALUE"""),"I. Kostov Onderhoud")</f>
        <v>I. Kostov Onderhoud</v>
      </c>
      <c r="C208" s="6">
        <f>IFERROR(__xludf.DUMMYFUNCTION("""COMPUTED_VALUE"""),180.0)</f>
        <v>180</v>
      </c>
      <c r="D208" s="7" t="str">
        <f>IFERROR(__xludf.DUMMYFUNCTION("""COMPUTED_VALUE"""),"Ivan Petkov Kostov")</f>
        <v>Ivan Petkov Kostov</v>
      </c>
      <c r="E208" s="7" t="str">
        <f>IFERROR(__xludf.DUMMYFUNCTION("""COMPUTED_VALUE"""),"SBI-code: 4120 - Algemene burgerlijke en utiliteitsbouw")</f>
        <v>SBI-code: 4120 - Algemene burgerlijke en utiliteitsbouw</v>
      </c>
      <c r="F208" s="7" t="str">
        <f>IFERROR(__xludf.DUMMYFUNCTION("""COMPUTED_VALUE"""),"0621150506")</f>
        <v>0621150506</v>
      </c>
      <c r="G208" s="6" t="str">
        <f>IFERROR(__xludf.DUMMYFUNCTION("""COMPUTED_VALUE"""),"i.kostov.1976@abv.bg")</f>
        <v>i.kostov.1976@abv.bg</v>
      </c>
      <c r="H208" s="6" t="str">
        <f>IFERROR(__xludf.DUMMYFUNCTION("""COMPUTED_VALUE"""),"De la Reyweg 783")</f>
        <v>De la Reyweg 783</v>
      </c>
      <c r="I208" s="6" t="str">
        <f>IFERROR(__xludf.DUMMYFUNCTION("""COMPUTED_VALUE"""),"2571EV")</f>
        <v>2571EV</v>
      </c>
      <c r="J208" s="6" t="str">
        <f>IFERROR(__xludf.DUMMYFUNCTION("""COMPUTED_VALUE"""),"Den Haag")</f>
        <v>Den Haag</v>
      </c>
      <c r="K208" s="6" t="str">
        <f>IFERROR(__xludf.DUMMYFUNCTION("""COMPUTED_VALUE"""),"Nederland")</f>
        <v>Nederland</v>
      </c>
      <c r="L208" s="6" t="str">
        <f>IFERROR(__xludf.DUMMYFUNCTION("""COMPUTED_VALUE"""),"Костов")</f>
        <v>Костов</v>
      </c>
      <c r="M208" s="8">
        <f>IFERROR(__xludf.DUMMYFUNCTION("""COMPUTED_VALUE"""),43175.0)</f>
        <v>43175</v>
      </c>
      <c r="N208" s="6" t="str">
        <f>IFERROR(__xludf.DUMMYFUNCTION("""COMPUTED_VALUE"""),"NL605964427B01")</f>
        <v>NL605964427B01</v>
      </c>
      <c r="O208" s="6">
        <f>IFERROR(__xludf.DUMMYFUNCTION("""COMPUTED_VALUE"""),5.2067971E7)</f>
        <v>52067971</v>
      </c>
      <c r="P208" s="6" t="str">
        <f>IFERROR(__xludf.DUMMYFUNCTION("""COMPUTED_VALUE"""),"NL12ABNA0486995828")</f>
        <v>NL12ABNA0486995828</v>
      </c>
      <c r="Q208" s="9">
        <f>IFERROR(__xludf.DUMMYFUNCTION("""COMPUTED_VALUE"""),40591.0)</f>
        <v>40591</v>
      </c>
      <c r="R208" s="6"/>
      <c r="S208" s="6" t="str">
        <f>IFERROR(__xludf.DUMMYFUNCTION("""COMPUTED_VALUE"""),"NL002505804B46")</f>
        <v>NL002505804B46</v>
      </c>
      <c r="T208" s="6">
        <f>IFERROR(__xludf.DUMMYFUNCTION("""COMPUTED_VALUE"""),6.05964427E8)</f>
        <v>605964427</v>
      </c>
      <c r="U208" s="7" t="str">
        <f>IFERROR(__xludf.DUMMYFUNCTION("""COMPUTED_VALUE"""),"Eenmanszaak")</f>
        <v>Eenmanszaak</v>
      </c>
      <c r="V208" s="7" t="str">
        <f>IFERROR(__xludf.DUMMYFUNCTION("""COMPUTED_VALUE"""),"000022035028")</f>
        <v>000022035028</v>
      </c>
      <c r="W208" s="6" t="str">
        <f>IFERROR(__xludf.DUMMYFUNCTION("""COMPUTED_VALUE"""),"ink.i.kostovonderhoud.2288aa@zarabota.nl")</f>
        <v>ink.i.kostovonderhoud.2288aa@zarabota.nl</v>
      </c>
      <c r="X208" s="6" t="str">
        <f>IFERROR(__xludf.DUMMYFUNCTION("""COMPUTED_VALUE"""),"ver.i.kostovonderhoud.2288aa@zarabota.nl")</f>
        <v>ver.i.kostovonderhoud.2288aa@zarabota.nl</v>
      </c>
      <c r="Y208" s="6" t="str">
        <f>IFERROR(__xludf.DUMMYFUNCTION("""COMPUTED_VALUE"""),"Hr.")</f>
        <v>Hr.</v>
      </c>
      <c r="Z208" s="6" t="str">
        <f>IFERROR(__xludf.DUMMYFUNCTION("""COMPUTED_VALUE"""),"Ivan Petkov")</f>
        <v>Ivan Petkov</v>
      </c>
      <c r="AA208" s="6" t="str">
        <f>IFERROR(__xludf.DUMMYFUNCTION("""COMPUTED_VALUE"""),"Kostov")</f>
        <v>Kostov</v>
      </c>
      <c r="AB208" s="6" t="str">
        <f>IFERROR(__xludf.DUMMYFUNCTION("""COMPUTED_VALUE"""),"I.P.")</f>
        <v>I.P.</v>
      </c>
      <c r="AC208" s="6">
        <f>IFERROR(__xludf.DUMMYFUNCTION("""COMPUTED_VALUE"""),6.05964427E8)</f>
        <v>605964427</v>
      </c>
      <c r="AD208" s="9">
        <f>IFERROR(__xludf.DUMMYFUNCTION("""COMPUTED_VALUE"""),27945.0)</f>
        <v>27945</v>
      </c>
      <c r="AE208" s="6" t="str">
        <f>IFERROR(__xludf.DUMMYFUNCTION("""COMPUTED_VALUE"""),"bg")</f>
        <v>bg</v>
      </c>
      <c r="AF208" s="6" t="str">
        <f>IFERROR(__xludf.DUMMYFUNCTION("""COMPUTED_VALUE"""),"Kardzhali")</f>
        <v>Kardzhali</v>
      </c>
      <c r="AG208" s="6" t="str">
        <f>IFERROR(__xludf.DUMMYFUNCTION("""COMPUTED_VALUE"""),"Hr. I.P. Kostov")</f>
        <v>Hr. I.P. Kostov</v>
      </c>
      <c r="AH208" s="6"/>
      <c r="AI208" s="6"/>
      <c r="AJ208" s="6" t="str">
        <f>IFERROR(__xludf.DUMMYFUNCTION("""COMPUTED_VALUE"""),"ID Kaart")</f>
        <v>ID Kaart</v>
      </c>
      <c r="AK208" s="6">
        <f>IFERROR(__xludf.DUMMYFUNCTION("""COMPUTED_VALUE"""),6.44834454E8)</f>
        <v>644834454</v>
      </c>
      <c r="AL208" s="9">
        <f>IFERROR(__xludf.DUMMYFUNCTION("""COMPUTED_VALUE"""),45187.0)</f>
        <v>45187</v>
      </c>
      <c r="AM208" s="6"/>
      <c r="AN208" s="6" t="str">
        <f>IFERROR(__xludf.DUMMYFUNCTION("""COMPUTED_VALUE"""),"Ivan Petkov Kostov")</f>
        <v>Ivan Petkov Kostov</v>
      </c>
      <c r="AO208" s="6"/>
    </row>
    <row r="209">
      <c r="A209" s="6" t="str">
        <f>IFERROR(__xludf.DUMMYFUNCTION("""COMPUTED_VALUE"""),"IboEmi VOF")</f>
        <v>IboEmi VOF</v>
      </c>
      <c r="B209" s="6" t="str">
        <f>IFERROR(__xludf.DUMMYFUNCTION("""COMPUTED_VALUE"""),"IboEmi VOF")</f>
        <v>IboEmi VOF</v>
      </c>
      <c r="C209" s="6">
        <f>IFERROR(__xludf.DUMMYFUNCTION("""COMPUTED_VALUE"""),894.0)</f>
        <v>894</v>
      </c>
      <c r="D209" s="7" t="str">
        <f>IFERROR(__xludf.DUMMYFUNCTION("""COMPUTED_VALUE"""),"Ibryam Muharemov Veliev")</f>
        <v>Ibryam Muharemov Veliev</v>
      </c>
      <c r="E209" s="7" t="str">
        <f>IFERROR(__xludf.DUMMYFUNCTION("""COMPUTED_VALUE"""),"SBI-code: 4120 - Algemene burgerlijke en utiliteitsbouw")</f>
        <v>SBI-code: 4120 - Algemene burgerlijke en utiliteitsbouw</v>
      </c>
      <c r="F209" s="7" t="str">
        <f>IFERROR(__xludf.DUMMYFUNCTION("""COMPUTED_VALUE"""),"+31683565116")</f>
        <v>+31683565116</v>
      </c>
      <c r="G209" s="6" t="str">
        <f>IFERROR(__xludf.DUMMYFUNCTION("""COMPUTED_VALUE"""),"ibryam.veli@yahoo.com")</f>
        <v>ibryam.veli@yahoo.com</v>
      </c>
      <c r="H209" s="6" t="str">
        <f>IFERROR(__xludf.DUMMYFUNCTION("""COMPUTED_VALUE"""),"Convivastraat 96")</f>
        <v>Convivastraat 96</v>
      </c>
      <c r="I209" s="6" t="str">
        <f>IFERROR(__xludf.DUMMYFUNCTION("""COMPUTED_VALUE"""),"2522XK")</f>
        <v>2522XK</v>
      </c>
      <c r="J209" s="6" t="str">
        <f>IFERROR(__xludf.DUMMYFUNCTION("""COMPUTED_VALUE"""),"s-Gravenhage")</f>
        <v>s-Gravenhage</v>
      </c>
      <c r="K209" s="6" t="str">
        <f>IFERROR(__xludf.DUMMYFUNCTION("""COMPUTED_VALUE"""),"Nederland")</f>
        <v>Nederland</v>
      </c>
      <c r="L209" s="6" t="str">
        <f>IFERROR(__xludf.DUMMYFUNCTION("""COMPUTED_VALUE"""),"Велиев")</f>
        <v>Велиев</v>
      </c>
      <c r="M209" s="8">
        <f>IFERROR(__xludf.DUMMYFUNCTION("""COMPUTED_VALUE"""),43831.0)</f>
        <v>43831</v>
      </c>
      <c r="N209" s="6" t="str">
        <f>IFERROR(__xludf.DUMMYFUNCTION("""COMPUTED_VALUE"""),"NL860878582B01")</f>
        <v>NL860878582B01</v>
      </c>
      <c r="O209" s="6">
        <f>IFERROR(__xludf.DUMMYFUNCTION("""COMPUTED_VALUE"""),7.7032551E7)</f>
        <v>77032551</v>
      </c>
      <c r="P209" s="6" t="str">
        <f>IFERROR(__xludf.DUMMYFUNCTION("""COMPUTED_VALUE"""),"NL75INGB0007773705")</f>
        <v>NL75INGB0007773705</v>
      </c>
      <c r="Q209" s="9">
        <f>IFERROR(__xludf.DUMMYFUNCTION("""COMPUTED_VALUE"""),43831.0)</f>
        <v>43831</v>
      </c>
      <c r="R209" s="6"/>
      <c r="S209" s="6" t="str">
        <f>IFERROR(__xludf.DUMMYFUNCTION("""COMPUTED_VALUE"""),"NL860878582B01")</f>
        <v>NL860878582B01</v>
      </c>
      <c r="T209" s="6">
        <f>IFERROR(__xludf.DUMMYFUNCTION("""COMPUTED_VALUE"""),8.60878582E8)</f>
        <v>860878582</v>
      </c>
      <c r="U209" s="7" t="str">
        <f>IFERROR(__xludf.DUMMYFUNCTION("""COMPUTED_VALUE"""),"Vennootschap Onder Firma")</f>
        <v>Vennootschap Onder Firma</v>
      </c>
      <c r="V209" s="7" t="str">
        <f>IFERROR(__xludf.DUMMYFUNCTION("""COMPUTED_VALUE"""),"000044064012")</f>
        <v>000044064012</v>
      </c>
      <c r="W209" s="6" t="str">
        <f>IFERROR(__xludf.DUMMYFUNCTION("""COMPUTED_VALUE"""),"ink.iboemivof.2288aa@zarabota.nl")</f>
        <v>ink.iboemivof.2288aa@zarabota.nl</v>
      </c>
      <c r="X209" s="6" t="str">
        <f>IFERROR(__xludf.DUMMYFUNCTION("""COMPUTED_VALUE"""),"ver.iboemivof.2288aa@zarabota.nl")</f>
        <v>ver.iboemivof.2288aa@zarabota.nl</v>
      </c>
      <c r="Y209" s="6" t="str">
        <f>IFERROR(__xludf.DUMMYFUNCTION("""COMPUTED_VALUE"""),"Hr.")</f>
        <v>Hr.</v>
      </c>
      <c r="Z209" s="6" t="str">
        <f>IFERROR(__xludf.DUMMYFUNCTION("""COMPUTED_VALUE"""),"Ibryam Muharemov")</f>
        <v>Ibryam Muharemov</v>
      </c>
      <c r="AA209" s="6" t="str">
        <f>IFERROR(__xludf.DUMMYFUNCTION("""COMPUTED_VALUE"""),"Veliev")</f>
        <v>Veliev</v>
      </c>
      <c r="AB209" s="6" t="str">
        <f>IFERROR(__xludf.DUMMYFUNCTION("""COMPUTED_VALUE"""),"I.M.")</f>
        <v>I.M.</v>
      </c>
      <c r="AC209" s="6">
        <f>IFERROR(__xludf.DUMMYFUNCTION("""COMPUTED_VALUE"""),6.5554942E8)</f>
        <v>655549420</v>
      </c>
      <c r="AD209" s="9">
        <f>IFERROR(__xludf.DUMMYFUNCTION("""COMPUTED_VALUE"""),31260.0)</f>
        <v>31260</v>
      </c>
      <c r="AE209" s="6" t="str">
        <f>IFERROR(__xludf.DUMMYFUNCTION("""COMPUTED_VALUE"""),"bg")</f>
        <v>bg</v>
      </c>
      <c r="AF209" s="6" t="str">
        <f>IFERROR(__xludf.DUMMYFUNCTION("""COMPUTED_VALUE"""),"Razgrad")</f>
        <v>Razgrad</v>
      </c>
      <c r="AG209" s="6" t="str">
        <f>IFERROR(__xludf.DUMMYFUNCTION("""COMPUTED_VALUE"""),"Hr. I.M. Veliev")</f>
        <v>Hr. I.M. Veliev</v>
      </c>
      <c r="AH209" s="6"/>
      <c r="AI209" s="9">
        <f>IFERROR(__xludf.DUMMYFUNCTION("""COMPUTED_VALUE"""),43760.0)</f>
        <v>43760</v>
      </c>
      <c r="AJ209" s="6" t="str">
        <f>IFERROR(__xludf.DUMMYFUNCTION("""COMPUTED_VALUE"""),"ID Kaart")</f>
        <v>ID Kaart</v>
      </c>
      <c r="AK209" s="6">
        <f>IFERROR(__xludf.DUMMYFUNCTION("""COMPUTED_VALUE"""),6.47767549E8)</f>
        <v>647767549</v>
      </c>
      <c r="AL209" s="9">
        <f>IFERROR(__xludf.DUMMYFUNCTION("""COMPUTED_VALUE"""),46978.0)</f>
        <v>46978</v>
      </c>
      <c r="AM209" s="6"/>
      <c r="AN209" s="6" t="str">
        <f>IFERROR(__xludf.DUMMYFUNCTION("""COMPUTED_VALUE"""),"Ibryam Muharemov Veliev")</f>
        <v>Ibryam Muharemov Veliev</v>
      </c>
      <c r="AO209" s="6"/>
    </row>
    <row r="210">
      <c r="A210" s="6" t="str">
        <f>IFERROR(__xludf.DUMMYFUNCTION("""COMPUTED_VALUE"""),"Ibram Bouwbedrijf")</f>
        <v>Ibram Bouwbedrijf</v>
      </c>
      <c r="B210" s="6" t="str">
        <f>IFERROR(__xludf.DUMMYFUNCTION("""COMPUTED_VALUE"""),"Ibram Bouwbedrijf")</f>
        <v>Ibram Bouwbedrijf</v>
      </c>
      <c r="C210" s="6">
        <f>IFERROR(__xludf.DUMMYFUNCTION("""COMPUTED_VALUE"""),1571.0)</f>
        <v>1571</v>
      </c>
      <c r="D210" s="7" t="str">
        <f>IFERROR(__xludf.DUMMYFUNCTION("""COMPUTED_VALUE"""),"Ibram Ibram Ferzi")</f>
        <v>Ibram Ibram Ferzi</v>
      </c>
      <c r="E210" s="7" t="str">
        <f>IFERROR(__xludf.DUMMYFUNCTION("""COMPUTED_VALUE"""),"SBI-code: 4120 - Algemene burgerlijke en utiliteitsbouw")</f>
        <v>SBI-code: 4120 - Algemene burgerlijke en utiliteitsbouw</v>
      </c>
      <c r="F210" s="7" t="str">
        <f>IFERROR(__xludf.DUMMYFUNCTION("""COMPUTED_VALUE"""),"0633313904")</f>
        <v>0633313904</v>
      </c>
      <c r="G210" s="6" t="str">
        <f>IFERROR(__xludf.DUMMYFUNCTION("""COMPUTED_VALUE"""),"keri_to@mail.bg")</f>
        <v>keri_to@mail.bg</v>
      </c>
      <c r="H210" s="6" t="str">
        <f>IFERROR(__xludf.DUMMYFUNCTION("""COMPUTED_VALUE"""),"Reitzstraat 66")</f>
        <v>Reitzstraat 66</v>
      </c>
      <c r="I210" s="6" t="str">
        <f>IFERROR(__xludf.DUMMYFUNCTION("""COMPUTED_VALUE"""),"2571RT")</f>
        <v>2571RT</v>
      </c>
      <c r="J210" s="6" t="str">
        <f>IFERROR(__xludf.DUMMYFUNCTION("""COMPUTED_VALUE"""),"s-Gravenhage")</f>
        <v>s-Gravenhage</v>
      </c>
      <c r="K210" s="6" t="str">
        <f>IFERROR(__xludf.DUMMYFUNCTION("""COMPUTED_VALUE"""),"Nederland")</f>
        <v>Nederland</v>
      </c>
      <c r="L210" s="6" t="str">
        <f>IFERROR(__xludf.DUMMYFUNCTION("""COMPUTED_VALUE"""),"Ферзи")</f>
        <v>Ферзи</v>
      </c>
      <c r="M210" s="8">
        <f>IFERROR(__xludf.DUMMYFUNCTION("""COMPUTED_VALUE"""),45292.0)</f>
        <v>45292</v>
      </c>
      <c r="N210" s="6" t="str">
        <f>IFERROR(__xludf.DUMMYFUNCTION("""COMPUTED_VALUE"""),"NL264325229B02")</f>
        <v>NL264325229B02</v>
      </c>
      <c r="O210" s="6">
        <f>IFERROR(__xludf.DUMMYFUNCTION("""COMPUTED_VALUE"""),6.2760858E7)</f>
        <v>62760858</v>
      </c>
      <c r="P210" s="6" t="str">
        <f>IFERROR(__xludf.DUMMYFUNCTION("""COMPUTED_VALUE"""),"NL55INGB0007351921")</f>
        <v>NL55INGB0007351921</v>
      </c>
      <c r="Q210" s="9">
        <f>IFERROR(__xludf.DUMMYFUNCTION("""COMPUTED_VALUE"""),42062.0)</f>
        <v>42062</v>
      </c>
      <c r="R210" s="6"/>
      <c r="S210" s="6" t="str">
        <f>IFERROR(__xludf.DUMMYFUNCTION("""COMPUTED_VALUE"""),"NL002456131B30")</f>
        <v>NL002456131B30</v>
      </c>
      <c r="T210" s="6">
        <f>IFERROR(__xludf.DUMMYFUNCTION("""COMPUTED_VALUE"""),2.64325229E8)</f>
        <v>264325229</v>
      </c>
      <c r="U210" s="7" t="str">
        <f>IFERROR(__xludf.DUMMYFUNCTION("""COMPUTED_VALUE"""),"Eenmanszaak")</f>
        <v>Eenmanszaak</v>
      </c>
      <c r="V210" s="7" t="str">
        <f>IFERROR(__xludf.DUMMYFUNCTION("""COMPUTED_VALUE"""),"000031741258")</f>
        <v>000031741258</v>
      </c>
      <c r="W210" s="6" t="str">
        <f>IFERROR(__xludf.DUMMYFUNCTION("""COMPUTED_VALUE"""),"ink.ibrambb.2288aa@zarabota.nl")</f>
        <v>ink.ibrambb.2288aa@zarabota.nl</v>
      </c>
      <c r="X210" s="6" t="str">
        <f>IFERROR(__xludf.DUMMYFUNCTION("""COMPUTED_VALUE"""),"ver.ibrambb.2288aa@zarabota.nl")</f>
        <v>ver.ibrambb.2288aa@zarabota.nl</v>
      </c>
      <c r="Y210" s="6" t="str">
        <f>IFERROR(__xludf.DUMMYFUNCTION("""COMPUTED_VALUE"""),"Hr.")</f>
        <v>Hr.</v>
      </c>
      <c r="Z210" s="6" t="str">
        <f>IFERROR(__xludf.DUMMYFUNCTION("""COMPUTED_VALUE"""),"Ibram Ibram")</f>
        <v>Ibram Ibram</v>
      </c>
      <c r="AA210" s="6" t="str">
        <f>IFERROR(__xludf.DUMMYFUNCTION("""COMPUTED_VALUE"""),"Ferzi")</f>
        <v>Ferzi</v>
      </c>
      <c r="AB210" s="6" t="str">
        <f>IFERROR(__xludf.DUMMYFUNCTION("""COMPUTED_VALUE"""),"I.I.")</f>
        <v>I.I.</v>
      </c>
      <c r="AC210" s="6">
        <f>IFERROR(__xludf.DUMMYFUNCTION("""COMPUTED_VALUE"""),2.64325229E8)</f>
        <v>264325229</v>
      </c>
      <c r="AD210" s="9">
        <f>IFERROR(__xludf.DUMMYFUNCTION("""COMPUTED_VALUE"""),28072.0)</f>
        <v>28072</v>
      </c>
      <c r="AE210" s="6" t="str">
        <f>IFERROR(__xludf.DUMMYFUNCTION("""COMPUTED_VALUE"""),"bg")</f>
        <v>bg</v>
      </c>
      <c r="AF210" s="6" t="str">
        <f>IFERROR(__xludf.DUMMYFUNCTION("""COMPUTED_VALUE"""),"Haskovo")</f>
        <v>Haskovo</v>
      </c>
      <c r="AG210" s="6" t="str">
        <f>IFERROR(__xludf.DUMMYFUNCTION("""COMPUTED_VALUE"""),"Hr. I.I. Ferzi")</f>
        <v>Hr. I.I. Ferzi</v>
      </c>
      <c r="AH210" s="6"/>
      <c r="AI210" s="6"/>
      <c r="AJ210" s="6" t="str">
        <f>IFERROR(__xludf.DUMMYFUNCTION("""COMPUTED_VALUE"""),"ID Kaart")</f>
        <v>ID Kaart</v>
      </c>
      <c r="AK210" s="6">
        <f>IFERROR(__xludf.DUMMYFUNCTION("""COMPUTED_VALUE"""),6.50642607E8)</f>
        <v>650642607</v>
      </c>
      <c r="AL210" s="9">
        <f>IFERROR(__xludf.DUMMYFUNCTION("""COMPUTED_VALUE"""),48055.0)</f>
        <v>48055</v>
      </c>
      <c r="AM210" s="6" t="str">
        <f>IFERROR(__xludf.DUMMYFUNCTION("""COMPUTED_VALUE"""),"Bulgarije")</f>
        <v>Bulgarije</v>
      </c>
      <c r="AN210" s="6" t="str">
        <f>IFERROR(__xludf.DUMMYFUNCTION("""COMPUTED_VALUE"""),"Ibram Ibram Ferzi")</f>
        <v>Ibram Ibram Ferzi</v>
      </c>
      <c r="AO210" s="6">
        <f>IFERROR(__xludf.DUMMYFUNCTION("""COMPUTED_VALUE"""),1571.0)</f>
        <v>1571</v>
      </c>
    </row>
    <row r="211">
      <c r="A211" s="6" t="str">
        <f>IFERROR(__xludf.DUMMYFUNCTION("""COMPUTED_VALUE"""),"IGM Steigerbouw")</f>
        <v>IGM Steigerbouw</v>
      </c>
      <c r="B211" s="6" t="str">
        <f>IFERROR(__xludf.DUMMYFUNCTION("""COMPUTED_VALUE"""),"IGM Steigerbouw")</f>
        <v>IGM Steigerbouw</v>
      </c>
      <c r="C211" s="6">
        <f>IFERROR(__xludf.DUMMYFUNCTION("""COMPUTED_VALUE"""),635.0)</f>
        <v>635</v>
      </c>
      <c r="D211" s="7" t="str">
        <f>IFERROR(__xludf.DUMMYFUNCTION("""COMPUTED_VALUE"""),"Ivan Georgiev Mitev")</f>
        <v>Ivan Georgiev Mitev</v>
      </c>
      <c r="E211" s="7" t="str">
        <f>IFERROR(__xludf.DUMMYFUNCTION("""COMPUTED_VALUE"""),"SBI-code: 4120 - Algemene burgerlijke en utiliteitsbouw")</f>
        <v>SBI-code: 4120 - Algemene burgerlijke en utiliteitsbouw</v>
      </c>
      <c r="F211" s="7" t="str">
        <f>IFERROR(__xludf.DUMMYFUNCTION("""COMPUTED_VALUE"""),"0638208336")</f>
        <v>0638208336</v>
      </c>
      <c r="G211" s="6" t="str">
        <f>IFERROR(__xludf.DUMMYFUNCTION("""COMPUTED_VALUE"""),"mitew92@gmail.com")</f>
        <v>mitew92@gmail.com</v>
      </c>
      <c r="H211" s="6" t="str">
        <f>IFERROR(__xludf.DUMMYFUNCTION("""COMPUTED_VALUE"""),"Plantsoen 2")</f>
        <v>Plantsoen 2</v>
      </c>
      <c r="I211" s="6" t="str">
        <f>IFERROR(__xludf.DUMMYFUNCTION("""COMPUTED_VALUE"""),"4931AT")</f>
        <v>4931AT</v>
      </c>
      <c r="J211" s="6" t="str">
        <f>IFERROR(__xludf.DUMMYFUNCTION("""COMPUTED_VALUE"""),"Geertruidenberg")</f>
        <v>Geertruidenberg</v>
      </c>
      <c r="K211" s="6" t="str">
        <f>IFERROR(__xludf.DUMMYFUNCTION("""COMPUTED_VALUE"""),"Nederland")</f>
        <v>Nederland</v>
      </c>
      <c r="L211" s="6" t="str">
        <f>IFERROR(__xludf.DUMMYFUNCTION("""COMPUTED_VALUE"""),"Митев")</f>
        <v>Митев</v>
      </c>
      <c r="M211" s="8">
        <f>IFERROR(__xludf.DUMMYFUNCTION("""COMPUTED_VALUE"""),43361.0)</f>
        <v>43361</v>
      </c>
      <c r="N211" s="6" t="str">
        <f>IFERROR(__xludf.DUMMYFUNCTION("""COMPUTED_VALUE"""),"NL371036550B01")</f>
        <v>NL371036550B01</v>
      </c>
      <c r="O211" s="6">
        <f>IFERROR(__xludf.DUMMYFUNCTION("""COMPUTED_VALUE"""),7.2609516E7)</f>
        <v>72609516</v>
      </c>
      <c r="P211" s="6" t="str">
        <f>IFERROR(__xludf.DUMMYFUNCTION("""COMPUTED_VALUE"""),"NL71INGB0008547255")</f>
        <v>NL71INGB0008547255</v>
      </c>
      <c r="Q211" s="9">
        <f>IFERROR(__xludf.DUMMYFUNCTION("""COMPUTED_VALUE"""),43361.0)</f>
        <v>43361</v>
      </c>
      <c r="R211" s="6"/>
      <c r="S211" s="6" t="str">
        <f>IFERROR(__xludf.DUMMYFUNCTION("""COMPUTED_VALUE"""),"NL002475085B67")</f>
        <v>NL002475085B67</v>
      </c>
      <c r="T211" s="6">
        <f>IFERROR(__xludf.DUMMYFUNCTION("""COMPUTED_VALUE"""),3.7103655E8)</f>
        <v>371036550</v>
      </c>
      <c r="U211" s="7" t="str">
        <f>IFERROR(__xludf.DUMMYFUNCTION("""COMPUTED_VALUE"""),"Eenmanszaak")</f>
        <v>Eenmanszaak</v>
      </c>
      <c r="V211" s="7" t="str">
        <f>IFERROR(__xludf.DUMMYFUNCTION("""COMPUTED_VALUE"""),"000040709787")</f>
        <v>000040709787</v>
      </c>
      <c r="W211" s="6" t="str">
        <f>IFERROR(__xludf.DUMMYFUNCTION("""COMPUTED_VALUE"""),"ink.igmsteigerbouw.2288aa@zarabota.nl")</f>
        <v>ink.igmsteigerbouw.2288aa@zarabota.nl</v>
      </c>
      <c r="X211" s="6" t="str">
        <f>IFERROR(__xludf.DUMMYFUNCTION("""COMPUTED_VALUE"""),"ver.igmsteigerbouw.2288aa@zarabota.nl")</f>
        <v>ver.igmsteigerbouw.2288aa@zarabota.nl</v>
      </c>
      <c r="Y211" s="6" t="str">
        <f>IFERROR(__xludf.DUMMYFUNCTION("""COMPUTED_VALUE"""),"Hr.")</f>
        <v>Hr.</v>
      </c>
      <c r="Z211" s="6" t="str">
        <f>IFERROR(__xludf.DUMMYFUNCTION("""COMPUTED_VALUE"""),"Ivan Georgiev")</f>
        <v>Ivan Georgiev</v>
      </c>
      <c r="AA211" s="6" t="str">
        <f>IFERROR(__xludf.DUMMYFUNCTION("""COMPUTED_VALUE"""),"Mitev")</f>
        <v>Mitev</v>
      </c>
      <c r="AB211" s="6" t="str">
        <f>IFERROR(__xludf.DUMMYFUNCTION("""COMPUTED_VALUE"""),"I.G.")</f>
        <v>I.G.</v>
      </c>
      <c r="AC211" s="6">
        <f>IFERROR(__xludf.DUMMYFUNCTION("""COMPUTED_VALUE"""),3.7103655E8)</f>
        <v>371036550</v>
      </c>
      <c r="AD211" s="9">
        <f>IFERROR(__xludf.DUMMYFUNCTION("""COMPUTED_VALUE"""),33915.0)</f>
        <v>33915</v>
      </c>
      <c r="AE211" s="6" t="str">
        <f>IFERROR(__xludf.DUMMYFUNCTION("""COMPUTED_VALUE"""),"bg")</f>
        <v>bg</v>
      </c>
      <c r="AF211" s="6" t="str">
        <f>IFERROR(__xludf.DUMMYFUNCTION("""COMPUTED_VALUE"""),"Haskovo")</f>
        <v>Haskovo</v>
      </c>
      <c r="AG211" s="6" t="str">
        <f>IFERROR(__xludf.DUMMYFUNCTION("""COMPUTED_VALUE"""),"Hr. I.G. Mitev")</f>
        <v>Hr. I.G. Mitev</v>
      </c>
      <c r="AH211" s="6" t="str">
        <f>IFERROR(__xludf.DUMMYFUNCTION("""COMPUTED_VALUE"""),"NL94INGB0658761315")</f>
        <v>NL94INGB0658761315</v>
      </c>
      <c r="AI211" s="9">
        <f>IFERROR(__xludf.DUMMYFUNCTION("""COMPUTED_VALUE"""),43353.0)</f>
        <v>43353</v>
      </c>
      <c r="AJ211" s="6" t="str">
        <f>IFERROR(__xludf.DUMMYFUNCTION("""COMPUTED_VALUE"""),"ID Kaart")</f>
        <v>ID Kaart</v>
      </c>
      <c r="AK211" s="6">
        <f>IFERROR(__xludf.DUMMYFUNCTION("""COMPUTED_VALUE"""),6.47324449E8)</f>
        <v>647324449</v>
      </c>
      <c r="AL211" s="9">
        <f>IFERROR(__xludf.DUMMYFUNCTION("""COMPUTED_VALUE"""),46680.0)</f>
        <v>46680</v>
      </c>
      <c r="AM211" s="6"/>
      <c r="AN211" s="6" t="str">
        <f>IFERROR(__xludf.DUMMYFUNCTION("""COMPUTED_VALUE"""),"Ivan Georgiev Mitev")</f>
        <v>Ivan Georgiev Mitev</v>
      </c>
      <c r="AO211" s="6"/>
    </row>
    <row r="212">
      <c r="A212" s="6" t="str">
        <f>IFERROR(__xludf.DUMMYFUNCTION("""COMPUTED_VALUE"""),"Igro Bouw")</f>
        <v>Igro Bouw</v>
      </c>
      <c r="B212" s="6" t="str">
        <f>IFERROR(__xludf.DUMMYFUNCTION("""COMPUTED_VALUE"""),"Igro Bouw")</f>
        <v>Igro Bouw</v>
      </c>
      <c r="C212" s="6">
        <f>IFERROR(__xludf.DUMMYFUNCTION("""COMPUTED_VALUE"""),1102.0)</f>
        <v>1102</v>
      </c>
      <c r="D212" s="7" t="str">
        <f>IFERROR(__xludf.DUMMYFUNCTION("""COMPUTED_VALUE"""),"Ihor Zubyk")</f>
        <v>Ihor Zubyk</v>
      </c>
      <c r="E212" s="7" t="str">
        <f>IFERROR(__xludf.DUMMYFUNCTION("""COMPUTED_VALUE"""),"SBI-code: 4120 - Algemene burgerlijke en utiliteitsbouw")</f>
        <v>SBI-code: 4120 - Algemene burgerlijke en utiliteitsbouw</v>
      </c>
      <c r="F212" s="7" t="str">
        <f>IFERROR(__xludf.DUMMYFUNCTION("""COMPUTED_VALUE"""),"0686364205")</f>
        <v>0686364205</v>
      </c>
      <c r="G212" s="6" t="str">
        <f>IFERROR(__xludf.DUMMYFUNCTION("""COMPUTED_VALUE"""),"igorzubik0704@gmail.com")</f>
        <v>igorzubik0704@gmail.com</v>
      </c>
      <c r="H212" s="6" t="str">
        <f>IFERROR(__xludf.DUMMYFUNCTION("""COMPUTED_VALUE"""),"De Gheijnstraat 149")</f>
        <v>De Gheijnstraat 149</v>
      </c>
      <c r="I212" s="6" t="str">
        <f>IFERROR(__xludf.DUMMYFUNCTION("""COMPUTED_VALUE"""),"2562NN")</f>
        <v>2562NN</v>
      </c>
      <c r="J212" s="6" t="str">
        <f>IFERROR(__xludf.DUMMYFUNCTION("""COMPUTED_VALUE"""),"s-Gravenhage")</f>
        <v>s-Gravenhage</v>
      </c>
      <c r="K212" s="6" t="str">
        <f>IFERROR(__xludf.DUMMYFUNCTION("""COMPUTED_VALUE"""),"Nederland")</f>
        <v>Nederland</v>
      </c>
      <c r="L212" s="6" t="str">
        <f>IFERROR(__xludf.DUMMYFUNCTION("""COMPUTED_VALUE"""),"Зубик")</f>
        <v>Зубик</v>
      </c>
      <c r="M212" s="8">
        <f>IFERROR(__xludf.DUMMYFUNCTION("""COMPUTED_VALUE"""),44242.0)</f>
        <v>44242</v>
      </c>
      <c r="N212" s="6" t="str">
        <f>IFERROR(__xludf.DUMMYFUNCTION("""COMPUTED_VALUE"""),"NL404758216B01")</f>
        <v>NL404758216B01</v>
      </c>
      <c r="O212" s="6">
        <f>IFERROR(__xludf.DUMMYFUNCTION("""COMPUTED_VALUE"""),8.1958358E7)</f>
        <v>81958358</v>
      </c>
      <c r="P212" s="6" t="str">
        <f>IFERROR(__xludf.DUMMYFUNCTION("""COMPUTED_VALUE"""),"NL11INGB0006277662")</f>
        <v>NL11INGB0006277662</v>
      </c>
      <c r="Q212" s="9">
        <f>IFERROR(__xludf.DUMMYFUNCTION("""COMPUTED_VALUE"""),44242.0)</f>
        <v>44242</v>
      </c>
      <c r="R212" s="6"/>
      <c r="S212" s="6" t="str">
        <f>IFERROR(__xludf.DUMMYFUNCTION("""COMPUTED_VALUE"""),"NL003623669B04")</f>
        <v>NL003623669B04</v>
      </c>
      <c r="T212" s="6">
        <f>IFERROR(__xludf.DUMMYFUNCTION("""COMPUTED_VALUE"""),4.04758216E8)</f>
        <v>404758216</v>
      </c>
      <c r="U212" s="7" t="str">
        <f>IFERROR(__xludf.DUMMYFUNCTION("""COMPUTED_VALUE"""),"Eenmanszaak")</f>
        <v>Eenmanszaak</v>
      </c>
      <c r="V212" s="7" t="str">
        <f>IFERROR(__xludf.DUMMYFUNCTION("""COMPUTED_VALUE"""),"000048218677")</f>
        <v>000048218677</v>
      </c>
      <c r="W212" s="6" t="str">
        <f>IFERROR(__xludf.DUMMYFUNCTION("""COMPUTED_VALUE"""),"ink.igro.2288aa@zarabota.nl")</f>
        <v>ink.igro.2288aa@zarabota.nl</v>
      </c>
      <c r="X212" s="6" t="str">
        <f>IFERROR(__xludf.DUMMYFUNCTION("""COMPUTED_VALUE"""),"ver.igro.2288aa@zarabota.nl")</f>
        <v>ver.igro.2288aa@zarabota.nl</v>
      </c>
      <c r="Y212" s="6" t="str">
        <f>IFERROR(__xludf.DUMMYFUNCTION("""COMPUTED_VALUE"""),"Hr.")</f>
        <v>Hr.</v>
      </c>
      <c r="Z212" s="6" t="str">
        <f>IFERROR(__xludf.DUMMYFUNCTION("""COMPUTED_VALUE"""),"Ihor")</f>
        <v>Ihor</v>
      </c>
      <c r="AA212" s="6" t="str">
        <f>IFERROR(__xludf.DUMMYFUNCTION("""COMPUTED_VALUE"""),"Zubyk")</f>
        <v>Zubyk</v>
      </c>
      <c r="AB212" s="6" t="str">
        <f>IFERROR(__xludf.DUMMYFUNCTION("""COMPUTED_VALUE"""),"I.")</f>
        <v>I.</v>
      </c>
      <c r="AC212" s="6">
        <f>IFERROR(__xludf.DUMMYFUNCTION("""COMPUTED_VALUE"""),4.04758216E8)</f>
        <v>404758216</v>
      </c>
      <c r="AD212" s="9">
        <f>IFERROR(__xludf.DUMMYFUNCTION("""COMPUTED_VALUE"""),31509.0)</f>
        <v>31509</v>
      </c>
      <c r="AE212" s="6" t="str">
        <f>IFERROR(__xludf.DUMMYFUNCTION("""COMPUTED_VALUE"""),"ru")</f>
        <v>ru</v>
      </c>
      <c r="AF212" s="6" t="str">
        <f>IFERROR(__xludf.DUMMYFUNCTION("""COMPUTED_VALUE"""),"Zhydachev")</f>
        <v>Zhydachev</v>
      </c>
      <c r="AG212" s="6" t="str">
        <f>IFERROR(__xludf.DUMMYFUNCTION("""COMPUTED_VALUE"""),"Hr. I. Zubyk")</f>
        <v>Hr. I. Zubyk</v>
      </c>
      <c r="AH212" s="6" t="str">
        <f>IFERROR(__xludf.DUMMYFUNCTION("""COMPUTED_VALUE"""),"NL65INGB0657899895")</f>
        <v>NL65INGB0657899895</v>
      </c>
      <c r="AI212" s="6"/>
      <c r="AJ212" s="6" t="str">
        <f>IFERROR(__xludf.DUMMYFUNCTION("""COMPUTED_VALUE"""),"Verblijf Kaart")</f>
        <v>Verblijf Kaart</v>
      </c>
      <c r="AK212" s="6" t="str">
        <f>IFERROR(__xludf.DUMMYFUNCTION("""COMPUTED_VALUE"""),"VH9644R17")</f>
        <v>VH9644R17</v>
      </c>
      <c r="AL212" s="9">
        <f>IFERROR(__xludf.DUMMYFUNCTION("""COMPUTED_VALUE"""),46202.0)</f>
        <v>46202</v>
      </c>
      <c r="AM212" s="6" t="str">
        <f>IFERROR(__xludf.DUMMYFUNCTION("""COMPUTED_VALUE"""),"Bulgarije")</f>
        <v>Bulgarije</v>
      </c>
      <c r="AN212" s="6" t="str">
        <f>IFERROR(__xludf.DUMMYFUNCTION("""COMPUTED_VALUE"""),"Ihor Zubyk")</f>
        <v>Ihor Zubyk</v>
      </c>
      <c r="AO212" s="6">
        <f>IFERROR(__xludf.DUMMYFUNCTION("""COMPUTED_VALUE"""),1102.0)</f>
        <v>1102</v>
      </c>
    </row>
    <row r="213">
      <c r="A213" s="6" t="str">
        <f>IFERROR(__xludf.DUMMYFUNCTION("""COMPUTED_VALUE"""),"IJsberg Bouw VOF")</f>
        <v>IJsberg Bouw VOF</v>
      </c>
      <c r="B213" s="6" t="str">
        <f>IFERROR(__xludf.DUMMYFUNCTION("""COMPUTED_VALUE"""),"IJsberg Bouw VOF")</f>
        <v>IJsberg Bouw VOF</v>
      </c>
      <c r="C213" s="6">
        <f>IFERROR(__xludf.DUMMYFUNCTION("""COMPUTED_VALUE"""),1262.0)</f>
        <v>1262</v>
      </c>
      <c r="D213" s="7" t="str">
        <f>IFERROR(__xludf.DUMMYFUNCTION("""COMPUTED_VALUE"""),"Ventsislav Ganchev Filipov")</f>
        <v>Ventsislav Ganchev Filipov</v>
      </c>
      <c r="E213" s="7" t="str">
        <f>IFERROR(__xludf.DUMMYFUNCTION("""COMPUTED_VALUE"""),"SBI-code: 4120 - Algemene burgerlijke en utiliteitsbouw")</f>
        <v>SBI-code: 4120 - Algemene burgerlijke en utiliteitsbouw</v>
      </c>
      <c r="F213" s="7" t="str">
        <f>IFERROR(__xludf.DUMMYFUNCTION("""COMPUTED_VALUE"""),"0685720791")</f>
        <v>0685720791</v>
      </c>
      <c r="G213" s="6" t="str">
        <f>IFERROR(__xludf.DUMMYFUNCTION("""COMPUTED_VALUE"""),"ijsderg@gmail.com")</f>
        <v>ijsderg@gmail.com</v>
      </c>
      <c r="H213" s="6" t="str">
        <f>IFERROR(__xludf.DUMMYFUNCTION("""COMPUTED_VALUE"""),"Guido Gezellestraat 34")</f>
        <v>Guido Gezellestraat 34</v>
      </c>
      <c r="I213" s="6" t="str">
        <f>IFERROR(__xludf.DUMMYFUNCTION("""COMPUTED_VALUE"""),"2524CM")</f>
        <v>2524CM</v>
      </c>
      <c r="J213" s="6" t="str">
        <f>IFERROR(__xludf.DUMMYFUNCTION("""COMPUTED_VALUE"""),"s-Gravenhage")</f>
        <v>s-Gravenhage</v>
      </c>
      <c r="K213" s="6" t="str">
        <f>IFERROR(__xludf.DUMMYFUNCTION("""COMPUTED_VALUE"""),"Nederland")</f>
        <v>Nederland</v>
      </c>
      <c r="L213" s="6" t="str">
        <f>IFERROR(__xludf.DUMMYFUNCTION("""COMPUTED_VALUE"""),"Филипов")</f>
        <v>Филипов</v>
      </c>
      <c r="M213" s="8">
        <f>IFERROR(__xludf.DUMMYFUNCTION("""COMPUTED_VALUE"""),44562.0)</f>
        <v>44562</v>
      </c>
      <c r="N213" s="6" t="str">
        <f>IFERROR(__xludf.DUMMYFUNCTION("""COMPUTED_VALUE"""),"NL863579437B01")</f>
        <v>NL863579437B01</v>
      </c>
      <c r="O213" s="6">
        <f>IFERROR(__xludf.DUMMYFUNCTION("""COMPUTED_VALUE"""),8.5306517E7)</f>
        <v>85306517</v>
      </c>
      <c r="P213" s="6" t="str">
        <f>IFERROR(__xludf.DUMMYFUNCTION("""COMPUTED_VALUE"""),"NL34INGB0006135628")</f>
        <v>NL34INGB0006135628</v>
      </c>
      <c r="Q213" s="9">
        <f>IFERROR(__xludf.DUMMYFUNCTION("""COMPUTED_VALUE"""),41520.0)</f>
        <v>41520</v>
      </c>
      <c r="R213" s="6"/>
      <c r="S213" s="6" t="str">
        <f>IFERROR(__xludf.DUMMYFUNCTION("""COMPUTED_VALUE"""),"NL863579437B01")</f>
        <v>NL863579437B01</v>
      </c>
      <c r="T213" s="6">
        <f>IFERROR(__xludf.DUMMYFUNCTION("""COMPUTED_VALUE"""),8.63579437E8)</f>
        <v>863579437</v>
      </c>
      <c r="U213" s="7" t="str">
        <f>IFERROR(__xludf.DUMMYFUNCTION("""COMPUTED_VALUE"""),"Vennootschap Onder Firma")</f>
        <v>Vennootschap Onder Firma</v>
      </c>
      <c r="V213" s="7" t="str">
        <f>IFERROR(__xludf.DUMMYFUNCTION("""COMPUTED_VALUE"""),"000028043006")</f>
        <v>000028043006</v>
      </c>
      <c r="W213" s="6" t="str">
        <f>IFERROR(__xludf.DUMMYFUNCTION("""COMPUTED_VALUE"""),"ink.ijsbergbouw.2288aa@zarabota.nl")</f>
        <v>ink.ijsbergbouw.2288aa@zarabota.nl</v>
      </c>
      <c r="X213" s="6" t="str">
        <f>IFERROR(__xludf.DUMMYFUNCTION("""COMPUTED_VALUE"""),"ver.ijsbergbouw.2288aa@zarabota.nl")</f>
        <v>ver.ijsbergbouw.2288aa@zarabota.nl</v>
      </c>
      <c r="Y213" s="6" t="str">
        <f>IFERROR(__xludf.DUMMYFUNCTION("""COMPUTED_VALUE"""),"Hr.")</f>
        <v>Hr.</v>
      </c>
      <c r="Z213" s="6" t="str">
        <f>IFERROR(__xludf.DUMMYFUNCTION("""COMPUTED_VALUE"""),"Ventsislav Ganchev")</f>
        <v>Ventsislav Ganchev</v>
      </c>
      <c r="AA213" s="6" t="str">
        <f>IFERROR(__xludf.DUMMYFUNCTION("""COMPUTED_VALUE"""),"Filipov")</f>
        <v>Filipov</v>
      </c>
      <c r="AB213" s="6" t="str">
        <f>IFERROR(__xludf.DUMMYFUNCTION("""COMPUTED_VALUE"""),"V.G.")</f>
        <v>V.G.</v>
      </c>
      <c r="AC213" s="6">
        <f>IFERROR(__xludf.DUMMYFUNCTION("""COMPUTED_VALUE"""),2.64466238E8)</f>
        <v>264466238</v>
      </c>
      <c r="AD213" s="9">
        <f>IFERROR(__xludf.DUMMYFUNCTION("""COMPUTED_VALUE"""),32097.0)</f>
        <v>32097</v>
      </c>
      <c r="AE213" s="6" t="str">
        <f>IFERROR(__xludf.DUMMYFUNCTION("""COMPUTED_VALUE"""),"bg")</f>
        <v>bg</v>
      </c>
      <c r="AF213" s="6" t="str">
        <f>IFERROR(__xludf.DUMMYFUNCTION("""COMPUTED_VALUE"""),"Ardino")</f>
        <v>Ardino</v>
      </c>
      <c r="AG213" s="6" t="str">
        <f>IFERROR(__xludf.DUMMYFUNCTION("""COMPUTED_VALUE"""),"Hr. V.G. Filipov")</f>
        <v>Hr. V.G. Filipov</v>
      </c>
      <c r="AH213" s="6" t="str">
        <f>IFERROR(__xludf.DUMMYFUNCTION("""COMPUTED_VALUE"""),"NL69INGB0686508130")</f>
        <v>NL69INGB0686508130</v>
      </c>
      <c r="AI213" s="9">
        <f>IFERROR(__xludf.DUMMYFUNCTION("""COMPUTED_VALUE"""),41520.0)</f>
        <v>41520</v>
      </c>
      <c r="AJ213" s="6" t="str">
        <f>IFERROR(__xludf.DUMMYFUNCTION("""COMPUTED_VALUE"""),"ID Kaart")</f>
        <v>ID Kaart</v>
      </c>
      <c r="AK213" s="6">
        <f>IFERROR(__xludf.DUMMYFUNCTION("""COMPUTED_VALUE"""),6.43216963E8)</f>
        <v>643216963</v>
      </c>
      <c r="AL213" s="9">
        <f>IFERROR(__xludf.DUMMYFUNCTION("""COMPUTED_VALUE"""),45279.0)</f>
        <v>45279</v>
      </c>
      <c r="AM213" s="6"/>
      <c r="AN213" s="6" t="str">
        <f>IFERROR(__xludf.DUMMYFUNCTION("""COMPUTED_VALUE"""),"Ventsislav Ganchev Filipov")</f>
        <v>Ventsislav Ganchev Filipov</v>
      </c>
      <c r="AO213" s="6">
        <f>IFERROR(__xludf.DUMMYFUNCTION("""COMPUTED_VALUE"""),1262.0)</f>
        <v>1262</v>
      </c>
    </row>
    <row r="214">
      <c r="A214" s="6" t="str">
        <f>IFERROR(__xludf.DUMMYFUNCTION("""COMPUTED_VALUE"""),"IK Modellenwerk")</f>
        <v>IK Modellenwerk</v>
      </c>
      <c r="B214" s="6" t="str">
        <f>IFERROR(__xludf.DUMMYFUNCTION("""COMPUTED_VALUE"""),"IK Modellenwerk")</f>
        <v>IK Modellenwerk</v>
      </c>
      <c r="C214" s="6">
        <f>IFERROR(__xludf.DUMMYFUNCTION("""COMPUTED_VALUE"""),1690.0)</f>
        <v>1690</v>
      </c>
      <c r="D214" s="7" t="str">
        <f>IFERROR(__xludf.DUMMYFUNCTION("""COMPUTED_VALUE"""),"Ise Kreemers")</f>
        <v>Ise Kreemers</v>
      </c>
      <c r="E214" s="7" t="str">
        <f>IFERROR(__xludf.DUMMYFUNCTION("""COMPUTED_VALUE"""),"SBI-code: 4120 - Algemene burgerlijke en utiliteitsbouw")</f>
        <v>SBI-code: 4120 - Algemene burgerlijke en utiliteitsbouw</v>
      </c>
      <c r="F214" s="7" t="str">
        <f>IFERROR(__xludf.DUMMYFUNCTION("""COMPUTED_VALUE"""),"0620826089")</f>
        <v>0620826089</v>
      </c>
      <c r="G214" s="6" t="str">
        <f>IFERROR(__xludf.DUMMYFUNCTION("""COMPUTED_VALUE"""),"ise.kreemers@gmail.com")</f>
        <v>ise.kreemers@gmail.com</v>
      </c>
      <c r="H214" s="6" t="str">
        <f>IFERROR(__xludf.DUMMYFUNCTION("""COMPUTED_VALUE"""),"Duvelkenshoeve 18")</f>
        <v>Duvelkenshoeve 18</v>
      </c>
      <c r="I214" s="6" t="str">
        <f>IFERROR(__xludf.DUMMYFUNCTION("""COMPUTED_VALUE"""),"5708VS")</f>
        <v>5708VS</v>
      </c>
      <c r="J214" s="6" t="str">
        <f>IFERROR(__xludf.DUMMYFUNCTION("""COMPUTED_VALUE"""),"Helmond")</f>
        <v>Helmond</v>
      </c>
      <c r="K214" s="6" t="str">
        <f>IFERROR(__xludf.DUMMYFUNCTION("""COMPUTED_VALUE"""),"Nederland")</f>
        <v>Nederland</v>
      </c>
      <c r="L214" s="6" t="str">
        <f>IFERROR(__xludf.DUMMYFUNCTION("""COMPUTED_VALUE"""),"Kreemers")</f>
        <v>Kreemers</v>
      </c>
      <c r="M214" s="8">
        <f>IFERROR(__xludf.DUMMYFUNCTION("""COMPUTED_VALUE"""),45348.0)</f>
        <v>45348</v>
      </c>
      <c r="N214" s="6" t="str">
        <f>IFERROR(__xludf.DUMMYFUNCTION("""COMPUTED_VALUE"""),"NL242073360B01")</f>
        <v>NL242073360B01</v>
      </c>
      <c r="O214" s="6">
        <f>IFERROR(__xludf.DUMMYFUNCTION("""COMPUTED_VALUE"""),9.3068913E7)</f>
        <v>93068913</v>
      </c>
      <c r="P214" s="6" t="str">
        <f>IFERROR(__xludf.DUMMYFUNCTION("""COMPUTED_VALUE"""),"NL77ABNA0458274607")</f>
        <v>NL77ABNA0458274607</v>
      </c>
      <c r="Q214" s="9">
        <f>IFERROR(__xludf.DUMMYFUNCTION("""COMPUTED_VALUE"""),45348.0)</f>
        <v>45348</v>
      </c>
      <c r="R214" s="6"/>
      <c r="S214" s="6" t="str">
        <f>IFERROR(__xludf.DUMMYFUNCTION("""COMPUTED_VALUE"""),"NL004996337B09")</f>
        <v>NL004996337B09</v>
      </c>
      <c r="T214" s="6">
        <f>IFERROR(__xludf.DUMMYFUNCTION("""COMPUTED_VALUE"""),2.4207336E8)</f>
        <v>242073360</v>
      </c>
      <c r="U214" s="7" t="str">
        <f>IFERROR(__xludf.DUMMYFUNCTION("""COMPUTED_VALUE"""),"Eenmanszaak")</f>
        <v>Eenmanszaak</v>
      </c>
      <c r="V214" s="7" t="str">
        <f>IFERROR(__xludf.DUMMYFUNCTION("""COMPUTED_VALUE"""),"000058637079")</f>
        <v>000058637079</v>
      </c>
      <c r="W214" s="6" t="str">
        <f>IFERROR(__xludf.DUMMYFUNCTION("""COMPUTED_VALUE"""),"ink.ikmodellenwerk.2288aa@zarabota.nl")</f>
        <v>ink.ikmodellenwerk.2288aa@zarabota.nl</v>
      </c>
      <c r="X214" s="6" t="str">
        <f>IFERROR(__xludf.DUMMYFUNCTION("""COMPUTED_VALUE"""),"ver.ikmodellenwerk.2288aa@zarabota.nl")</f>
        <v>ver.ikmodellenwerk.2288aa@zarabota.nl</v>
      </c>
      <c r="Y214" s="6" t="str">
        <f>IFERROR(__xludf.DUMMYFUNCTION("""COMPUTED_VALUE"""),"Mw.")</f>
        <v>Mw.</v>
      </c>
      <c r="Z214" s="6" t="str">
        <f>IFERROR(__xludf.DUMMYFUNCTION("""COMPUTED_VALUE"""),"Ise")</f>
        <v>Ise</v>
      </c>
      <c r="AA214" s="6" t="str">
        <f>IFERROR(__xludf.DUMMYFUNCTION("""COMPUTED_VALUE"""),"Kreemers")</f>
        <v>Kreemers</v>
      </c>
      <c r="AB214" s="6" t="str">
        <f>IFERROR(__xludf.DUMMYFUNCTION("""COMPUTED_VALUE"""),"I.")</f>
        <v>I.</v>
      </c>
      <c r="AC214" s="6">
        <f>IFERROR(__xludf.DUMMYFUNCTION("""COMPUTED_VALUE"""),2.4207336E8)</f>
        <v>242073360</v>
      </c>
      <c r="AD214" s="9">
        <f>IFERROR(__xludf.DUMMYFUNCTION("""COMPUTED_VALUE"""),37051.0)</f>
        <v>37051</v>
      </c>
      <c r="AE214" s="6" t="str">
        <f>IFERROR(__xludf.DUMMYFUNCTION("""COMPUTED_VALUE"""),"bg")</f>
        <v>bg</v>
      </c>
      <c r="AF214" s="6" t="str">
        <f>IFERROR(__xludf.DUMMYFUNCTION("""COMPUTED_VALUE"""),"Helmond")</f>
        <v>Helmond</v>
      </c>
      <c r="AG214" s="6" t="str">
        <f>IFERROR(__xludf.DUMMYFUNCTION("""COMPUTED_VALUE"""),"Mw. I. Kreemers")</f>
        <v>Mw. I. Kreemers</v>
      </c>
      <c r="AH214" s="6"/>
      <c r="AI214" s="6"/>
      <c r="AJ214" s="6"/>
      <c r="AK214" s="6"/>
      <c r="AL214" s="6"/>
      <c r="AM214" s="6" t="str">
        <f>IFERROR(__xludf.DUMMYFUNCTION("""COMPUTED_VALUE"""),"Bulgarije")</f>
        <v>Bulgarije</v>
      </c>
      <c r="AN214" s="6" t="str">
        <f>IFERROR(__xludf.DUMMYFUNCTION("""COMPUTED_VALUE"""),"Ise Kreemers")</f>
        <v>Ise Kreemers</v>
      </c>
      <c r="AO214" s="6">
        <f>IFERROR(__xludf.DUMMYFUNCTION("""COMPUTED_VALUE"""),1690.0)</f>
        <v>1690</v>
      </c>
    </row>
    <row r="215">
      <c r="A215" s="6" t="str">
        <f>IFERROR(__xludf.DUMMYFUNCTION("""COMPUTED_VALUE"""),"Ilyo Trans VOF")</f>
        <v>Ilyo Trans VOF</v>
      </c>
      <c r="B215" s="6" t="str">
        <f>IFERROR(__xludf.DUMMYFUNCTION("""COMPUTED_VALUE"""),"Ilyo Trans VOF")</f>
        <v>Ilyo Trans VOF</v>
      </c>
      <c r="C215" s="6">
        <f>IFERROR(__xludf.DUMMYFUNCTION("""COMPUTED_VALUE"""),1334.0)</f>
        <v>1334</v>
      </c>
      <c r="D215" s="7" t="str">
        <f>IFERROR(__xludf.DUMMYFUNCTION("""COMPUTED_VALUE"""),"Asen Iliev Asenov")</f>
        <v>Asen Iliev Asenov</v>
      </c>
      <c r="E215" s="7" t="str">
        <f>IFERROR(__xludf.DUMMYFUNCTION("""COMPUTED_VALUE"""),"SBI-code: 4941 - Goederenvervoer over de weg (geen verhuizingen)")</f>
        <v>SBI-code: 4941 - Goederenvervoer over de weg (geen verhuizingen)</v>
      </c>
      <c r="F215" s="7" t="str">
        <f>IFERROR(__xludf.DUMMYFUNCTION("""COMPUTED_VALUE"""),"0684955515")</f>
        <v>0684955515</v>
      </c>
      <c r="G215" s="6" t="str">
        <f>IFERROR(__xludf.DUMMYFUNCTION("""COMPUTED_VALUE"""),"asen2733@gmail.com")</f>
        <v>asen2733@gmail.com</v>
      </c>
      <c r="H215" s="6" t="str">
        <f>IFERROR(__xludf.DUMMYFUNCTION("""COMPUTED_VALUE"""),"Regentesselaan 303B")</f>
        <v>Regentesselaan 303B</v>
      </c>
      <c r="I215" s="6" t="str">
        <f>IFERROR(__xludf.DUMMYFUNCTION("""COMPUTED_VALUE"""),"2562EC")</f>
        <v>2562EC</v>
      </c>
      <c r="J215" s="6" t="str">
        <f>IFERROR(__xludf.DUMMYFUNCTION("""COMPUTED_VALUE"""),"s-Gravenhage")</f>
        <v>s-Gravenhage</v>
      </c>
      <c r="K215" s="6" t="str">
        <f>IFERROR(__xludf.DUMMYFUNCTION("""COMPUTED_VALUE"""),"Nederland")</f>
        <v>Nederland</v>
      </c>
      <c r="L215" s="6" t="str">
        <f>IFERROR(__xludf.DUMMYFUNCTION("""COMPUTED_VALUE"""),"Асенов")</f>
        <v>Асенов</v>
      </c>
      <c r="M215" s="8">
        <f>IFERROR(__xludf.DUMMYFUNCTION("""COMPUTED_VALUE"""),44652.0)</f>
        <v>44652</v>
      </c>
      <c r="N215" s="6" t="str">
        <f>IFERROR(__xludf.DUMMYFUNCTION("""COMPUTED_VALUE"""),"NL863975136B01")</f>
        <v>NL863975136B01</v>
      </c>
      <c r="O215" s="6">
        <f>IFERROR(__xludf.DUMMYFUNCTION("""COMPUTED_VALUE"""),8.6460854E7)</f>
        <v>86460854</v>
      </c>
      <c r="P215" s="6" t="str">
        <f>IFERROR(__xludf.DUMMYFUNCTION("""COMPUTED_VALUE"""),"NL50INGB0009174447")</f>
        <v>NL50INGB0009174447</v>
      </c>
      <c r="Q215" s="9">
        <f>IFERROR(__xludf.DUMMYFUNCTION("""COMPUTED_VALUE"""),44652.0)</f>
        <v>44652</v>
      </c>
      <c r="R215" s="6"/>
      <c r="S215" s="6" t="str">
        <f>IFERROR(__xludf.DUMMYFUNCTION("""COMPUTED_VALUE"""),"NL863975136B01")</f>
        <v>NL863975136B01</v>
      </c>
      <c r="T215" s="6">
        <f>IFERROR(__xludf.DUMMYFUNCTION("""COMPUTED_VALUE"""),8.63975136E8)</f>
        <v>863975136</v>
      </c>
      <c r="U215" s="7" t="str">
        <f>IFERROR(__xludf.DUMMYFUNCTION("""COMPUTED_VALUE"""),"Vennootschap Onder Firma")</f>
        <v>Vennootschap Onder Firma</v>
      </c>
      <c r="V215" s="7" t="str">
        <f>IFERROR(__xludf.DUMMYFUNCTION("""COMPUTED_VALUE"""),"000049512846")</f>
        <v>000049512846</v>
      </c>
      <c r="W215" s="6" t="str">
        <f>IFERROR(__xludf.DUMMYFUNCTION("""COMPUTED_VALUE"""),"ink.ilyotrans.2288aa@zarabota.nl")</f>
        <v>ink.ilyotrans.2288aa@zarabota.nl</v>
      </c>
      <c r="X215" s="6" t="str">
        <f>IFERROR(__xludf.DUMMYFUNCTION("""COMPUTED_VALUE"""),"ver.ilyotrans.2288aa@zarabota.nl")</f>
        <v>ver.ilyotrans.2288aa@zarabota.nl</v>
      </c>
      <c r="Y215" s="6" t="str">
        <f>IFERROR(__xludf.DUMMYFUNCTION("""COMPUTED_VALUE"""),"Hr.")</f>
        <v>Hr.</v>
      </c>
      <c r="Z215" s="6" t="str">
        <f>IFERROR(__xludf.DUMMYFUNCTION("""COMPUTED_VALUE"""),"Asen Iliev")</f>
        <v>Asen Iliev</v>
      </c>
      <c r="AA215" s="6" t="str">
        <f>IFERROR(__xludf.DUMMYFUNCTION("""COMPUTED_VALUE"""),"Asenov")</f>
        <v>Asenov</v>
      </c>
      <c r="AB215" s="6" t="str">
        <f>IFERROR(__xludf.DUMMYFUNCTION("""COMPUTED_VALUE"""),"A.I.")</f>
        <v>A.I.</v>
      </c>
      <c r="AC215" s="6">
        <f>IFERROR(__xludf.DUMMYFUNCTION("""COMPUTED_VALUE"""),5.93058252E8)</f>
        <v>593058252</v>
      </c>
      <c r="AD215" s="9">
        <f>IFERROR(__xludf.DUMMYFUNCTION("""COMPUTED_VALUE"""),29335.0)</f>
        <v>29335</v>
      </c>
      <c r="AE215" s="6" t="str">
        <f>IFERROR(__xludf.DUMMYFUNCTION("""COMPUTED_VALUE"""),"bg")</f>
        <v>bg</v>
      </c>
      <c r="AF215" s="6" t="str">
        <f>IFERROR(__xludf.DUMMYFUNCTION("""COMPUTED_VALUE"""),"Haskovo")</f>
        <v>Haskovo</v>
      </c>
      <c r="AG215" s="6" t="str">
        <f>IFERROR(__xludf.DUMMYFUNCTION("""COMPUTED_VALUE"""),"Hr. A.I. Asenov")</f>
        <v>Hr. A.I. Asenov</v>
      </c>
      <c r="AH215" s="6" t="str">
        <f>IFERROR(__xludf.DUMMYFUNCTION("""COMPUTED_VALUE"""),"NL83INGB0532023544")</f>
        <v>NL83INGB0532023544</v>
      </c>
      <c r="AI215" s="9">
        <f>IFERROR(__xludf.DUMMYFUNCTION("""COMPUTED_VALUE"""),44378.0)</f>
        <v>44378</v>
      </c>
      <c r="AJ215" s="6" t="str">
        <f>IFERROR(__xludf.DUMMYFUNCTION("""COMPUTED_VALUE"""),"ID Kaart")</f>
        <v>ID Kaart</v>
      </c>
      <c r="AK215" s="6">
        <f>IFERROR(__xludf.DUMMYFUNCTION("""COMPUTED_VALUE"""),6.49576854E8)</f>
        <v>649576854</v>
      </c>
      <c r="AL215" s="9">
        <f>IFERROR(__xludf.DUMMYFUNCTION("""COMPUTED_VALUE"""),47485.0)</f>
        <v>47485</v>
      </c>
      <c r="AM215" s="6" t="str">
        <f>IFERROR(__xludf.DUMMYFUNCTION("""COMPUTED_VALUE"""),"Bulgarije")</f>
        <v>Bulgarije</v>
      </c>
      <c r="AN215" s="6" t="str">
        <f>IFERROR(__xludf.DUMMYFUNCTION("""COMPUTED_VALUE"""),"Asen Iliev Asenov")</f>
        <v>Asen Iliev Asenov</v>
      </c>
      <c r="AO215" s="6">
        <f>IFERROR(__xludf.DUMMYFUNCTION("""COMPUTED_VALUE"""),1334.0)</f>
        <v>1334</v>
      </c>
    </row>
    <row r="216">
      <c r="A216" s="6" t="str">
        <f>IFERROR(__xludf.DUMMYFUNCTION("""COMPUTED_VALUE"""),"IMH Transport ZZP")</f>
        <v>IMH Transport ZZP</v>
      </c>
      <c r="B216" s="6" t="str">
        <f>IFERROR(__xludf.DUMMYFUNCTION("""COMPUTED_VALUE"""),"IMH Transport ZZP")</f>
        <v>IMH Transport ZZP</v>
      </c>
      <c r="C216" s="6">
        <f>IFERROR(__xludf.DUMMYFUNCTION("""COMPUTED_VALUE"""),791.0)</f>
        <v>791</v>
      </c>
      <c r="D216" s="7" t="str">
        <f>IFERROR(__xludf.DUMMYFUNCTION("""COMPUTED_VALUE"""),"Ilhan Mustafa Halibryam")</f>
        <v>Ilhan Mustafa Halibryam</v>
      </c>
      <c r="E216" s="7" t="str">
        <f>IFERROR(__xludf.DUMMYFUNCTION("""COMPUTED_VALUE"""),"SBI-code: 4120 - Algemene burgerlijke en utiliteitsbouw")</f>
        <v>SBI-code: 4120 - Algemene burgerlijke en utiliteitsbouw</v>
      </c>
      <c r="F216" s="7" t="str">
        <f>IFERROR(__xludf.DUMMYFUNCTION("""COMPUTED_VALUE"""),"0681186039")</f>
        <v>0681186039</v>
      </c>
      <c r="G216" s="6" t="str">
        <f>IFERROR(__xludf.DUMMYFUNCTION("""COMPUTED_VALUE"""),"ilhan_bg@live.nl")</f>
        <v>ilhan_bg@live.nl</v>
      </c>
      <c r="H216" s="6" t="str">
        <f>IFERROR(__xludf.DUMMYFUNCTION("""COMPUTED_VALUE"""),"Aarnout Drostlaan 69")</f>
        <v>Aarnout Drostlaan 69</v>
      </c>
      <c r="I216" s="6" t="str">
        <f>IFERROR(__xludf.DUMMYFUNCTION("""COMPUTED_VALUE"""),"2523EL")</f>
        <v>2523EL</v>
      </c>
      <c r="J216" s="6" t="str">
        <f>IFERROR(__xludf.DUMMYFUNCTION("""COMPUTED_VALUE"""),"s-Gravenhage")</f>
        <v>s-Gravenhage</v>
      </c>
      <c r="K216" s="6" t="str">
        <f>IFERROR(__xludf.DUMMYFUNCTION("""COMPUTED_VALUE"""),"Nederland")</f>
        <v>Nederland</v>
      </c>
      <c r="L216" s="6" t="str">
        <f>IFERROR(__xludf.DUMMYFUNCTION("""COMPUTED_VALUE"""),"Илхан")</f>
        <v>Илхан</v>
      </c>
      <c r="M216" s="8">
        <f>IFERROR(__xludf.DUMMYFUNCTION("""COMPUTED_VALUE"""),43586.0)</f>
        <v>43586</v>
      </c>
      <c r="N216" s="6" t="str">
        <f>IFERROR(__xludf.DUMMYFUNCTION("""COMPUTED_VALUE"""),"NL268446404B04")</f>
        <v>NL268446404B04</v>
      </c>
      <c r="O216" s="6">
        <f>IFERROR(__xludf.DUMMYFUNCTION("""COMPUTED_VALUE"""),7.4784846E7)</f>
        <v>74784846</v>
      </c>
      <c r="P216" s="6" t="str">
        <f>IFERROR(__xludf.DUMMYFUNCTION("""COMPUTED_VALUE"""),"NL58INGB0007564006")</f>
        <v>NL58INGB0007564006</v>
      </c>
      <c r="Q216" s="9">
        <f>IFERROR(__xludf.DUMMYFUNCTION("""COMPUTED_VALUE"""),43586.0)</f>
        <v>43586</v>
      </c>
      <c r="R216" s="6"/>
      <c r="S216" s="6" t="str">
        <f>IFERROR(__xludf.DUMMYFUNCTION("""COMPUTED_VALUE"""),"NL002461978B78")</f>
        <v>NL002461978B78</v>
      </c>
      <c r="T216" s="6">
        <f>IFERROR(__xludf.DUMMYFUNCTION("""COMPUTED_VALUE"""),2.68446404E8)</f>
        <v>268446404</v>
      </c>
      <c r="U216" s="7" t="str">
        <f>IFERROR(__xludf.DUMMYFUNCTION("""COMPUTED_VALUE"""),"Eenmanszaak")</f>
        <v>Eenmanszaak</v>
      </c>
      <c r="V216" s="7" t="str">
        <f>IFERROR(__xludf.DUMMYFUNCTION("""COMPUTED_VALUE"""),"000036454079")</f>
        <v>000036454079</v>
      </c>
      <c r="W216" s="6" t="str">
        <f>IFERROR(__xludf.DUMMYFUNCTION("""COMPUTED_VALUE"""),"ink.imhtransportzzp.2288aa@zarabota.nl")</f>
        <v>ink.imhtransportzzp.2288aa@zarabota.nl</v>
      </c>
      <c r="X216" s="6" t="str">
        <f>IFERROR(__xludf.DUMMYFUNCTION("""COMPUTED_VALUE"""),"ver.imhtransportzzp.2288aa@zarabota.nl")</f>
        <v>ver.imhtransportzzp.2288aa@zarabota.nl</v>
      </c>
      <c r="Y216" s="6" t="str">
        <f>IFERROR(__xludf.DUMMYFUNCTION("""COMPUTED_VALUE"""),"Hr.")</f>
        <v>Hr.</v>
      </c>
      <c r="Z216" s="6" t="str">
        <f>IFERROR(__xludf.DUMMYFUNCTION("""COMPUTED_VALUE"""),"Ilhan Mustafa")</f>
        <v>Ilhan Mustafa</v>
      </c>
      <c r="AA216" s="6" t="str">
        <f>IFERROR(__xludf.DUMMYFUNCTION("""COMPUTED_VALUE"""),"Halibryam")</f>
        <v>Halibryam</v>
      </c>
      <c r="AB216" s="6" t="str">
        <f>IFERROR(__xludf.DUMMYFUNCTION("""COMPUTED_VALUE"""),"I.M.")</f>
        <v>I.M.</v>
      </c>
      <c r="AC216" s="6">
        <f>IFERROR(__xludf.DUMMYFUNCTION("""COMPUTED_VALUE"""),2.68446404E8)</f>
        <v>268446404</v>
      </c>
      <c r="AD216" s="9">
        <f>IFERROR(__xludf.DUMMYFUNCTION("""COMPUTED_VALUE"""),27846.0)</f>
        <v>27846</v>
      </c>
      <c r="AE216" s="6" t="str">
        <f>IFERROR(__xludf.DUMMYFUNCTION("""COMPUTED_VALUE"""),"bg")</f>
        <v>bg</v>
      </c>
      <c r="AF216" s="6" t="str">
        <f>IFERROR(__xludf.DUMMYFUNCTION("""COMPUTED_VALUE"""),"Kardzhali")</f>
        <v>Kardzhali</v>
      </c>
      <c r="AG216" s="6" t="str">
        <f>IFERROR(__xludf.DUMMYFUNCTION("""COMPUTED_VALUE"""),"Hr. I.M. Halibryam")</f>
        <v>Hr. I.M. Halibryam</v>
      </c>
      <c r="AH216" s="6" t="str">
        <f>IFERROR(__xludf.DUMMYFUNCTION("""COMPUTED_VALUE"""),"NL74INGB0002847578")</f>
        <v>NL74INGB0002847578</v>
      </c>
      <c r="AI216" s="6"/>
      <c r="AJ216" s="6"/>
      <c r="AK216" s="6"/>
      <c r="AL216" s="6"/>
      <c r="AM216" s="6"/>
      <c r="AN216" s="6" t="str">
        <f>IFERROR(__xludf.DUMMYFUNCTION("""COMPUTED_VALUE"""),"Ilhan Mustafa Halibryam")</f>
        <v>Ilhan Mustafa Halibryam</v>
      </c>
      <c r="AO216" s="6"/>
    </row>
    <row r="217">
      <c r="A217" s="6" t="str">
        <f>IFERROR(__xludf.DUMMYFUNCTION("""COMPUTED_VALUE"""),"Investall")</f>
        <v>Investall</v>
      </c>
      <c r="B217" s="6" t="str">
        <f>IFERROR(__xludf.DUMMYFUNCTION("""COMPUTED_VALUE"""),"Investall")</f>
        <v>Investall</v>
      </c>
      <c r="C217" s="6">
        <f>IFERROR(__xludf.DUMMYFUNCTION("""COMPUTED_VALUE"""),1769.0)</f>
        <v>1769</v>
      </c>
      <c r="D217" s="7" t="str">
        <f>IFERROR(__xludf.DUMMYFUNCTION("""COMPUTED_VALUE"""),"Zhoro Georgiev Georgiev")</f>
        <v>Zhoro Georgiev Georgiev</v>
      </c>
      <c r="E217" s="7" t="str">
        <f>IFERROR(__xludf.DUMMYFUNCTION("""COMPUTED_VALUE"""),"SBI-code: 4120 - Algemene burgerlijke en utiliteitsbouw")</f>
        <v>SBI-code: 4120 - Algemene burgerlijke en utiliteitsbouw</v>
      </c>
      <c r="F217" s="7" t="str">
        <f>IFERROR(__xludf.DUMMYFUNCTION("""COMPUTED_VALUE"""),"0682059292")</f>
        <v>0682059292</v>
      </c>
      <c r="G217" s="6" t="str">
        <f>IFERROR(__xludf.DUMMYFUNCTION("""COMPUTED_VALUE"""),"joro.georgiev00@yahoo.com")</f>
        <v>joro.georgiev00@yahoo.com</v>
      </c>
      <c r="H217" s="6" t="str">
        <f>IFERROR(__xludf.DUMMYFUNCTION("""COMPUTED_VALUE"""),"Oostzeerstaat 206")</f>
        <v>Oostzeerstaat 206</v>
      </c>
      <c r="I217" s="6" t="str">
        <f>IFERROR(__xludf.DUMMYFUNCTION("""COMPUTED_VALUE"""),"8226 BJ")</f>
        <v>8226 BJ</v>
      </c>
      <c r="J217" s="6" t="str">
        <f>IFERROR(__xludf.DUMMYFUNCTION("""COMPUTED_VALUE"""),"Lelystad")</f>
        <v>Lelystad</v>
      </c>
      <c r="K217" s="6" t="str">
        <f>IFERROR(__xludf.DUMMYFUNCTION("""COMPUTED_VALUE"""),"Nederland")</f>
        <v>Nederland</v>
      </c>
      <c r="L217" s="6" t="str">
        <f>IFERROR(__xludf.DUMMYFUNCTION("""COMPUTED_VALUE"""),"Георгиев")</f>
        <v>Георгиев</v>
      </c>
      <c r="M217" s="8">
        <f>IFERROR(__xludf.DUMMYFUNCTION("""COMPUTED_VALUE"""),46054.0)</f>
        <v>46054</v>
      </c>
      <c r="N217" s="6" t="str">
        <f>IFERROR(__xludf.DUMMYFUNCTION("""COMPUTED_VALUE"""),"NL450568416B01")</f>
        <v>NL450568416B01</v>
      </c>
      <c r="O217" s="6">
        <f>IFERROR(__xludf.DUMMYFUNCTION("""COMPUTED_VALUE"""),9.9653648E7)</f>
        <v>99653648</v>
      </c>
      <c r="P217" s="6" t="str">
        <f>IFERROR(__xludf.DUMMYFUNCTION("""COMPUTED_VALUE"""),"NL52INGB0115965300")</f>
        <v>NL52INGB0115965300</v>
      </c>
      <c r="Q217" s="9">
        <f>IFERROR(__xludf.DUMMYFUNCTION("""COMPUTED_VALUE"""),46054.0)</f>
        <v>46054</v>
      </c>
      <c r="R217" s="6"/>
      <c r="S217" s="6" t="str">
        <f>IFERROR(__xludf.DUMMYFUNCTION("""COMPUTED_VALUE"""),"NL005400378B73")</f>
        <v>NL005400378B73</v>
      </c>
      <c r="T217" s="6">
        <f>IFERROR(__xludf.DUMMYFUNCTION("""COMPUTED_VALUE"""),4.50568416E8)</f>
        <v>450568416</v>
      </c>
      <c r="U217" s="7" t="str">
        <f>IFERROR(__xludf.DUMMYFUNCTION("""COMPUTED_VALUE"""),"Eenmanszaak")</f>
        <v>Eenmanszaak</v>
      </c>
      <c r="V217" s="7" t="str">
        <f>IFERROR(__xludf.DUMMYFUNCTION("""COMPUTED_VALUE"""),"000064709701")</f>
        <v>000064709701</v>
      </c>
      <c r="W217" s="6" t="str">
        <f>IFERROR(__xludf.DUMMYFUNCTION("""COMPUTED_VALUE"""),"ink.investall.2288aa@zarabota.nl")</f>
        <v>ink.investall.2288aa@zarabota.nl</v>
      </c>
      <c r="X217" s="6" t="str">
        <f>IFERROR(__xludf.DUMMYFUNCTION("""COMPUTED_VALUE"""),"ver.investall.2288aa@zarabota.nl")</f>
        <v>ver.investall.2288aa@zarabota.nl</v>
      </c>
      <c r="Y217" s="6" t="str">
        <f>IFERROR(__xludf.DUMMYFUNCTION("""COMPUTED_VALUE"""),"Hr.")</f>
        <v>Hr.</v>
      </c>
      <c r="Z217" s="6" t="str">
        <f>IFERROR(__xludf.DUMMYFUNCTION("""COMPUTED_VALUE"""),"Zhoro Georgiev")</f>
        <v>Zhoro Georgiev</v>
      </c>
      <c r="AA217" s="6" t="str">
        <f>IFERROR(__xludf.DUMMYFUNCTION("""COMPUTED_VALUE"""),"Georgiev")</f>
        <v>Georgiev</v>
      </c>
      <c r="AB217" s="6" t="str">
        <f>IFERROR(__xludf.DUMMYFUNCTION("""COMPUTED_VALUE"""),"Z.G.")</f>
        <v>Z.G.</v>
      </c>
      <c r="AC217" s="6">
        <f>IFERROR(__xludf.DUMMYFUNCTION("""COMPUTED_VALUE"""),4.50568416E8)</f>
        <v>450568416</v>
      </c>
      <c r="AD217" s="9">
        <f>IFERROR(__xludf.DUMMYFUNCTION("""COMPUTED_VALUE"""),36542.0)</f>
        <v>36542</v>
      </c>
      <c r="AE217" s="6" t="str">
        <f>IFERROR(__xludf.DUMMYFUNCTION("""COMPUTED_VALUE"""),"bg")</f>
        <v>bg</v>
      </c>
      <c r="AF217" s="6"/>
      <c r="AG217" s="6" t="str">
        <f>IFERROR(__xludf.DUMMYFUNCTION("""COMPUTED_VALUE"""),"Hr. Z.G. Georgiev")</f>
        <v>Hr. Z.G. Georgiev</v>
      </c>
      <c r="AH217" s="6"/>
      <c r="AI217" s="6"/>
      <c r="AJ217" s="6"/>
      <c r="AK217" s="6"/>
      <c r="AL217" s="6"/>
      <c r="AM217" s="6" t="str">
        <f>IFERROR(__xludf.DUMMYFUNCTION("""COMPUTED_VALUE"""),"Bulgarije")</f>
        <v>Bulgarije</v>
      </c>
      <c r="AN217" s="6" t="str">
        <f>IFERROR(__xludf.DUMMYFUNCTION("""COMPUTED_VALUE"""),"Zhoro Georgiev Georgiev")</f>
        <v>Zhoro Georgiev Georgiev</v>
      </c>
      <c r="AO217" s="6"/>
    </row>
    <row r="218">
      <c r="A218" s="6" t="str">
        <f>IFERROR(__xludf.DUMMYFUNCTION("""COMPUTED_VALUE"""),"ISKBouw")</f>
        <v>ISKBouw</v>
      </c>
      <c r="B218" s="6" t="str">
        <f>IFERROR(__xludf.DUMMYFUNCTION("""COMPUTED_VALUE"""),"ISKBouw")</f>
        <v>ISKBouw</v>
      </c>
      <c r="C218" s="6">
        <f>IFERROR(__xludf.DUMMYFUNCTION("""COMPUTED_VALUE"""),1719.0)</f>
        <v>1719</v>
      </c>
      <c r="D218" s="7" t="str">
        <f>IFERROR(__xludf.DUMMYFUNCTION("""COMPUTED_VALUE"""),"Ismail Sali Kalendzhi")</f>
        <v>Ismail Sali Kalendzhi</v>
      </c>
      <c r="E218" s="7" t="str">
        <f>IFERROR(__xludf.DUMMYFUNCTION("""COMPUTED_VALUE"""),"SBI-code: 43992 - Vlechten van betonstaal")</f>
        <v>SBI-code: 43992 - Vlechten van betonstaal</v>
      </c>
      <c r="F218" s="7" t="str">
        <f>IFERROR(__xludf.DUMMYFUNCTION("""COMPUTED_VALUE"""),"0686431236")</f>
        <v>0686431236</v>
      </c>
      <c r="G218" s="6" t="str">
        <f>IFERROR(__xludf.DUMMYFUNCTION("""COMPUTED_VALUE"""),"iskbouw@hotmail.com")</f>
        <v>iskbouw@hotmail.com</v>
      </c>
      <c r="H218" s="6" t="str">
        <f>IFERROR(__xludf.DUMMYFUNCTION("""COMPUTED_VALUE"""),"Okanhout 79")</f>
        <v>Okanhout 79</v>
      </c>
      <c r="I218" s="6" t="str">
        <f>IFERROR(__xludf.DUMMYFUNCTION("""COMPUTED_VALUE"""),"2719KV")</f>
        <v>2719KV</v>
      </c>
      <c r="J218" s="6" t="str">
        <f>IFERROR(__xludf.DUMMYFUNCTION("""COMPUTED_VALUE"""),"Zoetermeer")</f>
        <v>Zoetermeer</v>
      </c>
      <c r="K218" s="6" t="str">
        <f>IFERROR(__xludf.DUMMYFUNCTION("""COMPUTED_VALUE"""),"Nederland")</f>
        <v>Nederland</v>
      </c>
      <c r="L218" s="6" t="str">
        <f>IFERROR(__xludf.DUMMYFUNCTION("""COMPUTED_VALUE"""),"Календжи")</f>
        <v>Календжи</v>
      </c>
      <c r="M218" s="8">
        <f>IFERROR(__xludf.DUMMYFUNCTION("""COMPUTED_VALUE"""),45847.0)</f>
        <v>45847</v>
      </c>
      <c r="N218" s="6" t="str">
        <f>IFERROR(__xludf.DUMMYFUNCTION("""COMPUTED_VALUE"""),"NL388674568B01")</f>
        <v>NL388674568B01</v>
      </c>
      <c r="O218" s="6">
        <f>IFERROR(__xludf.DUMMYFUNCTION("""COMPUTED_VALUE"""),9.7769134E7)</f>
        <v>97769134</v>
      </c>
      <c r="P218" s="6" t="str">
        <f>IFERROR(__xludf.DUMMYFUNCTION("""COMPUTED_VALUE"""),"NL90INGB0114333270")</f>
        <v>NL90INGB0114333270</v>
      </c>
      <c r="Q218" s="9">
        <f>IFERROR(__xludf.DUMMYFUNCTION("""COMPUTED_VALUE"""),45847.0)</f>
        <v>45847</v>
      </c>
      <c r="R218" s="6"/>
      <c r="S218" s="6" t="str">
        <f>IFERROR(__xludf.DUMMYFUNCTION("""COMPUTED_VALUE"""),"NL005286891B46")</f>
        <v>NL005286891B46</v>
      </c>
      <c r="T218" s="6">
        <f>IFERROR(__xludf.DUMMYFUNCTION("""COMPUTED_VALUE"""),3.88674568E8)</f>
        <v>388674568</v>
      </c>
      <c r="U218" s="7" t="str">
        <f>IFERROR(__xludf.DUMMYFUNCTION("""COMPUTED_VALUE"""),"Eenmanszaak")</f>
        <v>Eenmanszaak</v>
      </c>
      <c r="V218" s="6"/>
      <c r="W218" s="6" t="str">
        <f>IFERROR(__xludf.DUMMYFUNCTION("""COMPUTED_VALUE"""),"ink.iskbouw.2288aa@zarabota.nl")</f>
        <v>ink.iskbouw.2288aa@zarabota.nl</v>
      </c>
      <c r="X218" s="6" t="str">
        <f>IFERROR(__xludf.DUMMYFUNCTION("""COMPUTED_VALUE"""),"ver.iskbouw.2288aa@zarabota.nl")</f>
        <v>ver.iskbouw.2288aa@zarabota.nl</v>
      </c>
      <c r="Y218" s="6" t="str">
        <f>IFERROR(__xludf.DUMMYFUNCTION("""COMPUTED_VALUE"""),"Hr.")</f>
        <v>Hr.</v>
      </c>
      <c r="Z218" s="6" t="str">
        <f>IFERROR(__xludf.DUMMYFUNCTION("""COMPUTED_VALUE"""),"Ismail Sali")</f>
        <v>Ismail Sali</v>
      </c>
      <c r="AA218" s="6" t="str">
        <f>IFERROR(__xludf.DUMMYFUNCTION("""COMPUTED_VALUE"""),"Kalendzhi")</f>
        <v>Kalendzhi</v>
      </c>
      <c r="AB218" s="6" t="str">
        <f>IFERROR(__xludf.DUMMYFUNCTION("""COMPUTED_VALUE"""),"I.S.")</f>
        <v>I.S.</v>
      </c>
      <c r="AC218" s="6">
        <f>IFERROR(__xludf.DUMMYFUNCTION("""COMPUTED_VALUE"""),3.88674568E8)</f>
        <v>388674568</v>
      </c>
      <c r="AD218" s="9">
        <f>IFERROR(__xludf.DUMMYFUNCTION("""COMPUTED_VALUE"""),28092.0)</f>
        <v>28092</v>
      </c>
      <c r="AE218" s="6" t="str">
        <f>IFERROR(__xludf.DUMMYFUNCTION("""COMPUTED_VALUE"""),"bg")</f>
        <v>bg</v>
      </c>
      <c r="AF218" s="6" t="str">
        <f>IFERROR(__xludf.DUMMYFUNCTION("""COMPUTED_VALUE"""),"Karnobat")</f>
        <v>Karnobat</v>
      </c>
      <c r="AG218" s="6" t="str">
        <f>IFERROR(__xludf.DUMMYFUNCTION("""COMPUTED_VALUE"""),"Hr. I.S. Kalendzhi")</f>
        <v>Hr. I.S. Kalendzhi</v>
      </c>
      <c r="AH218" s="6"/>
      <c r="AI218" s="6"/>
      <c r="AJ218" s="6" t="str">
        <f>IFERROR(__xludf.DUMMYFUNCTION("""COMPUTED_VALUE"""),"ID Kaart")</f>
        <v>ID Kaart</v>
      </c>
      <c r="AK218" s="6">
        <f>IFERROR(__xludf.DUMMYFUNCTION("""COMPUTED_VALUE"""),6.48979059E8)</f>
        <v>648979059</v>
      </c>
      <c r="AL218" s="9">
        <f>IFERROR(__xludf.DUMMYFUNCTION("""COMPUTED_VALUE"""),47617.0)</f>
        <v>47617</v>
      </c>
      <c r="AM218" s="6" t="str">
        <f>IFERROR(__xludf.DUMMYFUNCTION("""COMPUTED_VALUE"""),"Bulgarije")</f>
        <v>Bulgarije</v>
      </c>
      <c r="AN218" s="6" t="str">
        <f>IFERROR(__xludf.DUMMYFUNCTION("""COMPUTED_VALUE"""),"Ismail Sali Kalendzhi")</f>
        <v>Ismail Sali Kalendzhi</v>
      </c>
      <c r="AO218" s="6">
        <f>IFERROR(__xludf.DUMMYFUNCTION("""COMPUTED_VALUE"""),1719.0)</f>
        <v>1719</v>
      </c>
    </row>
    <row r="219">
      <c r="A219" s="6" t="str">
        <f>IFERROR(__xludf.DUMMYFUNCTION("""COMPUTED_VALUE"""),"Ivan 19 VOF")</f>
        <v>Ivan 19 VOF</v>
      </c>
      <c r="B219" s="6" t="str">
        <f>IFERROR(__xludf.DUMMYFUNCTION("""COMPUTED_VALUE"""),"Ivan 19 VOF")</f>
        <v>Ivan 19 VOF</v>
      </c>
      <c r="C219" s="6">
        <f>IFERROR(__xludf.DUMMYFUNCTION("""COMPUTED_VALUE"""),1752.0)</f>
        <v>1752</v>
      </c>
      <c r="D219" s="7" t="str">
        <f>IFERROR(__xludf.DUMMYFUNCTION("""COMPUTED_VALUE"""),"Ivan Petkov Ivanov")</f>
        <v>Ivan Petkov Ivanov</v>
      </c>
      <c r="E219" s="7" t="str">
        <f>IFERROR(__xludf.DUMMYFUNCTION("""COMPUTED_VALUE"""),"SBI-code: 43999 - Overige gespecialiseerde werkzaamheden in de bouw (rest)")</f>
        <v>SBI-code: 43999 - Overige gespecialiseerde werkzaamheden in de bouw (rest)</v>
      </c>
      <c r="F219" s="7" t="str">
        <f>IFERROR(__xludf.DUMMYFUNCTION("""COMPUTED_VALUE"""),"0628804009")</f>
        <v>0628804009</v>
      </c>
      <c r="G219" s="6" t="str">
        <f>IFERROR(__xludf.DUMMYFUNCTION("""COMPUTED_VALUE"""),"Ivailop929@gmail.com")</f>
        <v>Ivailop929@gmail.com</v>
      </c>
      <c r="H219" s="6" t="str">
        <f>IFERROR(__xludf.DUMMYFUNCTION("""COMPUTED_VALUE"""),"Karveel 45 62")</f>
        <v>Karveel 45 62</v>
      </c>
      <c r="I219" s="6" t="str">
        <f>IFERROR(__xludf.DUMMYFUNCTION("""COMPUTED_VALUE"""),"8242VB")</f>
        <v>8242VB</v>
      </c>
      <c r="J219" s="6" t="str">
        <f>IFERROR(__xludf.DUMMYFUNCTION("""COMPUTED_VALUE"""),"Lelystad")</f>
        <v>Lelystad</v>
      </c>
      <c r="K219" s="6" t="str">
        <f>IFERROR(__xludf.DUMMYFUNCTION("""COMPUTED_VALUE"""),"Nederland")</f>
        <v>Nederland</v>
      </c>
      <c r="L219" s="6" t="str">
        <f>IFERROR(__xludf.DUMMYFUNCTION("""COMPUTED_VALUE"""),"Иванов")</f>
        <v>Иванов</v>
      </c>
      <c r="M219" s="8">
        <f>IFERROR(__xludf.DUMMYFUNCTION("""COMPUTED_VALUE"""),45962.0)</f>
        <v>45962</v>
      </c>
      <c r="N219" s="6" t="str">
        <f>IFERROR(__xludf.DUMMYFUNCTION("""COMPUTED_VALUE"""),"NL868630007B01")</f>
        <v>NL868630007B01</v>
      </c>
      <c r="O219" s="6">
        <f>IFERROR(__xludf.DUMMYFUNCTION("""COMPUTED_VALUE"""),9.8756168E7)</f>
        <v>98756168</v>
      </c>
      <c r="P219" s="6" t="str">
        <f>IFERROR(__xludf.DUMMYFUNCTION("""COMPUTED_VALUE"""),"NL10INGB0117270997")</f>
        <v>NL10INGB0117270997</v>
      </c>
      <c r="Q219" s="9">
        <f>IFERROR(__xludf.DUMMYFUNCTION("""COMPUTED_VALUE"""),45962.0)</f>
        <v>45962</v>
      </c>
      <c r="R219" s="6"/>
      <c r="S219" s="6" t="str">
        <f>IFERROR(__xludf.DUMMYFUNCTION("""COMPUTED_VALUE"""),"NL868630007B01")</f>
        <v>NL868630007B01</v>
      </c>
      <c r="T219" s="6">
        <f>IFERROR(__xludf.DUMMYFUNCTION("""COMPUTED_VALUE"""),8.68630007E8)</f>
        <v>868630007</v>
      </c>
      <c r="U219" s="7" t="str">
        <f>IFERROR(__xludf.DUMMYFUNCTION("""COMPUTED_VALUE"""),"Vennootschap Onder Firma")</f>
        <v>Vennootschap Onder Firma</v>
      </c>
      <c r="V219" s="6"/>
      <c r="W219" s="6" t="str">
        <f>IFERROR(__xludf.DUMMYFUNCTION("""COMPUTED_VALUE"""),"ink.ivan19.2288aa@zarabota.nl")</f>
        <v>ink.ivan19.2288aa@zarabota.nl</v>
      </c>
      <c r="X219" s="6" t="str">
        <f>IFERROR(__xludf.DUMMYFUNCTION("""COMPUTED_VALUE"""),"ver.ivan19.2288aa@zarabota.nl")</f>
        <v>ver.ivan19.2288aa@zarabota.nl</v>
      </c>
      <c r="Y219" s="6" t="str">
        <f>IFERROR(__xludf.DUMMYFUNCTION("""COMPUTED_VALUE"""),"Hr.")</f>
        <v>Hr.</v>
      </c>
      <c r="Z219" s="6" t="str">
        <f>IFERROR(__xludf.DUMMYFUNCTION("""COMPUTED_VALUE"""),"Ivan Petkov")</f>
        <v>Ivan Petkov</v>
      </c>
      <c r="AA219" s="6" t="str">
        <f>IFERROR(__xludf.DUMMYFUNCTION("""COMPUTED_VALUE"""),"Ivanov")</f>
        <v>Ivanov</v>
      </c>
      <c r="AB219" s="6" t="str">
        <f>IFERROR(__xludf.DUMMYFUNCTION("""COMPUTED_VALUE"""),"I.P.")</f>
        <v>I.P.</v>
      </c>
      <c r="AC219" s="6">
        <f>IFERROR(__xludf.DUMMYFUNCTION("""COMPUTED_VALUE"""),6.61197955E8)</f>
        <v>661197955</v>
      </c>
      <c r="AD219" s="9">
        <f>IFERROR(__xludf.DUMMYFUNCTION("""COMPUTED_VALUE"""),28201.0)</f>
        <v>28201</v>
      </c>
      <c r="AE219" s="6" t="str">
        <f>IFERROR(__xludf.DUMMYFUNCTION("""COMPUTED_VALUE"""),"bg")</f>
        <v>bg</v>
      </c>
      <c r="AF219" s="6" t="str">
        <f>IFERROR(__xludf.DUMMYFUNCTION("""COMPUTED_VALUE"""),"Cherven Bryag")</f>
        <v>Cherven Bryag</v>
      </c>
      <c r="AG219" s="6" t="str">
        <f>IFERROR(__xludf.DUMMYFUNCTION("""COMPUTED_VALUE"""),"Hr. I.P. Ivanov")</f>
        <v>Hr. I.P. Ivanov</v>
      </c>
      <c r="AH219" s="6" t="str">
        <f>IFERROR(__xludf.DUMMYFUNCTION("""COMPUTED_VALUE"""),"NL74INGB0112268234")</f>
        <v>NL74INGB0112268234</v>
      </c>
      <c r="AI219" s="9">
        <f>IFERROR(__xludf.DUMMYFUNCTION("""COMPUTED_VALUE"""),45723.0)</f>
        <v>45723</v>
      </c>
      <c r="AJ219" s="6" t="str">
        <f>IFERROR(__xludf.DUMMYFUNCTION("""COMPUTED_VALUE"""),"ID Kaart")</f>
        <v>ID Kaart</v>
      </c>
      <c r="AK219" s="6" t="str">
        <f>IFERROR(__xludf.DUMMYFUNCTION("""COMPUTED_VALUE"""),"AA2447504")</f>
        <v>AA2447504</v>
      </c>
      <c r="AL219" s="9">
        <f>IFERROR(__xludf.DUMMYFUNCTION("""COMPUTED_VALUE"""),49214.0)</f>
        <v>49214</v>
      </c>
      <c r="AM219" s="6" t="str">
        <f>IFERROR(__xludf.DUMMYFUNCTION("""COMPUTED_VALUE"""),"Bulgarije")</f>
        <v>Bulgarije</v>
      </c>
      <c r="AN219" s="6" t="str">
        <f>IFERROR(__xludf.DUMMYFUNCTION("""COMPUTED_VALUE"""),"Ivan Petkov Ivanov")</f>
        <v>Ivan Petkov Ivanov</v>
      </c>
      <c r="AO219" s="6">
        <f>IFERROR(__xludf.DUMMYFUNCTION("""COMPUTED_VALUE"""),1752.0)</f>
        <v>1752</v>
      </c>
    </row>
    <row r="220">
      <c r="A220" s="6" t="str">
        <f>IFERROR(__xludf.DUMMYFUNCTION("""COMPUTED_VALUE"""),"Ivon delivery NL")</f>
        <v>Ivon delivery NL</v>
      </c>
      <c r="B220" s="6" t="str">
        <f>IFERROR(__xludf.DUMMYFUNCTION("""COMPUTED_VALUE"""),"Ivon delivery NL")</f>
        <v>Ivon delivery NL</v>
      </c>
      <c r="C220" s="6">
        <f>IFERROR(__xludf.DUMMYFUNCTION("""COMPUTED_VALUE"""),1700.0)</f>
        <v>1700</v>
      </c>
      <c r="D220" s="7" t="str">
        <f>IFERROR(__xludf.DUMMYFUNCTION("""COMPUTED_VALUE"""),"Nikolay Ivanov Podgolski")</f>
        <v>Nikolay Ivanov Podgolski</v>
      </c>
      <c r="E220" s="7" t="str">
        <f>IFERROR(__xludf.DUMMYFUNCTION("""COMPUTED_VALUE"""),"SBI-code: 53202 - Koeriers")</f>
        <v>SBI-code: 53202 - Koeriers</v>
      </c>
      <c r="F220" s="7" t="str">
        <f>IFERROR(__xludf.DUMMYFUNCTION("""COMPUTED_VALUE"""),"0618676820")</f>
        <v>0618676820</v>
      </c>
      <c r="G220" s="6" t="str">
        <f>IFERROR(__xludf.DUMMYFUNCTION("""COMPUTED_VALUE"""),"nikolaypodgorski@gmail.com")</f>
        <v>nikolaypodgorski@gmail.com</v>
      </c>
      <c r="H220" s="6" t="str">
        <f>IFERROR(__xludf.DUMMYFUNCTION("""COMPUTED_VALUE"""),"Beatrixstraat 7")</f>
        <v>Beatrixstraat 7</v>
      </c>
      <c r="I220" s="6" t="str">
        <f>IFERROR(__xludf.DUMMYFUNCTION("""COMPUTED_VALUE"""),"2964BA")</f>
        <v>2964BA</v>
      </c>
      <c r="J220" s="6" t="str">
        <f>IFERROR(__xludf.DUMMYFUNCTION("""COMPUTED_VALUE"""),"Groot-Ammers")</f>
        <v>Groot-Ammers</v>
      </c>
      <c r="K220" s="6" t="str">
        <f>IFERROR(__xludf.DUMMYFUNCTION("""COMPUTED_VALUE"""),"Nederland")</f>
        <v>Nederland</v>
      </c>
      <c r="L220" s="6" t="str">
        <f>IFERROR(__xludf.DUMMYFUNCTION("""COMPUTED_VALUE"""),"Подголски")</f>
        <v>Подголски</v>
      </c>
      <c r="M220" s="8">
        <f>IFERROR(__xludf.DUMMYFUNCTION("""COMPUTED_VALUE"""),45726.0)</f>
        <v>45726</v>
      </c>
      <c r="N220" s="6" t="str">
        <f>IFERROR(__xludf.DUMMYFUNCTION("""COMPUTED_VALUE"""),"NL477812983B01")</f>
        <v>NL477812983B01</v>
      </c>
      <c r="O220" s="6">
        <f>IFERROR(__xludf.DUMMYFUNCTION("""COMPUTED_VALUE"""),9.6583606E7)</f>
        <v>96583606</v>
      </c>
      <c r="P220" s="6" t="str">
        <f>IFERROR(__xludf.DUMMYFUNCTION("""COMPUTED_VALUE"""),"NL53KNAB0776299166")</f>
        <v>NL53KNAB0776299166</v>
      </c>
      <c r="Q220" s="9">
        <f>IFERROR(__xludf.DUMMYFUNCTION("""COMPUTED_VALUE"""),45726.0)</f>
        <v>45726</v>
      </c>
      <c r="R220" s="6"/>
      <c r="S220" s="6" t="str">
        <f>IFERROR(__xludf.DUMMYFUNCTION("""COMPUTED_VALUE"""),"NL005221817B26")</f>
        <v>NL005221817B26</v>
      </c>
      <c r="T220" s="6">
        <f>IFERROR(__xludf.DUMMYFUNCTION("""COMPUTED_VALUE"""),4.77812983E8)</f>
        <v>477812983</v>
      </c>
      <c r="U220" s="7" t="str">
        <f>IFERROR(__xludf.DUMMYFUNCTION("""COMPUTED_VALUE"""),"Eenmanszaak")</f>
        <v>Eenmanszaak</v>
      </c>
      <c r="V220" s="7" t="str">
        <f>IFERROR(__xludf.DUMMYFUNCTION("""COMPUTED_VALUE"""),"000061900354")</f>
        <v>000061900354</v>
      </c>
      <c r="W220" s="6" t="str">
        <f>IFERROR(__xludf.DUMMYFUNCTION("""COMPUTED_VALUE"""),"ink.ivondelivery.2288aa@zarabota.nl")</f>
        <v>ink.ivondelivery.2288aa@zarabota.nl</v>
      </c>
      <c r="X220" s="6" t="str">
        <f>IFERROR(__xludf.DUMMYFUNCTION("""COMPUTED_VALUE"""),"ver.ivondelivery.2288aa@zarabota.nl")</f>
        <v>ver.ivondelivery.2288aa@zarabota.nl</v>
      </c>
      <c r="Y220" s="6" t="str">
        <f>IFERROR(__xludf.DUMMYFUNCTION("""COMPUTED_VALUE"""),"Hr.")</f>
        <v>Hr.</v>
      </c>
      <c r="Z220" s="6" t="str">
        <f>IFERROR(__xludf.DUMMYFUNCTION("""COMPUTED_VALUE"""),"Nikolay Ivanov")</f>
        <v>Nikolay Ivanov</v>
      </c>
      <c r="AA220" s="6" t="str">
        <f>IFERROR(__xludf.DUMMYFUNCTION("""COMPUTED_VALUE"""),"Podgolski")</f>
        <v>Podgolski</v>
      </c>
      <c r="AB220" s="6" t="str">
        <f>IFERROR(__xludf.DUMMYFUNCTION("""COMPUTED_VALUE"""),"N.I.")</f>
        <v>N.I.</v>
      </c>
      <c r="AC220" s="6">
        <f>IFERROR(__xludf.DUMMYFUNCTION("""COMPUTED_VALUE"""),4.77812983E8)</f>
        <v>477812983</v>
      </c>
      <c r="AD220" s="9">
        <f>IFERROR(__xludf.DUMMYFUNCTION("""COMPUTED_VALUE"""),35405.0)</f>
        <v>35405</v>
      </c>
      <c r="AE220" s="6" t="str">
        <f>IFERROR(__xludf.DUMMYFUNCTION("""COMPUTED_VALUE"""),"bg")</f>
        <v>bg</v>
      </c>
      <c r="AF220" s="6" t="str">
        <f>IFERROR(__xludf.DUMMYFUNCTION("""COMPUTED_VALUE"""),"Sandanski")</f>
        <v>Sandanski</v>
      </c>
      <c r="AG220" s="6" t="str">
        <f>IFERROR(__xludf.DUMMYFUNCTION("""COMPUTED_VALUE"""),"Hr. N.I. Podgolski")</f>
        <v>Hr. N.I. Podgolski</v>
      </c>
      <c r="AH220" s="6"/>
      <c r="AI220" s="6"/>
      <c r="AJ220" s="6" t="str">
        <f>IFERROR(__xludf.DUMMYFUNCTION("""COMPUTED_VALUE"""),"ID Kaart")</f>
        <v>ID Kaart</v>
      </c>
      <c r="AK220" s="6">
        <f>IFERROR(__xludf.DUMMYFUNCTION("""COMPUTED_VALUE"""),6.48140313E8)</f>
        <v>648140313</v>
      </c>
      <c r="AL220" s="9">
        <f>IFERROR(__xludf.DUMMYFUNCTION("""COMPUTED_VALUE"""),47224.0)</f>
        <v>47224</v>
      </c>
      <c r="AM220" s="6" t="str">
        <f>IFERROR(__xludf.DUMMYFUNCTION("""COMPUTED_VALUE"""),"Bulgarije")</f>
        <v>Bulgarije</v>
      </c>
      <c r="AN220" s="6" t="str">
        <f>IFERROR(__xludf.DUMMYFUNCTION("""COMPUTED_VALUE"""),"Nikolay Ivanov Podgolski")</f>
        <v>Nikolay Ivanov Podgolski</v>
      </c>
      <c r="AO220" s="6">
        <f>IFERROR(__xludf.DUMMYFUNCTION("""COMPUTED_VALUE"""),1700.0)</f>
        <v>1700</v>
      </c>
    </row>
    <row r="221">
      <c r="A221" s="6" t="str">
        <f>IFERROR(__xludf.DUMMYFUNCTION("""COMPUTED_VALUE"""),"IVP Bouw")</f>
        <v>IVP Bouw</v>
      </c>
      <c r="B221" s="6" t="str">
        <f>IFERROR(__xludf.DUMMYFUNCTION("""COMPUTED_VALUE"""),"IVP Bouw")</f>
        <v>IVP Bouw</v>
      </c>
      <c r="C221" s="6">
        <f>IFERROR(__xludf.DUMMYFUNCTION("""COMPUTED_VALUE"""),107.0)</f>
        <v>107</v>
      </c>
      <c r="D221" s="7" t="str">
        <f>IFERROR(__xludf.DUMMYFUNCTION("""COMPUTED_VALUE"""),"Ivelin Vasilev Petkov")</f>
        <v>Ivelin Vasilev Petkov</v>
      </c>
      <c r="E221" s="7" t="str">
        <f>IFERROR(__xludf.DUMMYFUNCTION("""COMPUTED_VALUE"""),"SBI-code: 4120 - Algemene burgerlijke en utiliteitsbouw")</f>
        <v>SBI-code: 4120 - Algemene burgerlijke en utiliteitsbouw</v>
      </c>
      <c r="F221" s="7" t="str">
        <f>IFERROR(__xludf.DUMMYFUNCTION("""COMPUTED_VALUE"""),"0681881362")</f>
        <v>0681881362</v>
      </c>
      <c r="G221" s="6" t="str">
        <f>IFERROR(__xludf.DUMMYFUNCTION("""COMPUTED_VALUE"""),"ivelinmadok79@gmail.com")</f>
        <v>ivelinmadok79@gmail.com</v>
      </c>
      <c r="H221" s="6" t="str">
        <f>IFERROR(__xludf.DUMMYFUNCTION("""COMPUTED_VALUE"""),"Hendrinaland 137")</f>
        <v>Hendrinaland 137</v>
      </c>
      <c r="I221" s="6" t="str">
        <f>IFERROR(__xludf.DUMMYFUNCTION("""COMPUTED_VALUE"""),"2591TD")</f>
        <v>2591TD</v>
      </c>
      <c r="J221" s="6" t="str">
        <f>IFERROR(__xludf.DUMMYFUNCTION("""COMPUTED_VALUE"""),"`s-Gravenhage")</f>
        <v>`s-Gravenhage</v>
      </c>
      <c r="K221" s="6" t="str">
        <f>IFERROR(__xludf.DUMMYFUNCTION("""COMPUTED_VALUE"""),"Nederland")</f>
        <v>Nederland</v>
      </c>
      <c r="L221" s="6" t="str">
        <f>IFERROR(__xludf.DUMMYFUNCTION("""COMPUTED_VALUE"""),"Петков")</f>
        <v>Петков</v>
      </c>
      <c r="M221" s="8">
        <f>IFERROR(__xludf.DUMMYFUNCTION("""COMPUTED_VALUE"""),43175.0)</f>
        <v>43175</v>
      </c>
      <c r="N221" s="6" t="str">
        <f>IFERROR(__xludf.DUMMYFUNCTION("""COMPUTED_VALUE"""),"NL455754664B01")</f>
        <v>NL455754664B01</v>
      </c>
      <c r="O221" s="6">
        <f>IFERROR(__xludf.DUMMYFUNCTION("""COMPUTED_VALUE"""),5.6002734E7)</f>
        <v>56002734</v>
      </c>
      <c r="P221" s="6" t="str">
        <f>IFERROR(__xludf.DUMMYFUNCTION("""COMPUTED_VALUE"""),"NL28INGB0007252497")</f>
        <v>NL28INGB0007252497</v>
      </c>
      <c r="Q221" s="9">
        <f>IFERROR(__xludf.DUMMYFUNCTION("""COMPUTED_VALUE"""),41159.0)</f>
        <v>41159</v>
      </c>
      <c r="R221" s="6"/>
      <c r="S221" s="6" t="str">
        <f>IFERROR(__xludf.DUMMYFUNCTION("""COMPUTED_VALUE"""),"NL002486298B30")</f>
        <v>NL002486298B30</v>
      </c>
      <c r="T221" s="6">
        <f>IFERROR(__xludf.DUMMYFUNCTION("""COMPUTED_VALUE"""),4.55754664E8)</f>
        <v>455754664</v>
      </c>
      <c r="U221" s="7" t="str">
        <f>IFERROR(__xludf.DUMMYFUNCTION("""COMPUTED_VALUE"""),"Eenmanszaak")</f>
        <v>Eenmanszaak</v>
      </c>
      <c r="V221" s="7" t="str">
        <f>IFERROR(__xludf.DUMMYFUNCTION("""COMPUTED_VALUE"""),"000025600699")</f>
        <v>000025600699</v>
      </c>
      <c r="W221" s="6" t="str">
        <f>IFERROR(__xludf.DUMMYFUNCTION("""COMPUTED_VALUE"""),"ink.ivpbouw.2288aa@zarabota.nl")</f>
        <v>ink.ivpbouw.2288aa@zarabota.nl</v>
      </c>
      <c r="X221" s="6" t="str">
        <f>IFERROR(__xludf.DUMMYFUNCTION("""COMPUTED_VALUE"""),"ver.ivpbouw.2288aa@zarabota.nl")</f>
        <v>ver.ivpbouw.2288aa@zarabota.nl</v>
      </c>
      <c r="Y221" s="6" t="str">
        <f>IFERROR(__xludf.DUMMYFUNCTION("""COMPUTED_VALUE"""),"Hr.")</f>
        <v>Hr.</v>
      </c>
      <c r="Z221" s="6" t="str">
        <f>IFERROR(__xludf.DUMMYFUNCTION("""COMPUTED_VALUE"""),"Ivelin Vasilev")</f>
        <v>Ivelin Vasilev</v>
      </c>
      <c r="AA221" s="6" t="str">
        <f>IFERROR(__xludf.DUMMYFUNCTION("""COMPUTED_VALUE"""),"Petkov")</f>
        <v>Petkov</v>
      </c>
      <c r="AB221" s="6" t="str">
        <f>IFERROR(__xludf.DUMMYFUNCTION("""COMPUTED_VALUE"""),"I.V.")</f>
        <v>I.V.</v>
      </c>
      <c r="AC221" s="6">
        <f>IFERROR(__xludf.DUMMYFUNCTION("""COMPUTED_VALUE"""),4.55754664E8)</f>
        <v>455754664</v>
      </c>
      <c r="AD221" s="9">
        <f>IFERROR(__xludf.DUMMYFUNCTION("""COMPUTED_VALUE"""),28885.0)</f>
        <v>28885</v>
      </c>
      <c r="AE221" s="6" t="str">
        <f>IFERROR(__xludf.DUMMYFUNCTION("""COMPUTED_VALUE"""),"bg")</f>
        <v>bg</v>
      </c>
      <c r="AF221" s="6" t="str">
        <f>IFERROR(__xludf.DUMMYFUNCTION("""COMPUTED_VALUE"""),"Kubrat")</f>
        <v>Kubrat</v>
      </c>
      <c r="AG221" s="6" t="str">
        <f>IFERROR(__xludf.DUMMYFUNCTION("""COMPUTED_VALUE"""),"Hr. I.V. Petkov")</f>
        <v>Hr. I.V. Petkov</v>
      </c>
      <c r="AH221" s="6" t="str">
        <f>IFERROR(__xludf.DUMMYFUNCTION("""COMPUTED_VALUE"""),"NL22INGB0671938509")</f>
        <v>NL22INGB0671938509</v>
      </c>
      <c r="AI221" s="6"/>
      <c r="AJ221" s="6"/>
      <c r="AK221" s="6"/>
      <c r="AL221" s="6"/>
      <c r="AM221" s="6"/>
      <c r="AN221" s="6" t="str">
        <f>IFERROR(__xludf.DUMMYFUNCTION("""COMPUTED_VALUE"""),"Ivelin Vasilev Petkov")</f>
        <v>Ivelin Vasilev Petkov</v>
      </c>
      <c r="AO221" s="6"/>
    </row>
    <row r="222">
      <c r="A222" s="6" t="str">
        <f>IFERROR(__xludf.DUMMYFUNCTION("""COMPUTED_VALUE"""),"IziZorg.zzp")</f>
        <v>IziZorg.zzp</v>
      </c>
      <c r="B222" s="6" t="str">
        <f>IFERROR(__xludf.DUMMYFUNCTION("""COMPUTED_VALUE"""),"IziZorg.zzp")</f>
        <v>IziZorg.zzp</v>
      </c>
      <c r="C222" s="6">
        <f>IFERROR(__xludf.DUMMYFUNCTION("""COMPUTED_VALUE"""),1702.0)</f>
        <v>1702</v>
      </c>
      <c r="D222" s="7" t="str">
        <f>IFERROR(__xludf.DUMMYFUNCTION("""COMPUTED_VALUE"""),"Iskra Vladimirova Todorova")</f>
        <v>Iskra Vladimirova Todorova</v>
      </c>
      <c r="E222" s="7" t="str">
        <f>IFERROR(__xludf.DUMMYFUNCTION("""COMPUTED_VALUE"""),"SBI-code: 4120 - Algemene burgerlijke en utiliteitsbouw")</f>
        <v>SBI-code: 4120 - Algemene burgerlijke en utiliteitsbouw</v>
      </c>
      <c r="F222" s="7" t="str">
        <f>IFERROR(__xludf.DUMMYFUNCTION("""COMPUTED_VALUE"""),"0657497075")</f>
        <v>0657497075</v>
      </c>
      <c r="G222" s="6" t="str">
        <f>IFERROR(__xludf.DUMMYFUNCTION("""COMPUTED_VALUE"""),"fletcherizi@abv.bg")</f>
        <v>fletcherizi@abv.bg</v>
      </c>
      <c r="H222" s="6" t="str">
        <f>IFERROR(__xludf.DUMMYFUNCTION("""COMPUTED_VALUE"""),"Jan Wapstraat 90")</f>
        <v>Jan Wapstraat 90</v>
      </c>
      <c r="I222" s="6" t="str">
        <f>IFERROR(__xludf.DUMMYFUNCTION("""COMPUTED_VALUE"""),"2523GK")</f>
        <v>2523GK</v>
      </c>
      <c r="J222" s="6" t="str">
        <f>IFERROR(__xludf.DUMMYFUNCTION("""COMPUTED_VALUE"""),"s-Gravenhage")</f>
        <v>s-Gravenhage</v>
      </c>
      <c r="K222" s="6" t="str">
        <f>IFERROR(__xludf.DUMMYFUNCTION("""COMPUTED_VALUE"""),"Nederland")</f>
        <v>Nederland</v>
      </c>
      <c r="L222" s="6" t="str">
        <f>IFERROR(__xludf.DUMMYFUNCTION("""COMPUTED_VALUE"""),"Тодорова")</f>
        <v>Тодорова</v>
      </c>
      <c r="M222" s="8">
        <f>IFERROR(__xludf.DUMMYFUNCTION("""COMPUTED_VALUE"""),45755.0)</f>
        <v>45755</v>
      </c>
      <c r="N222" s="6" t="str">
        <f>IFERROR(__xludf.DUMMYFUNCTION("""COMPUTED_VALUE"""),"NL264813820B02")</f>
        <v>NL264813820B02</v>
      </c>
      <c r="O222" s="6">
        <f>IFERROR(__xludf.DUMMYFUNCTION("""COMPUTED_VALUE"""),9.696613E7)</f>
        <v>96966130</v>
      </c>
      <c r="P222" s="6" t="str">
        <f>IFERROR(__xludf.DUMMYFUNCTION("""COMPUTED_VALUE"""),"NL46INGB0111300290")</f>
        <v>NL46INGB0111300290</v>
      </c>
      <c r="Q222" s="9">
        <f>IFERROR(__xludf.DUMMYFUNCTION("""COMPUTED_VALUE"""),45755.0)</f>
        <v>45755</v>
      </c>
      <c r="R222" s="6"/>
      <c r="S222" s="6" t="str">
        <f>IFERROR(__xludf.DUMMYFUNCTION("""COMPUTED_VALUE"""),"NL005240473B29")</f>
        <v>NL005240473B29</v>
      </c>
      <c r="T222" s="6">
        <f>IFERROR(__xludf.DUMMYFUNCTION("""COMPUTED_VALUE"""),2.6481382E8)</f>
        <v>264813820</v>
      </c>
      <c r="U222" s="7" t="str">
        <f>IFERROR(__xludf.DUMMYFUNCTION("""COMPUTED_VALUE"""),"Eenmanszaak")</f>
        <v>Eenmanszaak</v>
      </c>
      <c r="V222" s="7" t="str">
        <f>IFERROR(__xludf.DUMMYFUNCTION("""COMPUTED_VALUE"""),"000062242342")</f>
        <v>000062242342</v>
      </c>
      <c r="W222" s="6" t="str">
        <f>IFERROR(__xludf.DUMMYFUNCTION("""COMPUTED_VALUE"""),"ink.izizorg.2288aa@zarabota.nl")</f>
        <v>ink.izizorg.2288aa@zarabota.nl</v>
      </c>
      <c r="X222" s="6" t="str">
        <f>IFERROR(__xludf.DUMMYFUNCTION("""COMPUTED_VALUE"""),"ver.izizorg.2288aa@zarabota.nl")</f>
        <v>ver.izizorg.2288aa@zarabota.nl</v>
      </c>
      <c r="Y222" s="6" t="str">
        <f>IFERROR(__xludf.DUMMYFUNCTION("""COMPUTED_VALUE"""),"Mw.")</f>
        <v>Mw.</v>
      </c>
      <c r="Z222" s="6" t="str">
        <f>IFERROR(__xludf.DUMMYFUNCTION("""COMPUTED_VALUE"""),"Iskra Vladimirova")</f>
        <v>Iskra Vladimirova</v>
      </c>
      <c r="AA222" s="6" t="str">
        <f>IFERROR(__xludf.DUMMYFUNCTION("""COMPUTED_VALUE"""),"Todorova")</f>
        <v>Todorova</v>
      </c>
      <c r="AB222" s="6" t="str">
        <f>IFERROR(__xludf.DUMMYFUNCTION("""COMPUTED_VALUE"""),"I.V.")</f>
        <v>I.V.</v>
      </c>
      <c r="AC222" s="6">
        <f>IFERROR(__xludf.DUMMYFUNCTION("""COMPUTED_VALUE"""),2.6481382E8)</f>
        <v>264813820</v>
      </c>
      <c r="AD222" s="9">
        <f>IFERROR(__xludf.DUMMYFUNCTION("""COMPUTED_VALUE"""),30783.0)</f>
        <v>30783</v>
      </c>
      <c r="AE222" s="6" t="str">
        <f>IFERROR(__xludf.DUMMYFUNCTION("""COMPUTED_VALUE"""),"bg")</f>
        <v>bg</v>
      </c>
      <c r="AF222" s="6" t="str">
        <f>IFERROR(__xludf.DUMMYFUNCTION("""COMPUTED_VALUE"""),"Gorna Oryahovica")</f>
        <v>Gorna Oryahovica</v>
      </c>
      <c r="AG222" s="6" t="str">
        <f>IFERROR(__xludf.DUMMYFUNCTION("""COMPUTED_VALUE"""),"Mw. I.V. Todorova")</f>
        <v>Mw. I.V. Todorova</v>
      </c>
      <c r="AH222" s="6"/>
      <c r="AI222" s="6"/>
      <c r="AJ222" s="6" t="str">
        <f>IFERROR(__xludf.DUMMYFUNCTION("""COMPUTED_VALUE"""),"ID Kaart")</f>
        <v>ID Kaart</v>
      </c>
      <c r="AK222" s="6"/>
      <c r="AL222" s="6"/>
      <c r="AM222" s="6" t="str">
        <f>IFERROR(__xludf.DUMMYFUNCTION("""COMPUTED_VALUE"""),"Bulgarije")</f>
        <v>Bulgarije</v>
      </c>
      <c r="AN222" s="6" t="str">
        <f>IFERROR(__xludf.DUMMYFUNCTION("""COMPUTED_VALUE"""),"Iskra Vladimirova Todorova")</f>
        <v>Iskra Vladimirova Todorova</v>
      </c>
      <c r="AO222" s="6">
        <f>IFERROR(__xludf.DUMMYFUNCTION("""COMPUTED_VALUE"""),1702.0)</f>
        <v>1702</v>
      </c>
    </row>
    <row r="223">
      <c r="A223" s="6" t="str">
        <f>IFERROR(__xludf.DUMMYFUNCTION("""COMPUTED_VALUE"""),"Jeff Bouw")</f>
        <v>Jeff Bouw</v>
      </c>
      <c r="B223" s="6" t="str">
        <f>IFERROR(__xludf.DUMMYFUNCTION("""COMPUTED_VALUE"""),"Jeff Bouw")</f>
        <v>Jeff Bouw</v>
      </c>
      <c r="C223" s="6">
        <f>IFERROR(__xludf.DUMMYFUNCTION("""COMPUTED_VALUE"""),244.0)</f>
        <v>244</v>
      </c>
      <c r="D223" s="7" t="str">
        <f>IFERROR(__xludf.DUMMYFUNCTION("""COMPUTED_VALUE"""),"Anatoliy Stanimirov Dzheferski")</f>
        <v>Anatoliy Stanimirov Dzheferski</v>
      </c>
      <c r="E223" s="7" t="str">
        <f>IFERROR(__xludf.DUMMYFUNCTION("""COMPUTED_VALUE"""),"SBI-code: 4120 - Algemene burgerlijke en utiliteitsbouw")</f>
        <v>SBI-code: 4120 - Algemene burgerlijke en utiliteitsbouw</v>
      </c>
      <c r="F223" s="7" t="str">
        <f>IFERROR(__xludf.DUMMYFUNCTION("""COMPUTED_VALUE"""),"0627655672")</f>
        <v>0627655672</v>
      </c>
      <c r="G223" s="6" t="str">
        <f>IFERROR(__xludf.DUMMYFUNCTION("""COMPUTED_VALUE"""),"jeffbouwbedrijf@gmail.com")</f>
        <v>jeffbouwbedrijf@gmail.com</v>
      </c>
      <c r="H223" s="6" t="str">
        <f>IFERROR(__xludf.DUMMYFUNCTION("""COMPUTED_VALUE"""),"Kepplerstraat 17")</f>
        <v>Kepplerstraat 17</v>
      </c>
      <c r="I223" s="6" t="str">
        <f>IFERROR(__xludf.DUMMYFUNCTION("""COMPUTED_VALUE"""),"2562 VE")</f>
        <v>2562 VE</v>
      </c>
      <c r="J223" s="6" t="str">
        <f>IFERROR(__xludf.DUMMYFUNCTION("""COMPUTED_VALUE"""),"s-Gravenhage")</f>
        <v>s-Gravenhage</v>
      </c>
      <c r="K223" s="6" t="str">
        <f>IFERROR(__xludf.DUMMYFUNCTION("""COMPUTED_VALUE"""),"Nederland")</f>
        <v>Nederland</v>
      </c>
      <c r="L223" s="6" t="str">
        <f>IFERROR(__xludf.DUMMYFUNCTION("""COMPUTED_VALUE"""),"Джеферски")</f>
        <v>Джеферски</v>
      </c>
      <c r="M223" s="8">
        <f>IFERROR(__xludf.DUMMYFUNCTION("""COMPUTED_VALUE"""),43175.0)</f>
        <v>43175</v>
      </c>
      <c r="N223" s="6" t="str">
        <f>IFERROR(__xludf.DUMMYFUNCTION("""COMPUTED_VALUE"""),"NL630380272B02")</f>
        <v>NL630380272B02</v>
      </c>
      <c r="O223" s="6">
        <f>IFERROR(__xludf.DUMMYFUNCTION("""COMPUTED_VALUE"""),6.5306368E7)</f>
        <v>65306368</v>
      </c>
      <c r="P223" s="6" t="str">
        <f>IFERROR(__xludf.DUMMYFUNCTION("""COMPUTED_VALUE"""),"NL54INGB0007115356")</f>
        <v>NL54INGB0007115356</v>
      </c>
      <c r="Q223" s="9">
        <f>IFERROR(__xludf.DUMMYFUNCTION("""COMPUTED_VALUE"""),42401.0)</f>
        <v>42401</v>
      </c>
      <c r="R223" s="6"/>
      <c r="S223" s="6" t="str">
        <f>IFERROR(__xludf.DUMMYFUNCTION("""COMPUTED_VALUE"""),"NL002509626B83")</f>
        <v>NL002509626B83</v>
      </c>
      <c r="T223" s="6">
        <f>IFERROR(__xludf.DUMMYFUNCTION("""COMPUTED_VALUE"""),6.30380272E8)</f>
        <v>630380272</v>
      </c>
      <c r="U223" s="7" t="str">
        <f>IFERROR(__xludf.DUMMYFUNCTION("""COMPUTED_VALUE"""),"Eenmanszaak")</f>
        <v>Eenmanszaak</v>
      </c>
      <c r="V223" s="7" t="str">
        <f>IFERROR(__xludf.DUMMYFUNCTION("""COMPUTED_VALUE"""),"000034043004")</f>
        <v>000034043004</v>
      </c>
      <c r="W223" s="6" t="str">
        <f>IFERROR(__xludf.DUMMYFUNCTION("""COMPUTED_VALUE"""),"ink.jeffbouw.2288aa@zarabota.nl")</f>
        <v>ink.jeffbouw.2288aa@zarabota.nl</v>
      </c>
      <c r="X223" s="6" t="str">
        <f>IFERROR(__xludf.DUMMYFUNCTION("""COMPUTED_VALUE"""),"ver.jeffbouw.2288aa@zarabota.nl")</f>
        <v>ver.jeffbouw.2288aa@zarabota.nl</v>
      </c>
      <c r="Y223" s="6" t="str">
        <f>IFERROR(__xludf.DUMMYFUNCTION("""COMPUTED_VALUE"""),"Hr.")</f>
        <v>Hr.</v>
      </c>
      <c r="Z223" s="6" t="str">
        <f>IFERROR(__xludf.DUMMYFUNCTION("""COMPUTED_VALUE"""),"Anatoliy Stanimirov")</f>
        <v>Anatoliy Stanimirov</v>
      </c>
      <c r="AA223" s="6" t="str">
        <f>IFERROR(__xludf.DUMMYFUNCTION("""COMPUTED_VALUE"""),"Dzheferski")</f>
        <v>Dzheferski</v>
      </c>
      <c r="AB223" s="6" t="str">
        <f>IFERROR(__xludf.DUMMYFUNCTION("""COMPUTED_VALUE"""),"A.S.")</f>
        <v>A.S.</v>
      </c>
      <c r="AC223" s="6">
        <f>IFERROR(__xludf.DUMMYFUNCTION("""COMPUTED_VALUE"""),6.30380272E8)</f>
        <v>630380272</v>
      </c>
      <c r="AD223" s="9">
        <f>IFERROR(__xludf.DUMMYFUNCTION("""COMPUTED_VALUE"""),33010.0)</f>
        <v>33010</v>
      </c>
      <c r="AE223" s="6" t="str">
        <f>IFERROR(__xludf.DUMMYFUNCTION("""COMPUTED_VALUE"""),"bg")</f>
        <v>bg</v>
      </c>
      <c r="AF223" s="6" t="str">
        <f>IFERROR(__xludf.DUMMYFUNCTION("""COMPUTED_VALUE"""),"Smolyan")</f>
        <v>Smolyan</v>
      </c>
      <c r="AG223" s="6" t="str">
        <f>IFERROR(__xludf.DUMMYFUNCTION("""COMPUTED_VALUE"""),"Hr. A.S. Dzheferski")</f>
        <v>Hr. A.S. Dzheferski</v>
      </c>
      <c r="AH223" s="6"/>
      <c r="AI223" s="6"/>
      <c r="AJ223" s="6"/>
      <c r="AK223" s="6"/>
      <c r="AL223" s="6"/>
      <c r="AM223" s="6"/>
      <c r="AN223" s="6" t="str">
        <f>IFERROR(__xludf.DUMMYFUNCTION("""COMPUTED_VALUE"""),"Anatoliy Stanimirov Dzheferski")</f>
        <v>Anatoliy Stanimirov Dzheferski</v>
      </c>
      <c r="AO223" s="6"/>
    </row>
    <row r="224">
      <c r="A224" s="6" t="str">
        <f>IFERROR(__xludf.DUMMYFUNCTION("""COMPUTED_VALUE"""),"JMS Services VOF")</f>
        <v>JMS Services VOF</v>
      </c>
      <c r="B224" s="6" t="str">
        <f>IFERROR(__xludf.DUMMYFUNCTION("""COMPUTED_VALUE"""),"JMS Services VOF - veel achterstand - gemaild")</f>
        <v>JMS Services VOF - veel achterstand - gemaild</v>
      </c>
      <c r="C224" s="6">
        <f>IFERROR(__xludf.DUMMYFUNCTION("""COMPUTED_VALUE"""),1735.0)</f>
        <v>1735</v>
      </c>
      <c r="D224" s="7" t="str">
        <f>IFERROR(__xludf.DUMMYFUNCTION("""COMPUTED_VALUE"""),"Milen Aleksiev Atanasov")</f>
        <v>Milen Aleksiev Atanasov</v>
      </c>
      <c r="E224" s="7" t="str">
        <f>IFERROR(__xludf.DUMMYFUNCTION("""COMPUTED_VALUE"""),"SBI-code: 4120 - Algemene burgerlijke en utiliteitsbouw")</f>
        <v>SBI-code: 4120 - Algemene burgerlijke en utiliteitsbouw</v>
      </c>
      <c r="F224" s="7" t="str">
        <f>IFERROR(__xludf.DUMMYFUNCTION("""COMPUTED_VALUE"""),"0641664982")</f>
        <v>0641664982</v>
      </c>
      <c r="G224" s="6" t="str">
        <f>IFERROR(__xludf.DUMMYFUNCTION("""COMPUTED_VALUE"""),"mersvet7@gmail.com")</f>
        <v>mersvet7@gmail.com</v>
      </c>
      <c r="H224" s="6" t="str">
        <f>IFERROR(__xludf.DUMMYFUNCTION("""COMPUTED_VALUE"""),"Engelsestraat 21")</f>
        <v>Engelsestraat 21</v>
      </c>
      <c r="I224" s="6" t="str">
        <f>IFERROR(__xludf.DUMMYFUNCTION("""COMPUTED_VALUE"""),"3028CA")</f>
        <v>3028CA</v>
      </c>
      <c r="J224" s="6" t="str">
        <f>IFERROR(__xludf.DUMMYFUNCTION("""COMPUTED_VALUE"""),"Rotterdam")</f>
        <v>Rotterdam</v>
      </c>
      <c r="K224" s="6" t="str">
        <f>IFERROR(__xludf.DUMMYFUNCTION("""COMPUTED_VALUE"""),"Nederland")</f>
        <v>Nederland</v>
      </c>
      <c r="L224" s="6" t="str">
        <f>IFERROR(__xludf.DUMMYFUNCTION("""COMPUTED_VALUE"""),"Атанасов")</f>
        <v>Атанасов</v>
      </c>
      <c r="M224" s="8">
        <f>IFERROR(__xludf.DUMMYFUNCTION("""COMPUTED_VALUE"""),45839.0)</f>
        <v>45839</v>
      </c>
      <c r="N224" s="6" t="str">
        <f>IFERROR(__xludf.DUMMYFUNCTION("""COMPUTED_VALUE"""),"NL868151786B01")</f>
        <v>NL868151786B01</v>
      </c>
      <c r="O224" s="6">
        <f>IFERROR(__xludf.DUMMYFUNCTION("""COMPUTED_VALUE"""),9.7640085E7)</f>
        <v>97640085</v>
      </c>
      <c r="P224" s="6" t="str">
        <f>IFERROR(__xludf.DUMMYFUNCTION("""COMPUTED_VALUE"""),"NL11INGB0114170665")</f>
        <v>NL11INGB0114170665</v>
      </c>
      <c r="Q224" s="9">
        <f>IFERROR(__xludf.DUMMYFUNCTION("""COMPUTED_VALUE"""),45839.0)</f>
        <v>45839</v>
      </c>
      <c r="R224" s="6"/>
      <c r="S224" s="6" t="str">
        <f>IFERROR(__xludf.DUMMYFUNCTION("""COMPUTED_VALUE"""),"NL868151786B01")</f>
        <v>NL868151786B01</v>
      </c>
      <c r="T224" s="6">
        <f>IFERROR(__xludf.DUMMYFUNCTION("""COMPUTED_VALUE"""),8.68151786E8)</f>
        <v>868151786</v>
      </c>
      <c r="U224" s="7" t="str">
        <f>IFERROR(__xludf.DUMMYFUNCTION("""COMPUTED_VALUE"""),"Vennootschap Onder Firma")</f>
        <v>Vennootschap Onder Firma</v>
      </c>
      <c r="V224" s="7" t="str">
        <f>IFERROR(__xludf.DUMMYFUNCTION("""COMPUTED_VALUE"""),"000062859463")</f>
        <v>000062859463</v>
      </c>
      <c r="W224" s="6" t="str">
        <f>IFERROR(__xludf.DUMMYFUNCTION("""COMPUTED_VALUE"""),"ink.jmsservices.2288aa@zarabota.nl")</f>
        <v>ink.jmsservices.2288aa@zarabota.nl</v>
      </c>
      <c r="X224" s="6" t="str">
        <f>IFERROR(__xludf.DUMMYFUNCTION("""COMPUTED_VALUE"""),"ver.jmsservices.2288aa@zarabota.nl")</f>
        <v>ver.jmsservices.2288aa@zarabota.nl</v>
      </c>
      <c r="Y224" s="6" t="str">
        <f>IFERROR(__xludf.DUMMYFUNCTION("""COMPUTED_VALUE"""),"Hr.")</f>
        <v>Hr.</v>
      </c>
      <c r="Z224" s="6" t="str">
        <f>IFERROR(__xludf.DUMMYFUNCTION("""COMPUTED_VALUE"""),"Milen Aleksiev")</f>
        <v>Milen Aleksiev</v>
      </c>
      <c r="AA224" s="6" t="str">
        <f>IFERROR(__xludf.DUMMYFUNCTION("""COMPUTED_VALUE"""),"Atanasov")</f>
        <v>Atanasov</v>
      </c>
      <c r="AB224" s="6" t="str">
        <f>IFERROR(__xludf.DUMMYFUNCTION("""COMPUTED_VALUE"""),"M.A.")</f>
        <v>M.A.</v>
      </c>
      <c r="AC224" s="6">
        <f>IFERROR(__xludf.DUMMYFUNCTION("""COMPUTED_VALUE"""),4.76774159E8)</f>
        <v>476774159</v>
      </c>
      <c r="AD224" s="9">
        <f>IFERROR(__xludf.DUMMYFUNCTION("""COMPUTED_VALUE"""),32297.0)</f>
        <v>32297</v>
      </c>
      <c r="AE224" s="6" t="str">
        <f>IFERROR(__xludf.DUMMYFUNCTION("""COMPUTED_VALUE"""),"bg")</f>
        <v>bg</v>
      </c>
      <c r="AF224" s="6" t="str">
        <f>IFERROR(__xludf.DUMMYFUNCTION("""COMPUTED_VALUE"""),"Elhovo")</f>
        <v>Elhovo</v>
      </c>
      <c r="AG224" s="6" t="str">
        <f>IFERROR(__xludf.DUMMYFUNCTION("""COMPUTED_VALUE"""),"Hr. M.A. Atanasov")</f>
        <v>Hr. M.A. Atanasov</v>
      </c>
      <c r="AH224" s="6"/>
      <c r="AI224" s="6"/>
      <c r="AJ224" s="6" t="str">
        <f>IFERROR(__xludf.DUMMYFUNCTION("""COMPUTED_VALUE"""),"ID Kaart")</f>
        <v>ID Kaart</v>
      </c>
      <c r="AK224" s="6" t="str">
        <f>IFERROR(__xludf.DUMMYFUNCTION("""COMPUTED_VALUE"""),"AA6724766")</f>
        <v>AA6724766</v>
      </c>
      <c r="AL224" s="9">
        <f>IFERROR(__xludf.DUMMYFUNCTION("""COMPUTED_VALUE"""),49456.0)</f>
        <v>49456</v>
      </c>
      <c r="AM224" s="6" t="str">
        <f>IFERROR(__xludf.DUMMYFUNCTION("""COMPUTED_VALUE"""),"Bulgarije")</f>
        <v>Bulgarije</v>
      </c>
      <c r="AN224" s="6" t="str">
        <f>IFERROR(__xludf.DUMMYFUNCTION("""COMPUTED_VALUE"""),"Milen Aleksiev Atanasov")</f>
        <v>Milen Aleksiev Atanasov</v>
      </c>
      <c r="AO224" s="6">
        <f>IFERROR(__xludf.DUMMYFUNCTION("""COMPUTED_VALUE"""),1735.0)</f>
        <v>1735</v>
      </c>
    </row>
    <row r="225">
      <c r="A225" s="6" t="str">
        <f>IFERROR(__xludf.DUMMYFUNCTION("""COMPUTED_VALUE"""),"Josh Bouwbedrijf")</f>
        <v>Josh Bouwbedrijf</v>
      </c>
      <c r="B225" s="6" t="str">
        <f>IFERROR(__xludf.DUMMYFUNCTION("""COMPUTED_VALUE"""),"Josh Bouwbedrijf")</f>
        <v>Josh Bouwbedrijf</v>
      </c>
      <c r="C225" s="6">
        <f>IFERROR(__xludf.DUMMYFUNCTION("""COMPUTED_VALUE"""),857.0)</f>
        <v>857</v>
      </c>
      <c r="D225" s="7" t="str">
        <f>IFERROR(__xludf.DUMMYFUNCTION("""COMPUTED_VALUE"""),"Dzhoshkun Mahmud Chalak")</f>
        <v>Dzhoshkun Mahmud Chalak</v>
      </c>
      <c r="E225" s="7" t="str">
        <f>IFERROR(__xludf.DUMMYFUNCTION("""COMPUTED_VALUE"""),"SBI-code: 4120 - Algemene burgerlijke en utiliteitsbouw")</f>
        <v>SBI-code: 4120 - Algemene burgerlijke en utiliteitsbouw</v>
      </c>
      <c r="F225" s="7" t="str">
        <f>IFERROR(__xludf.DUMMYFUNCTION("""COMPUTED_VALUE"""),"0639181143")</f>
        <v>0639181143</v>
      </c>
      <c r="G225" s="6" t="str">
        <f>IFERROR(__xludf.DUMMYFUNCTION("""COMPUTED_VALUE"""),"dzhoshkunchalak39@gmail.com")</f>
        <v>dzhoshkunchalak39@gmail.com</v>
      </c>
      <c r="H225" s="6" t="str">
        <f>IFERROR(__xludf.DUMMYFUNCTION("""COMPUTED_VALUE"""),"Goeverneurlaan 225")</f>
        <v>Goeverneurlaan 225</v>
      </c>
      <c r="I225" s="6" t="str">
        <f>IFERROR(__xludf.DUMMYFUNCTION("""COMPUTED_VALUE"""),"2523BE")</f>
        <v>2523BE</v>
      </c>
      <c r="J225" s="6" t="str">
        <f>IFERROR(__xludf.DUMMYFUNCTION("""COMPUTED_VALUE"""),"s-Gravenhage")</f>
        <v>s-Gravenhage</v>
      </c>
      <c r="K225" s="6" t="str">
        <f>IFERROR(__xludf.DUMMYFUNCTION("""COMPUTED_VALUE"""),"Nederland")</f>
        <v>Nederland</v>
      </c>
      <c r="L225" s="6" t="str">
        <f>IFERROR(__xludf.DUMMYFUNCTION("""COMPUTED_VALUE"""),"Чалак")</f>
        <v>Чалак</v>
      </c>
      <c r="M225" s="8">
        <f>IFERROR(__xludf.DUMMYFUNCTION("""COMPUTED_VALUE"""),43739.0)</f>
        <v>43739</v>
      </c>
      <c r="N225" s="6" t="str">
        <f>IFERROR(__xludf.DUMMYFUNCTION("""COMPUTED_VALUE"""),"NL453672929B01")</f>
        <v>NL453672929B01</v>
      </c>
      <c r="O225" s="6">
        <f>IFERROR(__xludf.DUMMYFUNCTION("""COMPUTED_VALUE"""),7.6018776E7)</f>
        <v>76018776</v>
      </c>
      <c r="P225" s="6" t="str">
        <f>IFERROR(__xludf.DUMMYFUNCTION("""COMPUTED_VALUE"""),"NL13INGB0007955532")</f>
        <v>NL13INGB0007955532</v>
      </c>
      <c r="Q225" s="9">
        <f>IFERROR(__xludf.DUMMYFUNCTION("""COMPUTED_VALUE"""),43739.0)</f>
        <v>43739</v>
      </c>
      <c r="R225" s="6"/>
      <c r="S225" s="6" t="str">
        <f>IFERROR(__xludf.DUMMYFUNCTION("""COMPUTED_VALUE"""),"NL003021273B44")</f>
        <v>NL003021273B44</v>
      </c>
      <c r="T225" s="6">
        <f>IFERROR(__xludf.DUMMYFUNCTION("""COMPUTED_VALUE"""),4.53672929E8)</f>
        <v>453672929</v>
      </c>
      <c r="U225" s="7" t="str">
        <f>IFERROR(__xludf.DUMMYFUNCTION("""COMPUTED_VALUE"""),"Eenmanszaak")</f>
        <v>Eenmanszaak</v>
      </c>
      <c r="V225" s="7" t="str">
        <f>IFERROR(__xludf.DUMMYFUNCTION("""COMPUTED_VALUE"""),"000043856012")</f>
        <v>000043856012</v>
      </c>
      <c r="W225" s="6" t="str">
        <f>IFERROR(__xludf.DUMMYFUNCTION("""COMPUTED_VALUE"""),"ink.joshbouwbedrijf.2288aa@zarabota.nl")</f>
        <v>ink.joshbouwbedrijf.2288aa@zarabota.nl</v>
      </c>
      <c r="X225" s="6" t="str">
        <f>IFERROR(__xludf.DUMMYFUNCTION("""COMPUTED_VALUE"""),"ver.joshbouwbedrijf.2288aa@zarabota.nl")</f>
        <v>ver.joshbouwbedrijf.2288aa@zarabota.nl</v>
      </c>
      <c r="Y225" s="6" t="str">
        <f>IFERROR(__xludf.DUMMYFUNCTION("""COMPUTED_VALUE"""),"Hr.")</f>
        <v>Hr.</v>
      </c>
      <c r="Z225" s="6" t="str">
        <f>IFERROR(__xludf.DUMMYFUNCTION("""COMPUTED_VALUE"""),"Dzhoshkun Mahmud")</f>
        <v>Dzhoshkun Mahmud</v>
      </c>
      <c r="AA225" s="6" t="str">
        <f>IFERROR(__xludf.DUMMYFUNCTION("""COMPUTED_VALUE"""),"Chalak")</f>
        <v>Chalak</v>
      </c>
      <c r="AB225" s="6" t="str">
        <f>IFERROR(__xludf.DUMMYFUNCTION("""COMPUTED_VALUE"""),"D.M.")</f>
        <v>D.M.</v>
      </c>
      <c r="AC225" s="6">
        <f>IFERROR(__xludf.DUMMYFUNCTION("""COMPUTED_VALUE"""),4.53672929E8)</f>
        <v>453672929</v>
      </c>
      <c r="AD225" s="9">
        <f>IFERROR(__xludf.DUMMYFUNCTION("""COMPUTED_VALUE"""),32448.0)</f>
        <v>32448</v>
      </c>
      <c r="AE225" s="6" t="str">
        <f>IFERROR(__xludf.DUMMYFUNCTION("""COMPUTED_VALUE"""),"bg")</f>
        <v>bg</v>
      </c>
      <c r="AF225" s="6" t="str">
        <f>IFERROR(__xludf.DUMMYFUNCTION("""COMPUTED_VALUE"""),"Razdrad")</f>
        <v>Razdrad</v>
      </c>
      <c r="AG225" s="6" t="str">
        <f>IFERROR(__xludf.DUMMYFUNCTION("""COMPUTED_VALUE"""),"Hr. D.M. Chalak")</f>
        <v>Hr. D.M. Chalak</v>
      </c>
      <c r="AH225" s="6"/>
      <c r="AI225" s="6"/>
      <c r="AJ225" s="6" t="str">
        <f>IFERROR(__xludf.DUMMYFUNCTION("""COMPUTED_VALUE"""),"ID Kaart")</f>
        <v>ID Kaart</v>
      </c>
      <c r="AK225" s="6">
        <f>IFERROR(__xludf.DUMMYFUNCTION("""COMPUTED_VALUE"""),6.45100333E8)</f>
        <v>645100333</v>
      </c>
      <c r="AL225" s="9">
        <f>IFERROR(__xludf.DUMMYFUNCTION("""COMPUTED_VALUE"""),45385.0)</f>
        <v>45385</v>
      </c>
      <c r="AM225" s="6"/>
      <c r="AN225" s="6" t="str">
        <f>IFERROR(__xludf.DUMMYFUNCTION("""COMPUTED_VALUE"""),"Dzhoshkun Mahmud Chalak")</f>
        <v>Dzhoshkun Mahmud Chalak</v>
      </c>
      <c r="AO225" s="6"/>
    </row>
    <row r="226">
      <c r="A226" s="6" t="str">
        <f>IFERROR(__xludf.DUMMYFUNCTION("""COMPUTED_VALUE"""),"Joste Bouw VOF")</f>
        <v>Joste Bouw VOF</v>
      </c>
      <c r="B226" s="6" t="str">
        <f>IFERROR(__xludf.DUMMYFUNCTION("""COMPUTED_VALUE"""),"Joste Bouw VOF")</f>
        <v>Joste Bouw VOF</v>
      </c>
      <c r="C226" s="6">
        <f>IFERROR(__xludf.DUMMYFUNCTION("""COMPUTED_VALUE"""),1106.0)</f>
        <v>1106</v>
      </c>
      <c r="D226" s="7" t="str">
        <f>IFERROR(__xludf.DUMMYFUNCTION("""COMPUTED_VALUE"""),"Jovche Gulev")</f>
        <v>Jovche Gulev</v>
      </c>
      <c r="E226" s="7" t="str">
        <f>IFERROR(__xludf.DUMMYFUNCTION("""COMPUTED_VALUE"""),"SBI-code: 4120 - Algemene burgerlijke en utiliteitsbouw")</f>
        <v>SBI-code: 4120 - Algemene burgerlijke en utiliteitsbouw</v>
      </c>
      <c r="F226" s="7" t="str">
        <f>IFERROR(__xludf.DUMMYFUNCTION("""COMPUTED_VALUE"""),"0685735382")</f>
        <v>0685735382</v>
      </c>
      <c r="G226" s="6" t="str">
        <f>IFERROR(__xludf.DUMMYFUNCTION("""COMPUTED_VALUE"""),"jovgu130@gmail.com")</f>
        <v>jovgu130@gmail.com</v>
      </c>
      <c r="H226" s="6" t="str">
        <f>IFERROR(__xludf.DUMMYFUNCTION("""COMPUTED_VALUE"""),"Rijswijkseweg 223")</f>
        <v>Rijswijkseweg 223</v>
      </c>
      <c r="I226" s="6" t="str">
        <f>IFERROR(__xludf.DUMMYFUNCTION("""COMPUTED_VALUE"""),"2516HD")</f>
        <v>2516HD</v>
      </c>
      <c r="J226" s="6" t="str">
        <f>IFERROR(__xludf.DUMMYFUNCTION("""COMPUTED_VALUE"""),"s-Gravenhage")</f>
        <v>s-Gravenhage</v>
      </c>
      <c r="K226" s="6" t="str">
        <f>IFERROR(__xludf.DUMMYFUNCTION("""COMPUTED_VALUE"""),"Nederland")</f>
        <v>Nederland</v>
      </c>
      <c r="L226" s="6" t="str">
        <f>IFERROR(__xludf.DUMMYFUNCTION("""COMPUTED_VALUE"""),"Гулев")</f>
        <v>Гулев</v>
      </c>
      <c r="M226" s="8">
        <f>IFERROR(__xludf.DUMMYFUNCTION("""COMPUTED_VALUE"""),44197.0)</f>
        <v>44197</v>
      </c>
      <c r="N226" s="6" t="str">
        <f>IFERROR(__xludf.DUMMYFUNCTION("""COMPUTED_VALUE"""),"NL862502512B01")</f>
        <v>NL862502512B01</v>
      </c>
      <c r="O226" s="6">
        <f>IFERROR(__xludf.DUMMYFUNCTION("""COMPUTED_VALUE"""),8.25183E7)</f>
        <v>82518300</v>
      </c>
      <c r="P226" s="6" t="str">
        <f>IFERROR(__xludf.DUMMYFUNCTION("""COMPUTED_VALUE"""),"NL65INGB0009597970")</f>
        <v>NL65INGB0009597970</v>
      </c>
      <c r="Q226" s="9">
        <f>IFERROR(__xludf.DUMMYFUNCTION("""COMPUTED_VALUE"""),44197.0)</f>
        <v>44197</v>
      </c>
      <c r="R226" s="6"/>
      <c r="S226" s="6" t="str">
        <f>IFERROR(__xludf.DUMMYFUNCTION("""COMPUTED_VALUE"""),"NL862502512B01")</f>
        <v>NL862502512B01</v>
      </c>
      <c r="T226" s="6">
        <f>IFERROR(__xludf.DUMMYFUNCTION("""COMPUTED_VALUE"""),6.04884333E8)</f>
        <v>604884333</v>
      </c>
      <c r="U226" s="7" t="str">
        <f>IFERROR(__xludf.DUMMYFUNCTION("""COMPUTED_VALUE"""),"Vennootschap Onder Firma")</f>
        <v>Vennootschap Onder Firma</v>
      </c>
      <c r="V226" s="7" t="str">
        <f>IFERROR(__xludf.DUMMYFUNCTION("""COMPUTED_VALUE"""),"000046103473")</f>
        <v>000046103473</v>
      </c>
      <c r="W226" s="6" t="str">
        <f>IFERROR(__xludf.DUMMYFUNCTION("""COMPUTED_VALUE"""),"ink.jostebouw.2288aa@zarabota.nl")</f>
        <v>ink.jostebouw.2288aa@zarabota.nl</v>
      </c>
      <c r="X226" s="6" t="str">
        <f>IFERROR(__xludf.DUMMYFUNCTION("""COMPUTED_VALUE"""),"ver.jostebouw.2288aa@zarabota.nl")</f>
        <v>ver.jostebouw.2288aa@zarabota.nl</v>
      </c>
      <c r="Y226" s="6" t="str">
        <f>IFERROR(__xludf.DUMMYFUNCTION("""COMPUTED_VALUE"""),"Hr.")</f>
        <v>Hr.</v>
      </c>
      <c r="Z226" s="6" t="str">
        <f>IFERROR(__xludf.DUMMYFUNCTION("""COMPUTED_VALUE"""),"Jovche")</f>
        <v>Jovche</v>
      </c>
      <c r="AA226" s="6" t="str">
        <f>IFERROR(__xludf.DUMMYFUNCTION("""COMPUTED_VALUE"""),"Gulev")</f>
        <v>Gulev</v>
      </c>
      <c r="AB226" s="6" t="str">
        <f>IFERROR(__xludf.DUMMYFUNCTION("""COMPUTED_VALUE"""),"J.")</f>
        <v>J.</v>
      </c>
      <c r="AC226" s="6">
        <f>IFERROR(__xludf.DUMMYFUNCTION("""COMPUTED_VALUE"""),6.04884333E8)</f>
        <v>604884333</v>
      </c>
      <c r="AD226" s="9">
        <f>IFERROR(__xludf.DUMMYFUNCTION("""COMPUTED_VALUE"""),30028.0)</f>
        <v>30028</v>
      </c>
      <c r="AE226" s="6" t="str">
        <f>IFERROR(__xludf.DUMMYFUNCTION("""COMPUTED_VALUE"""),"bg")</f>
        <v>bg</v>
      </c>
      <c r="AF226" s="6" t="str">
        <f>IFERROR(__xludf.DUMMYFUNCTION("""COMPUTED_VALUE"""),"Skopje")</f>
        <v>Skopje</v>
      </c>
      <c r="AG226" s="6" t="str">
        <f>IFERROR(__xludf.DUMMYFUNCTION("""COMPUTED_VALUE"""),"Hr. J. Gulev")</f>
        <v>Hr. J. Gulev</v>
      </c>
      <c r="AH226" s="6" t="str">
        <f>IFERROR(__xludf.DUMMYFUNCTION("""COMPUTED_VALUE"""),"NL77INGB0799591556")</f>
        <v>NL77INGB0799591556</v>
      </c>
      <c r="AI226" s="6"/>
      <c r="AJ226" s="6" t="str">
        <f>IFERROR(__xludf.DUMMYFUNCTION("""COMPUTED_VALUE"""),"ID Kaart")</f>
        <v>ID Kaart</v>
      </c>
      <c r="AK226" s="6">
        <f>IFERROR(__xludf.DUMMYFUNCTION("""COMPUTED_VALUE"""),6.4358781E8)</f>
        <v>643587810</v>
      </c>
      <c r="AL226" s="9">
        <f>IFERROR(__xludf.DUMMYFUNCTION("""COMPUTED_VALUE"""),44588.0)</f>
        <v>44588</v>
      </c>
      <c r="AM226" s="6" t="str">
        <f>IFERROR(__xludf.DUMMYFUNCTION("""COMPUTED_VALUE"""),"Noord-Macedonië")</f>
        <v>Noord-Macedonië</v>
      </c>
      <c r="AN226" s="6" t="str">
        <f>IFERROR(__xludf.DUMMYFUNCTION("""COMPUTED_VALUE"""),"Jovche Gulev")</f>
        <v>Jovche Gulev</v>
      </c>
      <c r="AO226" s="6">
        <f>IFERROR(__xludf.DUMMYFUNCTION("""COMPUTED_VALUE"""),1106.0)</f>
        <v>1106</v>
      </c>
    </row>
    <row r="227">
      <c r="A227" s="6" t="str">
        <f>IFERROR(__xludf.DUMMYFUNCTION("""COMPUTED_VALUE"""),"K&amp;S Uitzendbureau B.V.")</f>
        <v>K&amp;S Uitzendbureau B.V.</v>
      </c>
      <c r="B227" s="6" t="str">
        <f>IFERROR(__xludf.DUMMYFUNCTION("""COMPUTED_VALUE"""),"K&amp;S Uitzendbureau B.V.")</f>
        <v>K&amp;S Uitzendbureau B.V.</v>
      </c>
      <c r="C227" s="6">
        <f>IFERROR(__xludf.DUMMYFUNCTION("""COMPUTED_VALUE"""),643.0)</f>
        <v>643</v>
      </c>
      <c r="D227" s="7" t="str">
        <f>IFERROR(__xludf.DUMMYFUNCTION("""COMPUTED_VALUE"""),"Kiril Georgiev Mitev")</f>
        <v>Kiril Georgiev Mitev</v>
      </c>
      <c r="E227" s="7" t="str">
        <f>IFERROR(__xludf.DUMMYFUNCTION("""COMPUTED_VALUE"""),"SBI-code: 4120 - Algemene burgerlijke en utiliteitsbouw")</f>
        <v>SBI-code: 4120 - Algemene burgerlijke en utiliteitsbouw</v>
      </c>
      <c r="F227" s="7" t="str">
        <f>IFERROR(__xludf.DUMMYFUNCTION("""COMPUTED_VALUE"""),"0652028800")</f>
        <v>0652028800</v>
      </c>
      <c r="G227" s="6" t="str">
        <f>IFERROR(__xludf.DUMMYFUNCTION("""COMPUTED_VALUE"""),"k.d.mitevbouw@gmail.com")</f>
        <v>k.d.mitevbouw@gmail.com</v>
      </c>
      <c r="H227" s="6" t="str">
        <f>IFERROR(__xludf.DUMMYFUNCTION("""COMPUTED_VALUE"""),"Antheunisstraat 60")</f>
        <v>Antheunisstraat 60</v>
      </c>
      <c r="I227" s="6" t="str">
        <f>IFERROR(__xludf.DUMMYFUNCTION("""COMPUTED_VALUE"""),"2522 ZG")</f>
        <v>2522 ZG</v>
      </c>
      <c r="J227" s="6" t="str">
        <f>IFERROR(__xludf.DUMMYFUNCTION("""COMPUTED_VALUE"""),"Den Haag")</f>
        <v>Den Haag</v>
      </c>
      <c r="K227" s="6" t="str">
        <f>IFERROR(__xludf.DUMMYFUNCTION("""COMPUTED_VALUE"""),"Nederland")</f>
        <v>Nederland</v>
      </c>
      <c r="L227" s="6" t="str">
        <f>IFERROR(__xludf.DUMMYFUNCTION("""COMPUTED_VALUE"""),"Митев")</f>
        <v>Митев</v>
      </c>
      <c r="M227" s="8">
        <f>IFERROR(__xludf.DUMMYFUNCTION("""COMPUTED_VALUE"""),43367.0)</f>
        <v>43367</v>
      </c>
      <c r="N227" s="6" t="str">
        <f>IFERROR(__xludf.DUMMYFUNCTION("""COMPUTED_VALUE"""),"NL859189752B01")</f>
        <v>NL859189752B01</v>
      </c>
      <c r="O227" s="6">
        <f>IFERROR(__xludf.DUMMYFUNCTION("""COMPUTED_VALUE"""),7.266608E7)</f>
        <v>72666080</v>
      </c>
      <c r="P227" s="6" t="str">
        <f>IFERROR(__xludf.DUMMYFUNCTION("""COMPUTED_VALUE"""),"NL")</f>
        <v>NL</v>
      </c>
      <c r="Q227" s="9">
        <f>IFERROR(__xludf.DUMMYFUNCTION("""COMPUTED_VALUE"""),43367.0)</f>
        <v>43367</v>
      </c>
      <c r="R227" s="6"/>
      <c r="S227" s="6" t="str">
        <f>IFERROR(__xludf.DUMMYFUNCTION("""COMPUTED_VALUE"""),"NL859189752B01")</f>
        <v>NL859189752B01</v>
      </c>
      <c r="T227" s="6">
        <f>IFERROR(__xludf.DUMMYFUNCTION("""COMPUTED_VALUE"""),8.59189752E8)</f>
        <v>859189752</v>
      </c>
      <c r="U227" s="7" t="str">
        <f>IFERROR(__xludf.DUMMYFUNCTION("""COMPUTED_VALUE"""),"Besloten Vennootschap")</f>
        <v>Besloten Vennootschap</v>
      </c>
      <c r="V227" s="7" t="str">
        <f>IFERROR(__xludf.DUMMYFUNCTION("""COMPUTED_VALUE"""),"000040763307")</f>
        <v>000040763307</v>
      </c>
      <c r="W227" s="6" t="str">
        <f>IFERROR(__xludf.DUMMYFUNCTION("""COMPUTED_VALUE"""),"ink.kensuitzendbureaubv.2288aa@zarabota.nl")</f>
        <v>ink.kensuitzendbureaubv.2288aa@zarabota.nl</v>
      </c>
      <c r="X227" s="6" t="str">
        <f>IFERROR(__xludf.DUMMYFUNCTION("""COMPUTED_VALUE"""),"ver.kensuitzendbureaubv.2288aa@zarabota.nl")</f>
        <v>ver.kensuitzendbureaubv.2288aa@zarabota.nl</v>
      </c>
      <c r="Y227" s="6" t="str">
        <f>IFERROR(__xludf.DUMMYFUNCTION("""COMPUTED_VALUE"""),"Hr.")</f>
        <v>Hr.</v>
      </c>
      <c r="Z227" s="6" t="str">
        <f>IFERROR(__xludf.DUMMYFUNCTION("""COMPUTED_VALUE"""),"Kiril Georgiev")</f>
        <v>Kiril Georgiev</v>
      </c>
      <c r="AA227" s="6" t="str">
        <f>IFERROR(__xludf.DUMMYFUNCTION("""COMPUTED_VALUE"""),"Mitev")</f>
        <v>Mitev</v>
      </c>
      <c r="AB227" s="6" t="str">
        <f>IFERROR(__xludf.DUMMYFUNCTION("""COMPUTED_VALUE"""),"K.G.")</f>
        <v>K.G.</v>
      </c>
      <c r="AC227" s="6">
        <f>IFERROR(__xludf.DUMMYFUNCTION("""COMPUTED_VALUE"""),3.0682414E8)</f>
        <v>306824140</v>
      </c>
      <c r="AD227" s="9">
        <f>IFERROR(__xludf.DUMMYFUNCTION("""COMPUTED_VALUE"""),29507.0)</f>
        <v>29507</v>
      </c>
      <c r="AE227" s="6" t="str">
        <f>IFERROR(__xludf.DUMMYFUNCTION("""COMPUTED_VALUE"""),"bg")</f>
        <v>bg</v>
      </c>
      <c r="AF227" s="6" t="str">
        <f>IFERROR(__xludf.DUMMYFUNCTION("""COMPUTED_VALUE"""),"Harmanli")</f>
        <v>Harmanli</v>
      </c>
      <c r="AG227" s="6" t="str">
        <f>IFERROR(__xludf.DUMMYFUNCTION("""COMPUTED_VALUE"""),"Hr. K.G. Mitev")</f>
        <v>Hr. K.G. Mitev</v>
      </c>
      <c r="AH227" s="6" t="str">
        <f>IFERROR(__xludf.DUMMYFUNCTION("""COMPUTED_VALUE"""),"NL26INGB0758067453")</f>
        <v>NL26INGB0758067453</v>
      </c>
      <c r="AI227" s="6"/>
      <c r="AJ227" s="6" t="str">
        <f>IFERROR(__xludf.DUMMYFUNCTION("""COMPUTED_VALUE"""),"ID Kaart")</f>
        <v>ID Kaart</v>
      </c>
      <c r="AK227" s="6">
        <f>IFERROR(__xludf.DUMMYFUNCTION("""COMPUTED_VALUE"""),6.50741403E8)</f>
        <v>650741403</v>
      </c>
      <c r="AL227" s="9">
        <f>IFERROR(__xludf.DUMMYFUNCTION("""COMPUTED_VALUE"""),48064.0)</f>
        <v>48064</v>
      </c>
      <c r="AM227" s="6" t="str">
        <f>IFERROR(__xludf.DUMMYFUNCTION("""COMPUTED_VALUE"""),"Bulgarije")</f>
        <v>Bulgarije</v>
      </c>
      <c r="AN227" s="6" t="str">
        <f>IFERROR(__xludf.DUMMYFUNCTION("""COMPUTED_VALUE"""),"Kiril Georgiev Mitev")</f>
        <v>Kiril Georgiev Mitev</v>
      </c>
      <c r="AO227" s="6"/>
    </row>
    <row r="228">
      <c r="A228" s="6" t="str">
        <f>IFERROR(__xludf.DUMMYFUNCTION("""COMPUTED_VALUE"""),"K.P. Install")</f>
        <v>K.P. Install</v>
      </c>
      <c r="B228" s="6" t="str">
        <f>IFERROR(__xludf.DUMMYFUNCTION("""COMPUTED_VALUE"""),"K.P. Install")</f>
        <v>K.P. Install</v>
      </c>
      <c r="C228" s="6">
        <f>IFERROR(__xludf.DUMMYFUNCTION("""COMPUTED_VALUE"""),1324.0)</f>
        <v>1324</v>
      </c>
      <c r="D228" s="7" t="str">
        <f>IFERROR(__xludf.DUMMYFUNCTION("""COMPUTED_VALUE"""),"David Karypidis")</f>
        <v>David Karypidis</v>
      </c>
      <c r="E228" s="7" t="str">
        <f>IFERROR(__xludf.DUMMYFUNCTION("""COMPUTED_VALUE"""),"SBI-code: 4222 - Leggen van elektriciteits- en telecommunicatiekabels")</f>
        <v>SBI-code: 4222 - Leggen van elektriciteits- en telecommunicatiekabels</v>
      </c>
      <c r="F228" s="7" t="str">
        <f>IFERROR(__xludf.DUMMYFUNCTION("""COMPUTED_VALUE"""),"0643146357")</f>
        <v>0643146357</v>
      </c>
      <c r="G228" s="6" t="str">
        <f>IFERROR(__xludf.DUMMYFUNCTION("""COMPUTED_VALUE"""),"davidkarypidis920@gmail.com")</f>
        <v>davidkarypidis920@gmail.com</v>
      </c>
      <c r="H228" s="6" t="str">
        <f>IFERROR(__xludf.DUMMYFUNCTION("""COMPUTED_VALUE"""),"Onder de Boompjes 81")</f>
        <v>Onder de Boompjes 81</v>
      </c>
      <c r="I228" s="6" t="str">
        <f>IFERROR(__xludf.DUMMYFUNCTION("""COMPUTED_VALUE"""),"2802AS")</f>
        <v>2802AS</v>
      </c>
      <c r="J228" s="6" t="str">
        <f>IFERROR(__xludf.DUMMYFUNCTION("""COMPUTED_VALUE"""),"Gouda")</f>
        <v>Gouda</v>
      </c>
      <c r="K228" s="6" t="str">
        <f>IFERROR(__xludf.DUMMYFUNCTION("""COMPUTED_VALUE"""),"Nederland")</f>
        <v>Nederland</v>
      </c>
      <c r="L228" s="6" t="str">
        <f>IFERROR(__xludf.DUMMYFUNCTION("""COMPUTED_VALUE"""),"Карипидис")</f>
        <v>Карипидис</v>
      </c>
      <c r="M228" s="8">
        <f>IFERROR(__xludf.DUMMYFUNCTION("""COMPUTED_VALUE"""),44563.0)</f>
        <v>44563</v>
      </c>
      <c r="N228" s="6" t="str">
        <f>IFERROR(__xludf.DUMMYFUNCTION("""COMPUTED_VALUE"""),"NL545480206B01")</f>
        <v>NL545480206B01</v>
      </c>
      <c r="O228" s="6">
        <f>IFERROR(__xludf.DUMMYFUNCTION("""COMPUTED_VALUE"""),8.4933321E7)</f>
        <v>84933321</v>
      </c>
      <c r="P228" s="6" t="str">
        <f>IFERROR(__xludf.DUMMYFUNCTION("""COMPUTED_VALUE"""),"NL78INGB0675187389")</f>
        <v>NL78INGB0675187389</v>
      </c>
      <c r="Q228" s="9">
        <f>IFERROR(__xludf.DUMMYFUNCTION("""COMPUTED_VALUE"""),44563.0)</f>
        <v>44563</v>
      </c>
      <c r="R228" s="6"/>
      <c r="S228" s="6" t="str">
        <f>IFERROR(__xludf.DUMMYFUNCTION("""COMPUTED_VALUE"""),"NL004034062B33")</f>
        <v>NL004034062B33</v>
      </c>
      <c r="T228" s="6">
        <f>IFERROR(__xludf.DUMMYFUNCTION("""COMPUTED_VALUE"""),5.45480206E8)</f>
        <v>545480206</v>
      </c>
      <c r="U228" s="7" t="str">
        <f>IFERROR(__xludf.DUMMYFUNCTION("""COMPUTED_VALUE"""),"Eenmanszaak")</f>
        <v>Eenmanszaak</v>
      </c>
      <c r="V228" s="7" t="str">
        <f>IFERROR(__xludf.DUMMYFUNCTION("""COMPUTED_VALUE"""),"000051019558")</f>
        <v>000051019558</v>
      </c>
      <c r="W228" s="6" t="str">
        <f>IFERROR(__xludf.DUMMYFUNCTION("""COMPUTED_VALUE"""),"ink.kpinstall.2288aa@zarabota.nl")</f>
        <v>ink.kpinstall.2288aa@zarabota.nl</v>
      </c>
      <c r="X228" s="6" t="str">
        <f>IFERROR(__xludf.DUMMYFUNCTION("""COMPUTED_VALUE"""),"ver.kpinstall.2288aa@zarabota.nl")</f>
        <v>ver.kpinstall.2288aa@zarabota.nl</v>
      </c>
      <c r="Y228" s="6" t="str">
        <f>IFERROR(__xludf.DUMMYFUNCTION("""COMPUTED_VALUE"""),"Hr.")</f>
        <v>Hr.</v>
      </c>
      <c r="Z228" s="6" t="str">
        <f>IFERROR(__xludf.DUMMYFUNCTION("""COMPUTED_VALUE"""),"David")</f>
        <v>David</v>
      </c>
      <c r="AA228" s="6" t="str">
        <f>IFERROR(__xludf.DUMMYFUNCTION("""COMPUTED_VALUE"""),"Karypidis")</f>
        <v>Karypidis</v>
      </c>
      <c r="AB228" s="6" t="str">
        <f>IFERROR(__xludf.DUMMYFUNCTION("""COMPUTED_VALUE"""),"D.")</f>
        <v>D.</v>
      </c>
      <c r="AC228" s="6">
        <f>IFERROR(__xludf.DUMMYFUNCTION("""COMPUTED_VALUE"""),5.45480206E8)</f>
        <v>545480206</v>
      </c>
      <c r="AD228" s="9">
        <f>IFERROR(__xludf.DUMMYFUNCTION("""COMPUTED_VALUE"""),32375.0)</f>
        <v>32375</v>
      </c>
      <c r="AE228" s="6" t="str">
        <f>IFERROR(__xludf.DUMMYFUNCTION("""COMPUTED_VALUE"""),"bg")</f>
        <v>bg</v>
      </c>
      <c r="AF228" s="6" t="str">
        <f>IFERROR(__xludf.DUMMYFUNCTION("""COMPUTED_VALUE"""),"Tbilisi")</f>
        <v>Tbilisi</v>
      </c>
      <c r="AG228" s="6" t="str">
        <f>IFERROR(__xludf.DUMMYFUNCTION("""COMPUTED_VALUE"""),"Hr. D. Karypidis")</f>
        <v>Hr. D. Karypidis</v>
      </c>
      <c r="AH228" s="6"/>
      <c r="AI228" s="6"/>
      <c r="AJ228" s="6" t="str">
        <f>IFERROR(__xludf.DUMMYFUNCTION("""COMPUTED_VALUE"""),"Paspoort")</f>
        <v>Paspoort</v>
      </c>
      <c r="AK228" s="6" t="str">
        <f>IFERROR(__xludf.DUMMYFUNCTION("""COMPUTED_VALUE"""),"AP2114952")</f>
        <v>AP2114952</v>
      </c>
      <c r="AL228" s="9">
        <f>IFERROR(__xludf.DUMMYFUNCTION("""COMPUTED_VALUE"""),45154.0)</f>
        <v>45154</v>
      </c>
      <c r="AM228" s="6" t="str">
        <f>IFERROR(__xludf.DUMMYFUNCTION("""COMPUTED_VALUE"""),"Sovjet-Unie")</f>
        <v>Sovjet-Unie</v>
      </c>
      <c r="AN228" s="6" t="str">
        <f>IFERROR(__xludf.DUMMYFUNCTION("""COMPUTED_VALUE"""),"David Karypidis")</f>
        <v>David Karypidis</v>
      </c>
      <c r="AO228" s="6">
        <f>IFERROR(__xludf.DUMMYFUNCTION("""COMPUTED_VALUE"""),1324.0)</f>
        <v>1324</v>
      </c>
    </row>
    <row r="229">
      <c r="A229" s="6" t="str">
        <f>IFERROR(__xludf.DUMMYFUNCTION("""COMPUTED_VALUE"""),"Kajen Onderhoudsbedrijf")</f>
        <v>Kajen Onderhoudsbedrijf</v>
      </c>
      <c r="B229" s="6" t="str">
        <f>IFERROR(__xludf.DUMMYFUNCTION("""COMPUTED_VALUE"""),"Kajen Onderhoudsbedrijf")</f>
        <v>Kajen Onderhoudsbedrijf</v>
      </c>
      <c r="C229" s="6">
        <f>IFERROR(__xludf.DUMMYFUNCTION("""COMPUTED_VALUE"""),74.0)</f>
        <v>74</v>
      </c>
      <c r="D229" s="7" t="str">
        <f>IFERROR(__xludf.DUMMYFUNCTION("""COMPUTED_VALUE"""),"Erol Zyulkyar Hasan")</f>
        <v>Erol Zyulkyar Hasan</v>
      </c>
      <c r="E229" s="7" t="str">
        <f>IFERROR(__xludf.DUMMYFUNCTION("""COMPUTED_VALUE"""),"SBI-code: 4120 - Algemene burgerlijke en utiliteitsbouw")</f>
        <v>SBI-code: 4120 - Algemene burgerlijke en utiliteitsbouw</v>
      </c>
      <c r="F229" s="7" t="str">
        <f>IFERROR(__xludf.DUMMYFUNCTION("""COMPUTED_VALUE"""),"0624292595")</f>
        <v>0624292595</v>
      </c>
      <c r="G229" s="6" t="str">
        <f>IFERROR(__xludf.DUMMYFUNCTION("""COMPUTED_VALUE"""),"feyses@hotmail.com")</f>
        <v>feyses@hotmail.com</v>
      </c>
      <c r="H229" s="6" t="str">
        <f>IFERROR(__xludf.DUMMYFUNCTION("""COMPUTED_VALUE"""),"Voorzoom 10")</f>
        <v>Voorzoom 10</v>
      </c>
      <c r="I229" s="6" t="str">
        <f>IFERROR(__xludf.DUMMYFUNCTION("""COMPUTED_VALUE"""),"2291MV")</f>
        <v>2291MV</v>
      </c>
      <c r="J229" s="6" t="str">
        <f>IFERROR(__xludf.DUMMYFUNCTION("""COMPUTED_VALUE"""),"Wateringen")</f>
        <v>Wateringen</v>
      </c>
      <c r="K229" s="6" t="str">
        <f>IFERROR(__xludf.DUMMYFUNCTION("""COMPUTED_VALUE"""),"Nederland")</f>
        <v>Nederland</v>
      </c>
      <c r="L229" s="6" t="str">
        <f>IFERROR(__xludf.DUMMYFUNCTION("""COMPUTED_VALUE"""),"Хасан")</f>
        <v>Хасан</v>
      </c>
      <c r="M229" s="8">
        <f>IFERROR(__xludf.DUMMYFUNCTION("""COMPUTED_VALUE"""),41275.0)</f>
        <v>41275</v>
      </c>
      <c r="N229" s="6" t="str">
        <f>IFERROR(__xludf.DUMMYFUNCTION("""COMPUTED_VALUE"""),"NL264158362B01")</f>
        <v>NL264158362B01</v>
      </c>
      <c r="O229" s="6">
        <f>IFERROR(__xludf.DUMMYFUNCTION("""COMPUTED_VALUE"""),2.7299335E7)</f>
        <v>27299335</v>
      </c>
      <c r="P229" s="6" t="str">
        <f>IFERROR(__xludf.DUMMYFUNCTION("""COMPUTED_VALUE"""),"NL39ABNA0412964651")</f>
        <v>NL39ABNA0412964651</v>
      </c>
      <c r="Q229" s="9">
        <f>IFERROR(__xludf.DUMMYFUNCTION("""COMPUTED_VALUE"""),39175.0)</f>
        <v>39175</v>
      </c>
      <c r="R229" s="6"/>
      <c r="S229" s="6" t="str">
        <f>IFERROR(__xludf.DUMMYFUNCTION("""COMPUTED_VALUE"""),"NL002455247B32")</f>
        <v>NL002455247B32</v>
      </c>
      <c r="T229" s="6">
        <f>IFERROR(__xludf.DUMMYFUNCTION("""COMPUTED_VALUE"""),2.64158362E8)</f>
        <v>264158362</v>
      </c>
      <c r="U229" s="7" t="str">
        <f>IFERROR(__xludf.DUMMYFUNCTION("""COMPUTED_VALUE"""),"Eenmanszaak")</f>
        <v>Eenmanszaak</v>
      </c>
      <c r="V229" s="7" t="str">
        <f>IFERROR(__xludf.DUMMYFUNCTION("""COMPUTED_VALUE"""),"000002976943")</f>
        <v>000002976943</v>
      </c>
      <c r="W229" s="6" t="str">
        <f>IFERROR(__xludf.DUMMYFUNCTION("""COMPUTED_VALUE"""),"ink.kajenonderhoudsbedrijf.2288aa@zarabota.nl")</f>
        <v>ink.kajenonderhoudsbedrijf.2288aa@zarabota.nl</v>
      </c>
      <c r="X229" s="6" t="str">
        <f>IFERROR(__xludf.DUMMYFUNCTION("""COMPUTED_VALUE"""),"ver.kajenonderhoudsbedrijf.2288aa@zarabota.nl")</f>
        <v>ver.kajenonderhoudsbedrijf.2288aa@zarabota.nl</v>
      </c>
      <c r="Y229" s="6" t="str">
        <f>IFERROR(__xludf.DUMMYFUNCTION("""COMPUTED_VALUE"""),"Hr.")</f>
        <v>Hr.</v>
      </c>
      <c r="Z229" s="6" t="str">
        <f>IFERROR(__xludf.DUMMYFUNCTION("""COMPUTED_VALUE"""),"Erol Zyulkyar")</f>
        <v>Erol Zyulkyar</v>
      </c>
      <c r="AA229" s="6" t="str">
        <f>IFERROR(__xludf.DUMMYFUNCTION("""COMPUTED_VALUE"""),"Hasan")</f>
        <v>Hasan</v>
      </c>
      <c r="AB229" s="6" t="str">
        <f>IFERROR(__xludf.DUMMYFUNCTION("""COMPUTED_VALUE"""),"E.Z.")</f>
        <v>E.Z.</v>
      </c>
      <c r="AC229" s="6">
        <f>IFERROR(__xludf.DUMMYFUNCTION("""COMPUTED_VALUE"""),2.64158362E8)</f>
        <v>264158362</v>
      </c>
      <c r="AD229" s="9">
        <f>IFERROR(__xludf.DUMMYFUNCTION("""COMPUTED_VALUE"""),28230.0)</f>
        <v>28230</v>
      </c>
      <c r="AE229" s="6" t="str">
        <f>IFERROR(__xludf.DUMMYFUNCTION("""COMPUTED_VALUE"""),"bg")</f>
        <v>bg</v>
      </c>
      <c r="AF229" s="6" t="str">
        <f>IFERROR(__xludf.DUMMYFUNCTION("""COMPUTED_VALUE"""),"Momchilgrad")</f>
        <v>Momchilgrad</v>
      </c>
      <c r="AG229" s="6" t="str">
        <f>IFERROR(__xludf.DUMMYFUNCTION("""COMPUTED_VALUE"""),"Hr. E.Z. Hasan")</f>
        <v>Hr. E.Z. Hasan</v>
      </c>
      <c r="AH229" s="6" t="str">
        <f>IFERROR(__xludf.DUMMYFUNCTION("""COMPUTED_VALUE"""),"NL55ABNA0412567148")</f>
        <v>NL55ABNA0412567148</v>
      </c>
      <c r="AI229" s="6"/>
      <c r="AJ229" s="6" t="str">
        <f>IFERROR(__xludf.DUMMYFUNCTION("""COMPUTED_VALUE"""),"ID Kaart")</f>
        <v>ID Kaart</v>
      </c>
      <c r="AK229" s="6">
        <f>IFERROR(__xludf.DUMMYFUNCTION("""COMPUTED_VALUE"""),6.40823888E8)</f>
        <v>640823888</v>
      </c>
      <c r="AL229" s="9">
        <f>IFERROR(__xludf.DUMMYFUNCTION("""COMPUTED_VALUE"""),44046.0)</f>
        <v>44046</v>
      </c>
      <c r="AM229" s="6"/>
      <c r="AN229" s="6" t="str">
        <f>IFERROR(__xludf.DUMMYFUNCTION("""COMPUTED_VALUE"""),"Erol Zyulkyar Hasan")</f>
        <v>Erol Zyulkyar Hasan</v>
      </c>
      <c r="AO229" s="6"/>
    </row>
    <row r="230">
      <c r="A230" s="6" t="str">
        <f>IFERROR(__xludf.DUMMYFUNCTION("""COMPUTED_VALUE"""),"Kala 21")</f>
        <v>Kala 21</v>
      </c>
      <c r="B230" s="6" t="str">
        <f>IFERROR(__xludf.DUMMYFUNCTION("""COMPUTED_VALUE"""),"Kala 21")</f>
        <v>Kala 21</v>
      </c>
      <c r="C230" s="6">
        <f>IFERROR(__xludf.DUMMYFUNCTION("""COMPUTED_VALUE"""),1504.0)</f>
        <v>1504</v>
      </c>
      <c r="D230" s="7" t="str">
        <f>IFERROR(__xludf.DUMMYFUNCTION("""COMPUTED_VALUE"""),"Todor Marinov Todorov")</f>
        <v>Todor Marinov Todorov</v>
      </c>
      <c r="E230" s="7" t="str">
        <f>IFERROR(__xludf.DUMMYFUNCTION("""COMPUTED_VALUE"""),"SBI-code: 4120 - Algemene burgerlijke en utiliteitsbouw")</f>
        <v>SBI-code: 4120 - Algemene burgerlijke en utiliteitsbouw</v>
      </c>
      <c r="F230" s="7" t="str">
        <f>IFERROR(__xludf.DUMMYFUNCTION("""COMPUTED_VALUE"""),"0619909025")</f>
        <v>0619909025</v>
      </c>
      <c r="G230" s="6" t="str">
        <f>IFERROR(__xludf.DUMMYFUNCTION("""COMPUTED_VALUE"""),"todorosoner@gmail.com")</f>
        <v>todorosoner@gmail.com</v>
      </c>
      <c r="H230" s="6" t="str">
        <f>IFERROR(__xludf.DUMMYFUNCTION("""COMPUTED_VALUE"""),"Junostraat 67")</f>
        <v>Junostraat 67</v>
      </c>
      <c r="I230" s="6" t="str">
        <f>IFERROR(__xludf.DUMMYFUNCTION("""COMPUTED_VALUE"""),"2516BR")</f>
        <v>2516BR</v>
      </c>
      <c r="J230" s="6" t="str">
        <f>IFERROR(__xludf.DUMMYFUNCTION("""COMPUTED_VALUE"""),"s-Gravenhage")</f>
        <v>s-Gravenhage</v>
      </c>
      <c r="K230" s="6" t="str">
        <f>IFERROR(__xludf.DUMMYFUNCTION("""COMPUTED_VALUE"""),"Nederland")</f>
        <v>Nederland</v>
      </c>
      <c r="L230" s="6" t="str">
        <f>IFERROR(__xludf.DUMMYFUNCTION("""COMPUTED_VALUE"""),"Тодоров")</f>
        <v>Тодоров</v>
      </c>
      <c r="M230" s="8">
        <f>IFERROR(__xludf.DUMMYFUNCTION("""COMPUTED_VALUE"""),45047.0)</f>
        <v>45047</v>
      </c>
      <c r="N230" s="6" t="str">
        <f>IFERROR(__xludf.DUMMYFUNCTION("""COMPUTED_VALUE"""),"NL411263754B01")</f>
        <v>NL411263754B01</v>
      </c>
      <c r="O230" s="6">
        <f>IFERROR(__xludf.DUMMYFUNCTION("""COMPUTED_VALUE"""),9.0273028E7)</f>
        <v>90273028</v>
      </c>
      <c r="P230" s="6" t="str">
        <f>IFERROR(__xludf.DUMMYFUNCTION("""COMPUTED_VALUE"""),"NL40INGB0100428444")</f>
        <v>NL40INGB0100428444</v>
      </c>
      <c r="Q230" s="9">
        <f>IFERROR(__xludf.DUMMYFUNCTION("""COMPUTED_VALUE"""),45047.0)</f>
        <v>45047</v>
      </c>
      <c r="R230" s="6"/>
      <c r="S230" s="6" t="str">
        <f>IFERROR(__xludf.DUMMYFUNCTION("""COMPUTED_VALUE"""),"NL004802771B80")</f>
        <v>NL004802771B80</v>
      </c>
      <c r="T230" s="6">
        <f>IFERROR(__xludf.DUMMYFUNCTION("""COMPUTED_VALUE"""),4.11263754E8)</f>
        <v>411263754</v>
      </c>
      <c r="U230" s="7" t="str">
        <f>IFERROR(__xludf.DUMMYFUNCTION("""COMPUTED_VALUE"""),"Eenmanszaak")</f>
        <v>Eenmanszaak</v>
      </c>
      <c r="V230" s="7" t="str">
        <f>IFERROR(__xludf.DUMMYFUNCTION("""COMPUTED_VALUE"""),"000056012969")</f>
        <v>000056012969</v>
      </c>
      <c r="W230" s="6" t="str">
        <f>IFERROR(__xludf.DUMMYFUNCTION("""COMPUTED_VALUE"""),"ink.kala21.2288aa@zarabota.nl")</f>
        <v>ink.kala21.2288aa@zarabota.nl</v>
      </c>
      <c r="X230" s="6" t="str">
        <f>IFERROR(__xludf.DUMMYFUNCTION("""COMPUTED_VALUE"""),"ver.kala21.2288aa@zarabota.nl")</f>
        <v>ver.kala21.2288aa@zarabota.nl</v>
      </c>
      <c r="Y230" s="6" t="str">
        <f>IFERROR(__xludf.DUMMYFUNCTION("""COMPUTED_VALUE"""),"Hr.")</f>
        <v>Hr.</v>
      </c>
      <c r="Z230" s="6" t="str">
        <f>IFERROR(__xludf.DUMMYFUNCTION("""COMPUTED_VALUE"""),"Todor Marinov")</f>
        <v>Todor Marinov</v>
      </c>
      <c r="AA230" s="6" t="str">
        <f>IFERROR(__xludf.DUMMYFUNCTION("""COMPUTED_VALUE"""),"Todorov")</f>
        <v>Todorov</v>
      </c>
      <c r="AB230" s="6" t="str">
        <f>IFERROR(__xludf.DUMMYFUNCTION("""COMPUTED_VALUE"""),"T.M.")</f>
        <v>T.M.</v>
      </c>
      <c r="AC230" s="6">
        <f>IFERROR(__xludf.DUMMYFUNCTION("""COMPUTED_VALUE"""),4.11263754E8)</f>
        <v>411263754</v>
      </c>
      <c r="AD230" s="9">
        <f>IFERROR(__xludf.DUMMYFUNCTION("""COMPUTED_VALUE"""),27227.0)</f>
        <v>27227</v>
      </c>
      <c r="AE230" s="6" t="str">
        <f>IFERROR(__xludf.DUMMYFUNCTION("""COMPUTED_VALUE"""),"bg")</f>
        <v>bg</v>
      </c>
      <c r="AF230" s="6" t="str">
        <f>IFERROR(__xludf.DUMMYFUNCTION("""COMPUTED_VALUE"""),"Stara Zagora")</f>
        <v>Stara Zagora</v>
      </c>
      <c r="AG230" s="6" t="str">
        <f>IFERROR(__xludf.DUMMYFUNCTION("""COMPUTED_VALUE"""),"Hr. T.M. Todorov")</f>
        <v>Hr. T.M. Todorov</v>
      </c>
      <c r="AH230" s="6"/>
      <c r="AI230" s="6"/>
      <c r="AJ230" s="6" t="str">
        <f>IFERROR(__xludf.DUMMYFUNCTION("""COMPUTED_VALUE"""),"ID Kaart")</f>
        <v>ID Kaart</v>
      </c>
      <c r="AK230" s="6">
        <f>IFERROR(__xludf.DUMMYFUNCTION("""COMPUTED_VALUE"""),6.40572921E8)</f>
        <v>640572921</v>
      </c>
      <c r="AL230" s="9">
        <f>IFERROR(__xludf.DUMMYFUNCTION("""COMPUTED_VALUE"""),44041.0)</f>
        <v>44041</v>
      </c>
      <c r="AM230" s="6" t="str">
        <f>IFERROR(__xludf.DUMMYFUNCTION("""COMPUTED_VALUE"""),"Bulgarije")</f>
        <v>Bulgarije</v>
      </c>
      <c r="AN230" s="6" t="str">
        <f>IFERROR(__xludf.DUMMYFUNCTION("""COMPUTED_VALUE"""),"Todor Marinov Todorov")</f>
        <v>Todor Marinov Todorov</v>
      </c>
      <c r="AO230" s="6">
        <f>IFERROR(__xludf.DUMMYFUNCTION("""COMPUTED_VALUE"""),1504.0)</f>
        <v>1504</v>
      </c>
    </row>
    <row r="231">
      <c r="A231" s="6" t="str">
        <f>IFERROR(__xludf.DUMMYFUNCTION("""COMPUTED_VALUE"""),"Kalendzhi Bouwbedrijf VOF")</f>
        <v>Kalendzhi Bouwbedrijf VOF</v>
      </c>
      <c r="B231" s="6" t="str">
        <f>IFERROR(__xludf.DUMMYFUNCTION("""COMPUTED_VALUE"""),"Kalendzhi Bouwbedrijf VOF")</f>
        <v>Kalendzhi Bouwbedrijf VOF</v>
      </c>
      <c r="C231" s="6">
        <f>IFERROR(__xludf.DUMMYFUNCTION("""COMPUTED_VALUE"""),1652.0)</f>
        <v>1652</v>
      </c>
      <c r="D231" s="7" t="str">
        <f>IFERROR(__xludf.DUMMYFUNCTION("""COMPUTED_VALUE"""),"Nazif Shaban Kalendzhi")</f>
        <v>Nazif Shaban Kalendzhi</v>
      </c>
      <c r="E231" s="7" t="str">
        <f>IFERROR(__xludf.DUMMYFUNCTION("""COMPUTED_VALUE"""),"SBI-code: 4120 - Algemene burgerlijke en utiliteitsbouw")</f>
        <v>SBI-code: 4120 - Algemene burgerlijke en utiliteitsbouw</v>
      </c>
      <c r="F231" s="7" t="str">
        <f>IFERROR(__xludf.DUMMYFUNCTION("""COMPUTED_VALUE"""),"0614867360")</f>
        <v>0614867360</v>
      </c>
      <c r="G231" s="6" t="str">
        <f>IFERROR(__xludf.DUMMYFUNCTION("""COMPUTED_VALUE"""),"kalbouw@hotmail.com")</f>
        <v>kalbouw@hotmail.com</v>
      </c>
      <c r="H231" s="6" t="str">
        <f>IFERROR(__xludf.DUMMYFUNCTION("""COMPUTED_VALUE"""),"Okanhout 79")</f>
        <v>Okanhout 79</v>
      </c>
      <c r="I231" s="6" t="str">
        <f>IFERROR(__xludf.DUMMYFUNCTION("""COMPUTED_VALUE"""),"2719KV")</f>
        <v>2719KV</v>
      </c>
      <c r="J231" s="6" t="str">
        <f>IFERROR(__xludf.DUMMYFUNCTION("""COMPUTED_VALUE"""),"Zoetermeer")</f>
        <v>Zoetermeer</v>
      </c>
      <c r="K231" s="6" t="str">
        <f>IFERROR(__xludf.DUMMYFUNCTION("""COMPUTED_VALUE"""),"Nederland")</f>
        <v>Nederland</v>
      </c>
      <c r="L231" s="6" t="str">
        <f>IFERROR(__xludf.DUMMYFUNCTION("""COMPUTED_VALUE"""),"Календжи")</f>
        <v>Календжи</v>
      </c>
      <c r="M231" s="8">
        <f>IFERROR(__xludf.DUMMYFUNCTION("""COMPUTED_VALUE"""),45474.0)</f>
        <v>45474</v>
      </c>
      <c r="N231" s="6" t="str">
        <f>IFERROR(__xludf.DUMMYFUNCTION("""COMPUTED_VALUE"""),"NL866834874B01")</f>
        <v>NL866834874B01</v>
      </c>
      <c r="O231" s="6">
        <f>IFERROR(__xludf.DUMMYFUNCTION("""COMPUTED_VALUE"""),9.4607281E7)</f>
        <v>94607281</v>
      </c>
      <c r="P231" s="6" t="str">
        <f>IFERROR(__xludf.DUMMYFUNCTION("""COMPUTED_VALUE"""),"NL45INGB0008834552")</f>
        <v>NL45INGB0008834552</v>
      </c>
      <c r="Q231" s="9">
        <f>IFERROR(__xludf.DUMMYFUNCTION("""COMPUTED_VALUE"""),45474.0)</f>
        <v>45474</v>
      </c>
      <c r="R231" s="6"/>
      <c r="S231" s="6" t="str">
        <f>IFERROR(__xludf.DUMMYFUNCTION("""COMPUTED_VALUE"""),"NL866834874B01")</f>
        <v>NL866834874B01</v>
      </c>
      <c r="T231" s="6">
        <f>IFERROR(__xludf.DUMMYFUNCTION("""COMPUTED_VALUE"""),8.66834874E8)</f>
        <v>866834874</v>
      </c>
      <c r="U231" s="7" t="str">
        <f>IFERROR(__xludf.DUMMYFUNCTION("""COMPUTED_VALUE"""),"Eenmanszaak")</f>
        <v>Eenmanszaak</v>
      </c>
      <c r="V231" s="7" t="str">
        <f>IFERROR(__xludf.DUMMYFUNCTION("""COMPUTED_VALUE"""),"000047799838")</f>
        <v>000047799838</v>
      </c>
      <c r="W231" s="6" t="str">
        <f>IFERROR(__xludf.DUMMYFUNCTION("""COMPUTED_VALUE"""),"ink.kalendzhi.2288aa@zarabota.nl")</f>
        <v>ink.kalendzhi.2288aa@zarabota.nl</v>
      </c>
      <c r="X231" s="6" t="str">
        <f>IFERROR(__xludf.DUMMYFUNCTION("""COMPUTED_VALUE"""),"ver.kalendzhi.2288aa@zarabota.nl")</f>
        <v>ver.kalendzhi.2288aa@zarabota.nl</v>
      </c>
      <c r="Y231" s="6" t="str">
        <f>IFERROR(__xludf.DUMMYFUNCTION("""COMPUTED_VALUE"""),"Hr.")</f>
        <v>Hr.</v>
      </c>
      <c r="Z231" s="6" t="str">
        <f>IFERROR(__xludf.DUMMYFUNCTION("""COMPUTED_VALUE"""),"Nazif Shaban")</f>
        <v>Nazif Shaban</v>
      </c>
      <c r="AA231" s="6" t="str">
        <f>IFERROR(__xludf.DUMMYFUNCTION("""COMPUTED_VALUE"""),"Kalendzhi")</f>
        <v>Kalendzhi</v>
      </c>
      <c r="AB231" s="6" t="str">
        <f>IFERROR(__xludf.DUMMYFUNCTION("""COMPUTED_VALUE"""),"N.S.")</f>
        <v>N.S.</v>
      </c>
      <c r="AC231" s="6">
        <f>IFERROR(__xludf.DUMMYFUNCTION("""COMPUTED_VALUE"""),2.64356986E8)</f>
        <v>264356986</v>
      </c>
      <c r="AD231" s="9">
        <f>IFERROR(__xludf.DUMMYFUNCTION("""COMPUTED_VALUE"""),30758.0)</f>
        <v>30758</v>
      </c>
      <c r="AE231" s="6" t="str">
        <f>IFERROR(__xludf.DUMMYFUNCTION("""COMPUTED_VALUE"""),"bg")</f>
        <v>bg</v>
      </c>
      <c r="AF231" s="6" t="str">
        <f>IFERROR(__xludf.DUMMYFUNCTION("""COMPUTED_VALUE"""),"Sungurlare")</f>
        <v>Sungurlare</v>
      </c>
      <c r="AG231" s="6" t="str">
        <f>IFERROR(__xludf.DUMMYFUNCTION("""COMPUTED_VALUE"""),"Hr. N.S. Kalendzhi")</f>
        <v>Hr. N.S. Kalendzhi</v>
      </c>
      <c r="AH231" s="6"/>
      <c r="AI231" s="6"/>
      <c r="AJ231" s="6" t="str">
        <f>IFERROR(__xludf.DUMMYFUNCTION("""COMPUTED_VALUE"""),"ID Kaart")</f>
        <v>ID Kaart</v>
      </c>
      <c r="AK231" s="6">
        <f>IFERROR(__xludf.DUMMYFUNCTION("""COMPUTED_VALUE"""),6.4762983E8)</f>
        <v>647629830</v>
      </c>
      <c r="AL231" s="9">
        <f>IFERROR(__xludf.DUMMYFUNCTION("""COMPUTED_VALUE"""),46932.0)</f>
        <v>46932</v>
      </c>
      <c r="AM231" s="6" t="str">
        <f>IFERROR(__xludf.DUMMYFUNCTION("""COMPUTED_VALUE"""),"Bulgarije")</f>
        <v>Bulgarije</v>
      </c>
      <c r="AN231" s="6" t="str">
        <f>IFERROR(__xludf.DUMMYFUNCTION("""COMPUTED_VALUE"""),"Nazif Shaban Kalendzhi")</f>
        <v>Nazif Shaban Kalendzhi</v>
      </c>
      <c r="AO231" s="6"/>
    </row>
    <row r="232">
      <c r="A232" s="6" t="str">
        <f>IFERROR(__xludf.DUMMYFUNCTION("""COMPUTED_VALUE"""),"Kalendzhiev")</f>
        <v>Kalendzhiev</v>
      </c>
      <c r="B232" s="6" t="str">
        <f>IFERROR(__xludf.DUMMYFUNCTION("""COMPUTED_VALUE"""),"Kalendzhiev")</f>
        <v>Kalendzhiev</v>
      </c>
      <c r="C232" s="6">
        <f>IFERROR(__xludf.DUMMYFUNCTION("""COMPUTED_VALUE"""),1697.0)</f>
        <v>1697</v>
      </c>
      <c r="D232" s="7" t="str">
        <f>IFERROR(__xludf.DUMMYFUNCTION("""COMPUTED_VALUE"""),"Nedyalko Nedyalkov Kalendzhiev")</f>
        <v>Nedyalko Nedyalkov Kalendzhiev</v>
      </c>
      <c r="E232" s="7" t="str">
        <f>IFERROR(__xludf.DUMMYFUNCTION("""COMPUTED_VALUE"""),"SBI-code: 43992 - Vlechten van betonstaal")</f>
        <v>SBI-code: 43992 - Vlechten van betonstaal</v>
      </c>
      <c r="F232" s="7" t="str">
        <f>IFERROR(__xludf.DUMMYFUNCTION("""COMPUTED_VALUE"""),"0686405077")</f>
        <v>0686405077</v>
      </c>
      <c r="G232" s="6" t="str">
        <f>IFERROR(__xludf.DUMMYFUNCTION("""COMPUTED_VALUE"""),"bouwkal@hotmail.com")</f>
        <v>bouwkal@hotmail.com</v>
      </c>
      <c r="H232" s="6" t="str">
        <f>IFERROR(__xludf.DUMMYFUNCTION("""COMPUTED_VALUE"""),"Okanhout 79")</f>
        <v>Okanhout 79</v>
      </c>
      <c r="I232" s="6" t="str">
        <f>IFERROR(__xludf.DUMMYFUNCTION("""COMPUTED_VALUE"""),"2719KV")</f>
        <v>2719KV</v>
      </c>
      <c r="J232" s="6" t="str">
        <f>IFERROR(__xludf.DUMMYFUNCTION("""COMPUTED_VALUE"""),"Zoetermeer")</f>
        <v>Zoetermeer</v>
      </c>
      <c r="K232" s="6" t="str">
        <f>IFERROR(__xludf.DUMMYFUNCTION("""COMPUTED_VALUE"""),"Nederland")</f>
        <v>Nederland</v>
      </c>
      <c r="L232" s="6" t="str">
        <f>IFERROR(__xludf.DUMMYFUNCTION("""COMPUTED_VALUE"""),"Календжиев")</f>
        <v>Календжиев</v>
      </c>
      <c r="M232" s="8">
        <f>IFERROR(__xludf.DUMMYFUNCTION("""COMPUTED_VALUE"""),45706.0)</f>
        <v>45706</v>
      </c>
      <c r="N232" s="6" t="str">
        <f>IFERROR(__xludf.DUMMYFUNCTION("""COMPUTED_VALUE"""),"NL454868054B01")</f>
        <v>NL454868054B01</v>
      </c>
      <c r="O232" s="6">
        <f>IFERROR(__xludf.DUMMYFUNCTION("""COMPUTED_VALUE"""),9.6468009E7)</f>
        <v>96468009</v>
      </c>
      <c r="P232" s="6" t="str">
        <f>IFERROR(__xludf.DUMMYFUNCTION("""COMPUTED_VALUE"""),"NL98INGB0112174973")</f>
        <v>NL98INGB0112174973</v>
      </c>
      <c r="Q232" s="9">
        <f>IFERROR(__xludf.DUMMYFUNCTION("""COMPUTED_VALUE"""),45706.0)</f>
        <v>45706</v>
      </c>
      <c r="R232" s="6"/>
      <c r="S232" s="6" t="str">
        <f>IFERROR(__xludf.DUMMYFUNCTION("""COMPUTED_VALUE"""),"NL005211737B51")</f>
        <v>NL005211737B51</v>
      </c>
      <c r="T232" s="6">
        <f>IFERROR(__xludf.DUMMYFUNCTION("""COMPUTED_VALUE"""),4.54868054E8)</f>
        <v>454868054</v>
      </c>
      <c r="U232" s="7" t="str">
        <f>IFERROR(__xludf.DUMMYFUNCTION("""COMPUTED_VALUE"""),"Eenmanszaak")</f>
        <v>Eenmanszaak</v>
      </c>
      <c r="V232" s="7" t="str">
        <f>IFERROR(__xludf.DUMMYFUNCTION("""COMPUTED_VALUE"""),"000061793051")</f>
        <v>000061793051</v>
      </c>
      <c r="W232" s="6" t="str">
        <f>IFERROR(__xludf.DUMMYFUNCTION("""COMPUTED_VALUE"""),"ink.kaledzhiev.2288aa@zarabota.nl")</f>
        <v>ink.kaledzhiev.2288aa@zarabota.nl</v>
      </c>
      <c r="X232" s="6" t="str">
        <f>IFERROR(__xludf.DUMMYFUNCTION("""COMPUTED_VALUE"""),"ver.kaledzhiev.2288aa@zarabota.nl")</f>
        <v>ver.kaledzhiev.2288aa@zarabota.nl</v>
      </c>
      <c r="Y232" s="6" t="str">
        <f>IFERROR(__xludf.DUMMYFUNCTION("""COMPUTED_VALUE"""),"Hr.")</f>
        <v>Hr.</v>
      </c>
      <c r="Z232" s="6" t="str">
        <f>IFERROR(__xludf.DUMMYFUNCTION("""COMPUTED_VALUE"""),"Nedyalko Nedyalkov")</f>
        <v>Nedyalko Nedyalkov</v>
      </c>
      <c r="AA232" s="6" t="str">
        <f>IFERROR(__xludf.DUMMYFUNCTION("""COMPUTED_VALUE"""),"Kalendzhiev")</f>
        <v>Kalendzhiev</v>
      </c>
      <c r="AB232" s="6" t="str">
        <f>IFERROR(__xludf.DUMMYFUNCTION("""COMPUTED_VALUE"""),"N.N.")</f>
        <v>N.N.</v>
      </c>
      <c r="AC232" s="6">
        <f>IFERROR(__xludf.DUMMYFUNCTION("""COMPUTED_VALUE"""),4.54868054E8)</f>
        <v>454868054</v>
      </c>
      <c r="AD232" s="9">
        <f>IFERROR(__xludf.DUMMYFUNCTION("""COMPUTED_VALUE"""),23388.0)</f>
        <v>23388</v>
      </c>
      <c r="AE232" s="6" t="str">
        <f>IFERROR(__xludf.DUMMYFUNCTION("""COMPUTED_VALUE"""),"bg")</f>
        <v>bg</v>
      </c>
      <c r="AF232" s="6" t="str">
        <f>IFERROR(__xludf.DUMMYFUNCTION("""COMPUTED_VALUE"""),"Manolich")</f>
        <v>Manolich</v>
      </c>
      <c r="AG232" s="6" t="str">
        <f>IFERROR(__xludf.DUMMYFUNCTION("""COMPUTED_VALUE"""),"Hr. N.N. Kalendzhiev")</f>
        <v>Hr. N.N. Kalendzhiev</v>
      </c>
      <c r="AH232" s="6"/>
      <c r="AI232" s="6"/>
      <c r="AJ232" s="6" t="str">
        <f>IFERROR(__xludf.DUMMYFUNCTION("""COMPUTED_VALUE"""),"ID Kaart")</f>
        <v>ID Kaart</v>
      </c>
      <c r="AK232" s="6">
        <f>IFERROR(__xludf.DUMMYFUNCTION("""COMPUTED_VALUE"""),6.4995795E8)</f>
        <v>649957950</v>
      </c>
      <c r="AL232" s="9">
        <f>IFERROR(__xludf.DUMMYFUNCTION("""COMPUTED_VALUE"""),47868.0)</f>
        <v>47868</v>
      </c>
      <c r="AM232" s="6" t="str">
        <f>IFERROR(__xludf.DUMMYFUNCTION("""COMPUTED_VALUE"""),"Bulgarije")</f>
        <v>Bulgarije</v>
      </c>
      <c r="AN232" s="6" t="str">
        <f>IFERROR(__xludf.DUMMYFUNCTION("""COMPUTED_VALUE"""),"Nedyalko Nedyalkov Kalendzhiev")</f>
        <v>Nedyalko Nedyalkov Kalendzhiev</v>
      </c>
      <c r="AO232" s="6">
        <f>IFERROR(__xludf.DUMMYFUNCTION("""COMPUTED_VALUE"""),1697.0)</f>
        <v>1697</v>
      </c>
    </row>
    <row r="233">
      <c r="A233" s="6" t="str">
        <f>IFERROR(__xludf.DUMMYFUNCTION("""COMPUTED_VALUE"""),"Kapitein Onderhoudsbedrijf VOF")</f>
        <v>Kapitein Onderhoudsbedrijf VOF</v>
      </c>
      <c r="B233" s="6" t="str">
        <f>IFERROR(__xludf.DUMMYFUNCTION("""COMPUTED_VALUE"""),"Kapitein Onderhoudsbedrijf VOF")</f>
        <v>Kapitein Onderhoudsbedrijf VOF</v>
      </c>
      <c r="C233" s="6">
        <f>IFERROR(__xludf.DUMMYFUNCTION("""COMPUTED_VALUE"""),494.0)</f>
        <v>494</v>
      </c>
      <c r="D233" s="7" t="str">
        <f>IFERROR(__xludf.DUMMYFUNCTION("""COMPUTED_VALUE"""),"Valeri Hristov Iliev")</f>
        <v>Valeri Hristov Iliev</v>
      </c>
      <c r="E233" s="7" t="str">
        <f>IFERROR(__xludf.DUMMYFUNCTION("""COMPUTED_VALUE"""),"SBI-code: 4120 - Algemene burgerlijke en utiliteitsbouw")</f>
        <v>SBI-code: 4120 - Algemene burgerlijke en utiliteitsbouw</v>
      </c>
      <c r="F233" s="7" t="str">
        <f>IFERROR(__xludf.DUMMYFUNCTION("""COMPUTED_VALUE"""),"0659677471")</f>
        <v>0659677471</v>
      </c>
      <c r="G233" s="6" t="str">
        <f>IFERROR(__xludf.DUMMYFUNCTION("""COMPUTED_VALUE"""),"gevreka77@gmail.com")</f>
        <v>gevreka77@gmail.com</v>
      </c>
      <c r="H233" s="6" t="str">
        <f>IFERROR(__xludf.DUMMYFUNCTION("""COMPUTED_VALUE"""),"Rhenenstraat 168")</f>
        <v>Rhenenstraat 168</v>
      </c>
      <c r="I233" s="6" t="str">
        <f>IFERROR(__xludf.DUMMYFUNCTION("""COMPUTED_VALUE"""),"2546TZ")</f>
        <v>2546TZ</v>
      </c>
      <c r="J233" s="6" t="str">
        <f>IFERROR(__xludf.DUMMYFUNCTION("""COMPUTED_VALUE"""),"s-Gravenhage")</f>
        <v>s-Gravenhage</v>
      </c>
      <c r="K233" s="6" t="str">
        <f>IFERROR(__xludf.DUMMYFUNCTION("""COMPUTED_VALUE"""),"Nederland")</f>
        <v>Nederland</v>
      </c>
      <c r="L233" s="6" t="str">
        <f>IFERROR(__xludf.DUMMYFUNCTION("""COMPUTED_VALUE"""),"Илиев")</f>
        <v>Илиев</v>
      </c>
      <c r="M233" s="8">
        <f>IFERROR(__xludf.DUMMYFUNCTION("""COMPUTED_VALUE"""),43175.0)</f>
        <v>43175</v>
      </c>
      <c r="N233" s="6" t="str">
        <f>IFERROR(__xludf.DUMMYFUNCTION("""COMPUTED_VALUE"""),"NL858461249B01")</f>
        <v>NL858461249B01</v>
      </c>
      <c r="O233" s="6">
        <f>IFERROR(__xludf.DUMMYFUNCTION("""COMPUTED_VALUE"""),7.079224E7)</f>
        <v>70792240</v>
      </c>
      <c r="P233" s="6" t="str">
        <f>IFERROR(__xludf.DUMMYFUNCTION("""COMPUTED_VALUE"""),"NL56 INGB 0007 0339 37")</f>
        <v>NL56 INGB 0007 0339 37</v>
      </c>
      <c r="Q233" s="9">
        <f>IFERROR(__xludf.DUMMYFUNCTION("""COMPUTED_VALUE"""),42318.0)</f>
        <v>42318</v>
      </c>
      <c r="R233" s="6"/>
      <c r="S233" s="6" t="str">
        <f>IFERROR(__xludf.DUMMYFUNCTION("""COMPUTED_VALUE"""),"NL858461249B01")</f>
        <v>NL858461249B01</v>
      </c>
      <c r="T233" s="6">
        <f>IFERROR(__xludf.DUMMYFUNCTION("""COMPUTED_VALUE"""),8.58461249E8)</f>
        <v>858461249</v>
      </c>
      <c r="U233" s="7" t="str">
        <f>IFERROR(__xludf.DUMMYFUNCTION("""COMPUTED_VALUE"""),"Vennootschap Onder Firma")</f>
        <v>Vennootschap Onder Firma</v>
      </c>
      <c r="V233" s="7" t="str">
        <f>IFERROR(__xludf.DUMMYFUNCTION("""COMPUTED_VALUE"""),"000033339767")</f>
        <v>000033339767</v>
      </c>
      <c r="W233" s="6" t="str">
        <f>IFERROR(__xludf.DUMMYFUNCTION("""COMPUTED_VALUE"""),"ink.kapiteinonderhoudsbedrijfvof.2288aa@zarabota.n")</f>
        <v>ink.kapiteinonderhoudsbedrijfvof.2288aa@zarabota.n</v>
      </c>
      <c r="X233" s="6" t="str">
        <f>IFERROR(__xludf.DUMMYFUNCTION("""COMPUTED_VALUE"""),"ver.kapiteinonderhoudsbedrijfvof.2288aa@zarabota.n")</f>
        <v>ver.kapiteinonderhoudsbedrijfvof.2288aa@zarabota.n</v>
      </c>
      <c r="Y233" s="6" t="str">
        <f>IFERROR(__xludf.DUMMYFUNCTION("""COMPUTED_VALUE"""),"Hr.")</f>
        <v>Hr.</v>
      </c>
      <c r="Z233" s="6" t="str">
        <f>IFERROR(__xludf.DUMMYFUNCTION("""COMPUTED_VALUE"""),"Valeri Hristov")</f>
        <v>Valeri Hristov</v>
      </c>
      <c r="AA233" s="6" t="str">
        <f>IFERROR(__xludf.DUMMYFUNCTION("""COMPUTED_VALUE"""),"Iliev")</f>
        <v>Iliev</v>
      </c>
      <c r="AB233" s="6" t="str">
        <f>IFERROR(__xludf.DUMMYFUNCTION("""COMPUTED_VALUE"""),"V.H.")</f>
        <v>V.H.</v>
      </c>
      <c r="AC233" s="6">
        <f>IFERROR(__xludf.DUMMYFUNCTION("""COMPUTED_VALUE"""),2.64154319E8)</f>
        <v>264154319</v>
      </c>
      <c r="AD233" s="9">
        <f>IFERROR(__xludf.DUMMYFUNCTION("""COMPUTED_VALUE"""),28443.0)</f>
        <v>28443</v>
      </c>
      <c r="AE233" s="6" t="str">
        <f>IFERROR(__xludf.DUMMYFUNCTION("""COMPUTED_VALUE"""),"bg")</f>
        <v>bg</v>
      </c>
      <c r="AF233" s="6" t="str">
        <f>IFERROR(__xludf.DUMMYFUNCTION("""COMPUTED_VALUE"""),"Kubrat")</f>
        <v>Kubrat</v>
      </c>
      <c r="AG233" s="6" t="str">
        <f>IFERROR(__xludf.DUMMYFUNCTION("""COMPUTED_VALUE"""),"Hr. V.H. Iliev")</f>
        <v>Hr. V.H. Iliev</v>
      </c>
      <c r="AH233" s="6" t="str">
        <f>IFERROR(__xludf.DUMMYFUNCTION("""COMPUTED_VALUE"""),"NL50INGB0700705392")</f>
        <v>NL50INGB0700705392</v>
      </c>
      <c r="AI233" s="6"/>
      <c r="AJ233" s="6"/>
      <c r="AK233" s="6"/>
      <c r="AL233" s="6"/>
      <c r="AM233" s="6"/>
      <c r="AN233" s="6" t="str">
        <f>IFERROR(__xludf.DUMMYFUNCTION("""COMPUTED_VALUE"""),"Valeri Hristov Iliev")</f>
        <v>Valeri Hristov Iliev</v>
      </c>
      <c r="AO233" s="6"/>
    </row>
    <row r="234">
      <c r="A234" s="6" t="str">
        <f>IFERROR(__xludf.DUMMYFUNCTION("""COMPUTED_VALUE"""),"Kara 74")</f>
        <v>Kara 74</v>
      </c>
      <c r="B234" s="6" t="str">
        <f>IFERROR(__xludf.DUMMYFUNCTION("""COMPUTED_VALUE"""),"Kara 74")</f>
        <v>Kara 74</v>
      </c>
      <c r="C234" s="6">
        <f>IFERROR(__xludf.DUMMYFUNCTION("""COMPUTED_VALUE"""),1111.0)</f>
        <v>1111</v>
      </c>
      <c r="D234" s="7" t="str">
        <f>IFERROR(__xludf.DUMMYFUNCTION("""COMPUTED_VALUE"""),"Asen Aleksiev Karabashev")</f>
        <v>Asen Aleksiev Karabashev</v>
      </c>
      <c r="E234" s="7" t="str">
        <f>IFERROR(__xludf.DUMMYFUNCTION("""COMPUTED_VALUE"""),"SBI-code: 4120 - Algemene burgerlijke en utiliteitsbouw")</f>
        <v>SBI-code: 4120 - Algemene burgerlijke en utiliteitsbouw</v>
      </c>
      <c r="F234" s="7" t="str">
        <f>IFERROR(__xludf.DUMMYFUNCTION("""COMPUTED_VALUE"""),"0651036809")</f>
        <v>0651036809</v>
      </c>
      <c r="G234" s="6" t="str">
        <f>IFERROR(__xludf.DUMMYFUNCTION("""COMPUTED_VALUE"""),"asenkarbashev@gmail.com")</f>
        <v>asenkarbashev@gmail.com</v>
      </c>
      <c r="H234" s="6" t="str">
        <f>IFERROR(__xludf.DUMMYFUNCTION("""COMPUTED_VALUE"""),"Fahrenheitstraat 208A")</f>
        <v>Fahrenheitstraat 208A</v>
      </c>
      <c r="I234" s="6" t="str">
        <f>IFERROR(__xludf.DUMMYFUNCTION("""COMPUTED_VALUE"""),"2561EH")</f>
        <v>2561EH</v>
      </c>
      <c r="J234" s="6" t="str">
        <f>IFERROR(__xludf.DUMMYFUNCTION("""COMPUTED_VALUE"""),"s-Gravenhage")</f>
        <v>s-Gravenhage</v>
      </c>
      <c r="K234" s="6" t="str">
        <f>IFERROR(__xludf.DUMMYFUNCTION("""COMPUTED_VALUE"""),"Nederland")</f>
        <v>Nederland</v>
      </c>
      <c r="L234" s="6" t="str">
        <f>IFERROR(__xludf.DUMMYFUNCTION("""COMPUTED_VALUE"""),"Карабашев")</f>
        <v>Карабашев</v>
      </c>
      <c r="M234" s="8">
        <f>IFERROR(__xludf.DUMMYFUNCTION("""COMPUTED_VALUE"""),44217.0)</f>
        <v>44217</v>
      </c>
      <c r="N234" s="6" t="str">
        <f>IFERROR(__xludf.DUMMYFUNCTION("""COMPUTED_VALUE"""),"NL663143901B01")</f>
        <v>NL663143901B01</v>
      </c>
      <c r="O234" s="6">
        <f>IFERROR(__xludf.DUMMYFUNCTION("""COMPUTED_VALUE"""),8.1743955E7)</f>
        <v>81743955</v>
      </c>
      <c r="P234" s="6" t="str">
        <f>IFERROR(__xludf.DUMMYFUNCTION("""COMPUTED_VALUE"""),"NL41INGB0007881114")</f>
        <v>NL41INGB0007881114</v>
      </c>
      <c r="Q234" s="9">
        <f>IFERROR(__xludf.DUMMYFUNCTION("""COMPUTED_VALUE"""),44217.0)</f>
        <v>44217</v>
      </c>
      <c r="R234" s="6"/>
      <c r="S234" s="6" t="str">
        <f>IFERROR(__xludf.DUMMYFUNCTION("""COMPUTED_VALUE"""),"NL003596099B08")</f>
        <v>NL003596099B08</v>
      </c>
      <c r="T234" s="6">
        <f>IFERROR(__xludf.DUMMYFUNCTION("""COMPUTED_VALUE"""),6.63143901E8)</f>
        <v>663143901</v>
      </c>
      <c r="U234" s="7" t="str">
        <f>IFERROR(__xludf.DUMMYFUNCTION("""COMPUTED_VALUE"""),"Eenmanszaak")</f>
        <v>Eenmanszaak</v>
      </c>
      <c r="V234" s="7" t="str">
        <f>IFERROR(__xludf.DUMMYFUNCTION("""COMPUTED_VALUE"""),"000048015806")</f>
        <v>000048015806</v>
      </c>
      <c r="W234" s="6" t="str">
        <f>IFERROR(__xludf.DUMMYFUNCTION("""COMPUTED_VALUE"""),"ink.kara74.2288aa@zarabota.nl")</f>
        <v>ink.kara74.2288aa@zarabota.nl</v>
      </c>
      <c r="X234" s="6" t="str">
        <f>IFERROR(__xludf.DUMMYFUNCTION("""COMPUTED_VALUE"""),"ver.kara74.2288aa@zarabota.nl")</f>
        <v>ver.kara74.2288aa@zarabota.nl</v>
      </c>
      <c r="Y234" s="6" t="str">
        <f>IFERROR(__xludf.DUMMYFUNCTION("""COMPUTED_VALUE"""),"Hr.")</f>
        <v>Hr.</v>
      </c>
      <c r="Z234" s="6" t="str">
        <f>IFERROR(__xludf.DUMMYFUNCTION("""COMPUTED_VALUE"""),"Asen Aleksiev")</f>
        <v>Asen Aleksiev</v>
      </c>
      <c r="AA234" s="6" t="str">
        <f>IFERROR(__xludf.DUMMYFUNCTION("""COMPUTED_VALUE"""),"Karabashev")</f>
        <v>Karabashev</v>
      </c>
      <c r="AB234" s="6" t="str">
        <f>IFERROR(__xludf.DUMMYFUNCTION("""COMPUTED_VALUE"""),"A.A.")</f>
        <v>A.A.</v>
      </c>
      <c r="AC234" s="6">
        <f>IFERROR(__xludf.DUMMYFUNCTION("""COMPUTED_VALUE"""),6.63143901E8)</f>
        <v>663143901</v>
      </c>
      <c r="AD234" s="9">
        <f>IFERROR(__xludf.DUMMYFUNCTION("""COMPUTED_VALUE"""),27341.0)</f>
        <v>27341</v>
      </c>
      <c r="AE234" s="6" t="str">
        <f>IFERROR(__xludf.DUMMYFUNCTION("""COMPUTED_VALUE"""),"bg")</f>
        <v>bg</v>
      </c>
      <c r="AF234" s="6" t="str">
        <f>IFERROR(__xludf.DUMMYFUNCTION("""COMPUTED_VALUE"""),"Dzherovo")</f>
        <v>Dzherovo</v>
      </c>
      <c r="AG234" s="6" t="str">
        <f>IFERROR(__xludf.DUMMYFUNCTION("""COMPUTED_VALUE"""),"Hr. A.A. Karabashev")</f>
        <v>Hr. A.A. Karabashev</v>
      </c>
      <c r="AH234" s="6"/>
      <c r="AI234" s="9">
        <f>IFERROR(__xludf.DUMMYFUNCTION("""COMPUTED_VALUE"""),44217.0)</f>
        <v>44217</v>
      </c>
      <c r="AJ234" s="6" t="str">
        <f>IFERROR(__xludf.DUMMYFUNCTION("""COMPUTED_VALUE"""),"ID Kaart")</f>
        <v>ID Kaart</v>
      </c>
      <c r="AK234" s="6">
        <f>IFERROR(__xludf.DUMMYFUNCTION("""COMPUTED_VALUE"""),6.48993383E8)</f>
        <v>648993383</v>
      </c>
      <c r="AL234" s="9">
        <f>IFERROR(__xludf.DUMMYFUNCTION("""COMPUTED_VALUE"""),47579.0)</f>
        <v>47579</v>
      </c>
      <c r="AM234" s="6" t="str">
        <f>IFERROR(__xludf.DUMMYFUNCTION("""COMPUTED_VALUE"""),"Bulgarije")</f>
        <v>Bulgarije</v>
      </c>
      <c r="AN234" s="6" t="str">
        <f>IFERROR(__xludf.DUMMYFUNCTION("""COMPUTED_VALUE"""),"Asen Aleksiev Karabashev")</f>
        <v>Asen Aleksiev Karabashev</v>
      </c>
      <c r="AO234" s="6"/>
    </row>
    <row r="235">
      <c r="A235" s="6" t="str">
        <f>IFERROR(__xludf.DUMMYFUNCTION("""COMPUTED_VALUE"""),"Karmelita 83")</f>
        <v>Karmelita 83</v>
      </c>
      <c r="B235" s="6" t="str">
        <f>IFERROR(__xludf.DUMMYFUNCTION("""COMPUTED_VALUE"""),"Karmelita 83")</f>
        <v>Karmelita 83</v>
      </c>
      <c r="C235" s="6">
        <f>IFERROR(__xludf.DUMMYFUNCTION("""COMPUTED_VALUE"""),921.0)</f>
        <v>921</v>
      </c>
      <c r="D235" s="7" t="str">
        <f>IFERROR(__xludf.DUMMYFUNCTION("""COMPUTED_VALUE"""),"Kremena Momchilova Borisova")</f>
        <v>Kremena Momchilova Borisova</v>
      </c>
      <c r="E235" s="7" t="str">
        <f>IFERROR(__xludf.DUMMYFUNCTION("""COMPUTED_VALUE"""),"SBI-code: 4120 - Algemene burgerlijke en utiliteitsbouw")</f>
        <v>SBI-code: 4120 - Algemene burgerlijke en utiliteitsbouw</v>
      </c>
      <c r="F235" s="7" t="str">
        <f>IFERROR(__xludf.DUMMYFUNCTION("""COMPUTED_VALUE"""),"0657969669")</f>
        <v>0657969669</v>
      </c>
      <c r="G235" s="6" t="str">
        <f>IFERROR(__xludf.DUMMYFUNCTION("""COMPUTED_VALUE"""),"kremena.borisova_@abv.bg")</f>
        <v>kremena.borisova_@abv.bg</v>
      </c>
      <c r="H235" s="6" t="str">
        <f>IFERROR(__xludf.DUMMYFUNCTION("""COMPUTED_VALUE"""),"Schalk Burgerstraat 417")</f>
        <v>Schalk Burgerstraat 417</v>
      </c>
      <c r="I235" s="6" t="str">
        <f>IFERROR(__xludf.DUMMYFUNCTION("""COMPUTED_VALUE"""),"2572TC")</f>
        <v>2572TC</v>
      </c>
      <c r="J235" s="6" t="str">
        <f>IFERROR(__xludf.DUMMYFUNCTION("""COMPUTED_VALUE"""),"s-Gravenhage")</f>
        <v>s-Gravenhage</v>
      </c>
      <c r="K235" s="6" t="str">
        <f>IFERROR(__xludf.DUMMYFUNCTION("""COMPUTED_VALUE"""),"Nederland")</f>
        <v>Nederland</v>
      </c>
      <c r="L235" s="6" t="str">
        <f>IFERROR(__xludf.DUMMYFUNCTION("""COMPUTED_VALUE"""),"Борисова")</f>
        <v>Борисова</v>
      </c>
      <c r="M235" s="8">
        <f>IFERROR(__xludf.DUMMYFUNCTION("""COMPUTED_VALUE"""),43862.0)</f>
        <v>43862</v>
      </c>
      <c r="N235" s="6" t="str">
        <f>IFERROR(__xludf.DUMMYFUNCTION("""COMPUTED_VALUE"""),"NL549360633B01")</f>
        <v>NL549360633B01</v>
      </c>
      <c r="O235" s="6">
        <f>IFERROR(__xludf.DUMMYFUNCTION("""COMPUTED_VALUE"""),7.7171632E7)</f>
        <v>77171632</v>
      </c>
      <c r="P235" s="6" t="str">
        <f>IFERROR(__xludf.DUMMYFUNCTION("""COMPUTED_VALUE"""),"NL90ABNA0870328433")</f>
        <v>NL90ABNA0870328433</v>
      </c>
      <c r="Q235" s="9">
        <f>IFERROR(__xludf.DUMMYFUNCTION("""COMPUTED_VALUE"""),43862.0)</f>
        <v>43862</v>
      </c>
      <c r="R235" s="6"/>
      <c r="S235" s="6" t="str">
        <f>IFERROR(__xludf.DUMMYFUNCTION("""COMPUTED_VALUE"""),"NL003160383B33")</f>
        <v>NL003160383B33</v>
      </c>
      <c r="T235" s="6">
        <f>IFERROR(__xludf.DUMMYFUNCTION("""COMPUTED_VALUE"""),5.49360633E8)</f>
        <v>549360633</v>
      </c>
      <c r="U235" s="7" t="str">
        <f>IFERROR(__xludf.DUMMYFUNCTION("""COMPUTED_VALUE"""),"Eenmanszaak")</f>
        <v>Eenmanszaak</v>
      </c>
      <c r="V235" s="7" t="str">
        <f>IFERROR(__xludf.DUMMYFUNCTION("""COMPUTED_VALUE"""),"000044889755")</f>
        <v>000044889755</v>
      </c>
      <c r="W235" s="6" t="str">
        <f>IFERROR(__xludf.DUMMYFUNCTION("""COMPUTED_VALUE"""),"ink.karmelita83.2288aa@zarabota.nl")</f>
        <v>ink.karmelita83.2288aa@zarabota.nl</v>
      </c>
      <c r="X235" s="6" t="str">
        <f>IFERROR(__xludf.DUMMYFUNCTION("""COMPUTED_VALUE"""),"ver.karmelita83.2288aa@zarabota.nl")</f>
        <v>ver.karmelita83.2288aa@zarabota.nl</v>
      </c>
      <c r="Y235" s="6" t="str">
        <f>IFERROR(__xludf.DUMMYFUNCTION("""COMPUTED_VALUE"""),"Mw.")</f>
        <v>Mw.</v>
      </c>
      <c r="Z235" s="6" t="str">
        <f>IFERROR(__xludf.DUMMYFUNCTION("""COMPUTED_VALUE"""),"Kremena Momchilova")</f>
        <v>Kremena Momchilova</v>
      </c>
      <c r="AA235" s="6" t="str">
        <f>IFERROR(__xludf.DUMMYFUNCTION("""COMPUTED_VALUE"""),"Borisova")</f>
        <v>Borisova</v>
      </c>
      <c r="AB235" s="6" t="str">
        <f>IFERROR(__xludf.DUMMYFUNCTION("""COMPUTED_VALUE"""),"K.M.")</f>
        <v>K.M.</v>
      </c>
      <c r="AC235" s="6">
        <f>IFERROR(__xludf.DUMMYFUNCTION("""COMPUTED_VALUE"""),5.49360633E8)</f>
        <v>549360633</v>
      </c>
      <c r="AD235" s="9">
        <f>IFERROR(__xludf.DUMMYFUNCTION("""COMPUTED_VALUE"""),30383.0)</f>
        <v>30383</v>
      </c>
      <c r="AE235" s="6" t="str">
        <f>IFERROR(__xludf.DUMMYFUNCTION("""COMPUTED_VALUE"""),"bg")</f>
        <v>bg</v>
      </c>
      <c r="AF235" s="6" t="str">
        <f>IFERROR(__xludf.DUMMYFUNCTION("""COMPUTED_VALUE"""),"Kirkovo")</f>
        <v>Kirkovo</v>
      </c>
      <c r="AG235" s="6" t="str">
        <f>IFERROR(__xludf.DUMMYFUNCTION("""COMPUTED_VALUE"""),"Mw. K.M. Borisova")</f>
        <v>Mw. K.M. Borisova</v>
      </c>
      <c r="AH235" s="6" t="str">
        <f>IFERROR(__xludf.DUMMYFUNCTION("""COMPUTED_VALUE"""),"NL90ABNA0870328433")</f>
        <v>NL90ABNA0870328433</v>
      </c>
      <c r="AI235" s="6"/>
      <c r="AJ235" s="6" t="str">
        <f>IFERROR(__xludf.DUMMYFUNCTION("""COMPUTED_VALUE"""),"ID Kaart")</f>
        <v>ID Kaart</v>
      </c>
      <c r="AK235" s="6"/>
      <c r="AL235" s="6"/>
      <c r="AM235" s="6" t="str">
        <f>IFERROR(__xludf.DUMMYFUNCTION("""COMPUTED_VALUE"""),"Bulgarije")</f>
        <v>Bulgarije</v>
      </c>
      <c r="AN235" s="6" t="str">
        <f>IFERROR(__xludf.DUMMYFUNCTION("""COMPUTED_VALUE"""),"Kremena Momchilova Borisova")</f>
        <v>Kremena Momchilova Borisova</v>
      </c>
      <c r="AO235" s="6"/>
    </row>
    <row r="236">
      <c r="A236" s="6" t="str">
        <f>IFERROR(__xludf.DUMMYFUNCTION("""COMPUTED_VALUE"""),"Karsti Bouw")</f>
        <v>Karsti Bouw</v>
      </c>
      <c r="B236" s="6" t="str">
        <f>IFERROR(__xludf.DUMMYFUNCTION("""COMPUTED_VALUE"""),"Karsti Bouw")</f>
        <v>Karsti Bouw</v>
      </c>
      <c r="C236" s="6">
        <f>IFERROR(__xludf.DUMMYFUNCTION("""COMPUTED_VALUE"""),208.0)</f>
        <v>208</v>
      </c>
      <c r="D236" s="7" t="str">
        <f>IFERROR(__xludf.DUMMYFUNCTION("""COMPUTED_VALUE"""),"Krasimir Yankov Kehayov")</f>
        <v>Krasimir Yankov Kehayov</v>
      </c>
      <c r="E236" s="7" t="str">
        <f>IFERROR(__xludf.DUMMYFUNCTION("""COMPUTED_VALUE"""),"SBI-code: 4120 - Algemene burgerlijke en utiliteitsbouw")</f>
        <v>SBI-code: 4120 - Algemene burgerlijke en utiliteitsbouw</v>
      </c>
      <c r="F236" s="7" t="str">
        <f>IFERROR(__xludf.DUMMYFUNCTION("""COMPUTED_VALUE"""),"0687648215")</f>
        <v>0687648215</v>
      </c>
      <c r="G236" s="6" t="str">
        <f>IFERROR(__xludf.DUMMYFUNCTION("""COMPUTED_VALUE"""),"karsti@zzp-nl.nl")</f>
        <v>karsti@zzp-nl.nl</v>
      </c>
      <c r="H236" s="6" t="str">
        <f>IFERROR(__xludf.DUMMYFUNCTION("""COMPUTED_VALUE"""),"Deimanstraat 248")</f>
        <v>Deimanstraat 248</v>
      </c>
      <c r="I236" s="6" t="str">
        <f>IFERROR(__xludf.DUMMYFUNCTION("""COMPUTED_VALUE"""),"2522BR")</f>
        <v>2522BR</v>
      </c>
      <c r="J236" s="6" t="str">
        <f>IFERROR(__xludf.DUMMYFUNCTION("""COMPUTED_VALUE"""),"s-Gravenhage")</f>
        <v>s-Gravenhage</v>
      </c>
      <c r="K236" s="6" t="str">
        <f>IFERROR(__xludf.DUMMYFUNCTION("""COMPUTED_VALUE"""),"Nederland")</f>
        <v>Nederland</v>
      </c>
      <c r="L236" s="6" t="str">
        <f>IFERROR(__xludf.DUMMYFUNCTION("""COMPUTED_VALUE"""),"Кехайов")</f>
        <v>Кехайов</v>
      </c>
      <c r="M236" s="8">
        <f>IFERROR(__xludf.DUMMYFUNCTION("""COMPUTED_VALUE"""),42107.0)</f>
        <v>42107</v>
      </c>
      <c r="N236" s="6" t="str">
        <f>IFERROR(__xludf.DUMMYFUNCTION("""COMPUTED_VALUE"""),"NL538069181B01")</f>
        <v>NL538069181B01</v>
      </c>
      <c r="O236" s="6">
        <f>IFERROR(__xludf.DUMMYFUNCTION("""COMPUTED_VALUE"""),6.3149303E7)</f>
        <v>63149303</v>
      </c>
      <c r="P236" s="6" t="str">
        <f>IFERROR(__xludf.DUMMYFUNCTION("""COMPUTED_VALUE"""),"NL67INGB0006850118")</f>
        <v>NL67INGB0006850118</v>
      </c>
      <c r="Q236" s="9">
        <f>IFERROR(__xludf.DUMMYFUNCTION("""COMPUTED_VALUE"""),42107.0)</f>
        <v>42107</v>
      </c>
      <c r="R236" s="6"/>
      <c r="S236" s="6" t="str">
        <f>IFERROR(__xludf.DUMMYFUNCTION("""COMPUTED_VALUE"""),"NL0024979947B46")</f>
        <v>NL0024979947B46</v>
      </c>
      <c r="T236" s="6">
        <f>IFERROR(__xludf.DUMMYFUNCTION("""COMPUTED_VALUE"""),5.38069181E8)</f>
        <v>538069181</v>
      </c>
      <c r="U236" s="7" t="str">
        <f>IFERROR(__xludf.DUMMYFUNCTION("""COMPUTED_VALUE"""),"Eenmanszaak")</f>
        <v>Eenmanszaak</v>
      </c>
      <c r="V236" s="7" t="str">
        <f>IFERROR(__xludf.DUMMYFUNCTION("""COMPUTED_VALUE"""),"000032092997")</f>
        <v>000032092997</v>
      </c>
      <c r="W236" s="6" t="str">
        <f>IFERROR(__xludf.DUMMYFUNCTION("""COMPUTED_VALUE"""),"ink.karstibouw.2288aa@zarabota.nl")</f>
        <v>ink.karstibouw.2288aa@zarabota.nl</v>
      </c>
      <c r="X236" s="6" t="str">
        <f>IFERROR(__xludf.DUMMYFUNCTION("""COMPUTED_VALUE"""),"ver.karstibouw.2288aa@zarabota.nl")</f>
        <v>ver.karstibouw.2288aa@zarabota.nl</v>
      </c>
      <c r="Y236" s="6" t="str">
        <f>IFERROR(__xludf.DUMMYFUNCTION("""COMPUTED_VALUE"""),"Hr.")</f>
        <v>Hr.</v>
      </c>
      <c r="Z236" s="6" t="str">
        <f>IFERROR(__xludf.DUMMYFUNCTION("""COMPUTED_VALUE"""),"Krasimir Yankov")</f>
        <v>Krasimir Yankov</v>
      </c>
      <c r="AA236" s="6" t="str">
        <f>IFERROR(__xludf.DUMMYFUNCTION("""COMPUTED_VALUE"""),"Kehayov")</f>
        <v>Kehayov</v>
      </c>
      <c r="AB236" s="6" t="str">
        <f>IFERROR(__xludf.DUMMYFUNCTION("""COMPUTED_VALUE"""),"K.Y.")</f>
        <v>K.Y.</v>
      </c>
      <c r="AC236" s="6">
        <f>IFERROR(__xludf.DUMMYFUNCTION("""COMPUTED_VALUE"""),5.38069181E8)</f>
        <v>538069181</v>
      </c>
      <c r="AD236" s="9">
        <f>IFERROR(__xludf.DUMMYFUNCTION("""COMPUTED_VALUE"""),29729.0)</f>
        <v>29729</v>
      </c>
      <c r="AE236" s="6" t="str">
        <f>IFERROR(__xludf.DUMMYFUNCTION("""COMPUTED_VALUE"""),"bg")</f>
        <v>bg</v>
      </c>
      <c r="AF236" s="6" t="str">
        <f>IFERROR(__xludf.DUMMYFUNCTION("""COMPUTED_VALUE"""),"Madan")</f>
        <v>Madan</v>
      </c>
      <c r="AG236" s="6" t="str">
        <f>IFERROR(__xludf.DUMMYFUNCTION("""COMPUTED_VALUE"""),"Hr. K.Y. Kehayov")</f>
        <v>Hr. K.Y. Kehayov</v>
      </c>
      <c r="AH236" s="6"/>
      <c r="AI236" s="6"/>
      <c r="AJ236" s="6"/>
      <c r="AK236" s="6"/>
      <c r="AL236" s="6"/>
      <c r="AM236" s="6"/>
      <c r="AN236" s="6" t="str">
        <f>IFERROR(__xludf.DUMMYFUNCTION("""COMPUTED_VALUE"""),"Krasimir Yankov Kehayov")</f>
        <v>Krasimir Yankov Kehayov</v>
      </c>
      <c r="AO236" s="6"/>
    </row>
    <row r="237">
      <c r="A237" s="6" t="str">
        <f>IFERROR(__xludf.DUMMYFUNCTION("""COMPUTED_VALUE"""),"KD Afbouw &amp; Verbouw BV")</f>
        <v>KD Afbouw &amp; Verbouw BV</v>
      </c>
      <c r="B237" s="6" t="str">
        <f>IFERROR(__xludf.DUMMYFUNCTION("""COMPUTED_VALUE"""),"KD Afbouw &amp; Verbouw BV")</f>
        <v>KD Afbouw &amp; Verbouw BV</v>
      </c>
      <c r="C237" s="6">
        <f>IFERROR(__xludf.DUMMYFUNCTION("""COMPUTED_VALUE"""),479.0)</f>
        <v>479</v>
      </c>
      <c r="D237" s="7" t="str">
        <f>IFERROR(__xludf.DUMMYFUNCTION("""COMPUTED_VALUE"""),"Kiril Georgiev Mitev")</f>
        <v>Kiril Georgiev Mitev</v>
      </c>
      <c r="E237" s="7" t="str">
        <f>IFERROR(__xludf.DUMMYFUNCTION("""COMPUTED_VALUE"""),"SBI-code: 4120 - Algemene burgerlijke en utiliteitsbouw")</f>
        <v>SBI-code: 4120 - Algemene burgerlijke en utiliteitsbouw</v>
      </c>
      <c r="F237" s="7" t="str">
        <f>IFERROR(__xludf.DUMMYFUNCTION("""COMPUTED_VALUE"""),"0652028800")</f>
        <v>0652028800</v>
      </c>
      <c r="G237" s="6" t="str">
        <f>IFERROR(__xludf.DUMMYFUNCTION("""COMPUTED_VALUE"""),"kdafbouw@gmail.com")</f>
        <v>kdafbouw@gmail.com</v>
      </c>
      <c r="H237" s="6" t="str">
        <f>IFERROR(__xludf.DUMMYFUNCTION("""COMPUTED_VALUE"""),"Van Diesenstraat 79")</f>
        <v>Van Diesenstraat 79</v>
      </c>
      <c r="I237" s="6" t="str">
        <f>IFERROR(__xludf.DUMMYFUNCTION("""COMPUTED_VALUE"""),"2521EE")</f>
        <v>2521EE</v>
      </c>
      <c r="J237" s="6" t="str">
        <f>IFERROR(__xludf.DUMMYFUNCTION("""COMPUTED_VALUE"""),"`s-Gravenhage")</f>
        <v>`s-Gravenhage</v>
      </c>
      <c r="K237" s="6" t="str">
        <f>IFERROR(__xludf.DUMMYFUNCTION("""COMPUTED_VALUE"""),"Nederland")</f>
        <v>Nederland</v>
      </c>
      <c r="L237" s="6"/>
      <c r="M237" s="8">
        <f>IFERROR(__xludf.DUMMYFUNCTION("""COMPUTED_VALUE"""),43175.0)</f>
        <v>43175</v>
      </c>
      <c r="N237" s="6" t="str">
        <f>IFERROR(__xludf.DUMMYFUNCTION("""COMPUTED_VALUE"""),"NL858169745B01")</f>
        <v>NL858169745B01</v>
      </c>
      <c r="O237" s="6">
        <f>IFERROR(__xludf.DUMMYFUNCTION("""COMPUTED_VALUE"""),7.0164223E7)</f>
        <v>70164223</v>
      </c>
      <c r="P237" s="6" t="str">
        <f>IFERROR(__xludf.DUMMYFUNCTION("""COMPUTED_VALUE"""),"NL53INGB0008086344")</f>
        <v>NL53INGB0008086344</v>
      </c>
      <c r="Q237" s="9">
        <f>IFERROR(__xludf.DUMMYFUNCTION("""COMPUTED_VALUE"""),40603.0)</f>
        <v>40603</v>
      </c>
      <c r="R237" s="6"/>
      <c r="S237" s="6" t="str">
        <f>IFERROR(__xludf.DUMMYFUNCTION("""COMPUTED_VALUE"""),"NL858169745B01")</f>
        <v>NL858169745B01</v>
      </c>
      <c r="T237" s="6">
        <f>IFERROR(__xludf.DUMMYFUNCTION("""COMPUTED_VALUE"""),8.58169745E8)</f>
        <v>858169745</v>
      </c>
      <c r="U237" s="7" t="str">
        <f>IFERROR(__xludf.DUMMYFUNCTION("""COMPUTED_VALUE"""),"Besloten Vennootschap")</f>
        <v>Besloten Vennootschap</v>
      </c>
      <c r="V237" s="7" t="str">
        <f>IFERROR(__xludf.DUMMYFUNCTION("""COMPUTED_VALUE"""),"000038462036")</f>
        <v>000038462036</v>
      </c>
      <c r="W237" s="6" t="str">
        <f>IFERROR(__xludf.DUMMYFUNCTION("""COMPUTED_VALUE"""),"ink.kdafbouwenverbouwbv.2288aa@zarabota.nl")</f>
        <v>ink.kdafbouwenverbouwbv.2288aa@zarabota.nl</v>
      </c>
      <c r="X237" s="6" t="str">
        <f>IFERROR(__xludf.DUMMYFUNCTION("""COMPUTED_VALUE"""),"ver.kdafbouwenverbouwbv.2288aa@zarabota.nl")</f>
        <v>ver.kdafbouwenverbouwbv.2288aa@zarabota.nl</v>
      </c>
      <c r="Y237" s="6" t="str">
        <f>IFERROR(__xludf.DUMMYFUNCTION("""COMPUTED_VALUE"""),"Hr.")</f>
        <v>Hr.</v>
      </c>
      <c r="Z237" s="6" t="str">
        <f>IFERROR(__xludf.DUMMYFUNCTION("""COMPUTED_VALUE"""),"Kiril Georgiev")</f>
        <v>Kiril Georgiev</v>
      </c>
      <c r="AA237" s="6" t="str">
        <f>IFERROR(__xludf.DUMMYFUNCTION("""COMPUTED_VALUE"""),"Mitev")</f>
        <v>Mitev</v>
      </c>
      <c r="AB237" s="6" t="str">
        <f>IFERROR(__xludf.DUMMYFUNCTION("""COMPUTED_VALUE"""),"K.G.")</f>
        <v>K.G.</v>
      </c>
      <c r="AC237" s="6">
        <f>IFERROR(__xludf.DUMMYFUNCTION("""COMPUTED_VALUE"""),3.0682414E8)</f>
        <v>306824140</v>
      </c>
      <c r="AD237" s="9">
        <f>IFERROR(__xludf.DUMMYFUNCTION("""COMPUTED_VALUE"""),29507.0)</f>
        <v>29507</v>
      </c>
      <c r="AE237" s="6" t="str">
        <f>IFERROR(__xludf.DUMMYFUNCTION("""COMPUTED_VALUE"""),"bg")</f>
        <v>bg</v>
      </c>
      <c r="AF237" s="6" t="str">
        <f>IFERROR(__xludf.DUMMYFUNCTION("""COMPUTED_VALUE"""),"Harmanli")</f>
        <v>Harmanli</v>
      </c>
      <c r="AG237" s="6" t="str">
        <f>IFERROR(__xludf.DUMMYFUNCTION("""COMPUTED_VALUE"""),"Hr. K.G. Mitev")</f>
        <v>Hr. K.G. Mitev</v>
      </c>
      <c r="AH237" s="6" t="str">
        <f>IFERROR(__xludf.DUMMYFUNCTION("""COMPUTED_VALUE"""),"NL26INGB0758067453")</f>
        <v>NL26INGB0758067453</v>
      </c>
      <c r="AI237" s="6"/>
      <c r="AJ237" s="6" t="str">
        <f>IFERROR(__xludf.DUMMYFUNCTION("""COMPUTED_VALUE"""),"ID Kaart")</f>
        <v>ID Kaart</v>
      </c>
      <c r="AK237" s="6">
        <f>IFERROR(__xludf.DUMMYFUNCTION("""COMPUTED_VALUE"""),6.50741403E8)</f>
        <v>650741403</v>
      </c>
      <c r="AL237" s="9">
        <f>IFERROR(__xludf.DUMMYFUNCTION("""COMPUTED_VALUE"""),48064.0)</f>
        <v>48064</v>
      </c>
      <c r="AM237" s="6" t="str">
        <f>IFERROR(__xludf.DUMMYFUNCTION("""COMPUTED_VALUE"""),"Bulgarije")</f>
        <v>Bulgarije</v>
      </c>
      <c r="AN237" s="6" t="str">
        <f>IFERROR(__xludf.DUMMYFUNCTION("""COMPUTED_VALUE"""),"Kiril Georgiev Mitev")</f>
        <v>Kiril Georgiev Mitev</v>
      </c>
      <c r="AO237" s="6"/>
    </row>
    <row r="238">
      <c r="A238" s="6" t="str">
        <f>IFERROR(__xludf.DUMMYFUNCTION("""COMPUTED_VALUE"""),"KD Trans VOF")</f>
        <v>KD Trans VOF</v>
      </c>
      <c r="B238" s="6" t="str">
        <f>IFERROR(__xludf.DUMMYFUNCTION("""COMPUTED_VALUE"""),"KD Trans VOF")</f>
        <v>KD Trans VOF</v>
      </c>
      <c r="C238" s="6">
        <f>IFERROR(__xludf.DUMMYFUNCTION("""COMPUTED_VALUE"""),538.0)</f>
        <v>538</v>
      </c>
      <c r="D238" s="7" t="str">
        <f>IFERROR(__xludf.DUMMYFUNCTION("""COMPUTED_VALUE"""),"Kostantin Dimov Kostadinov")</f>
        <v>Kostantin Dimov Kostadinov</v>
      </c>
      <c r="E238" s="7" t="str">
        <f>IFERROR(__xludf.DUMMYFUNCTION("""COMPUTED_VALUE"""),"SBI-code: 4120 - Algemene burgerlijke en utiliteitsbouw")</f>
        <v>SBI-code: 4120 - Algemene burgerlijke en utiliteitsbouw</v>
      </c>
      <c r="F238" s="7" t="str">
        <f>IFERROR(__xludf.DUMMYFUNCTION("""COMPUTED_VALUE"""),"0685233359")</f>
        <v>0685233359</v>
      </c>
      <c r="G238" s="6" t="str">
        <f>IFERROR(__xludf.DUMMYFUNCTION("""COMPUTED_VALUE"""),"koci0504@gmail.com")</f>
        <v>koci0504@gmail.com</v>
      </c>
      <c r="H238" s="6" t="str">
        <f>IFERROR(__xludf.DUMMYFUNCTION("""COMPUTED_VALUE"""),"Uilenhoek 28")</f>
        <v>Uilenhoek 28</v>
      </c>
      <c r="I238" s="6" t="str">
        <f>IFERROR(__xludf.DUMMYFUNCTION("""COMPUTED_VALUE"""),"3201SL")</f>
        <v>3201SL</v>
      </c>
      <c r="J238" s="6" t="str">
        <f>IFERROR(__xludf.DUMMYFUNCTION("""COMPUTED_VALUE"""),"Spijkenisse")</f>
        <v>Spijkenisse</v>
      </c>
      <c r="K238" s="6" t="str">
        <f>IFERROR(__xludf.DUMMYFUNCTION("""COMPUTED_VALUE"""),"Nederland")</f>
        <v>Nederland</v>
      </c>
      <c r="L238" s="6" t="str">
        <f>IFERROR(__xludf.DUMMYFUNCTION("""COMPUTED_VALUE"""),"Костадинова")</f>
        <v>Костадинова</v>
      </c>
      <c r="M238" s="8">
        <f>IFERROR(__xludf.DUMMYFUNCTION("""COMPUTED_VALUE"""),43175.0)</f>
        <v>43175</v>
      </c>
      <c r="N238" s="6" t="str">
        <f>IFERROR(__xludf.DUMMYFUNCTION("""COMPUTED_VALUE"""),"NL858494292B01")</f>
        <v>NL858494292B01</v>
      </c>
      <c r="O238" s="6">
        <f>IFERROR(__xludf.DUMMYFUNCTION("""COMPUTED_VALUE"""),7.0876339E7)</f>
        <v>70876339</v>
      </c>
      <c r="P238" s="6" t="str">
        <f>IFERROR(__xludf.DUMMYFUNCTION("""COMPUTED_VALUE"""),"NL12INGB0008220651")</f>
        <v>NL12INGB0008220651</v>
      </c>
      <c r="Q238" s="9">
        <f>IFERROR(__xludf.DUMMYFUNCTION("""COMPUTED_VALUE"""),43143.0)</f>
        <v>43143</v>
      </c>
      <c r="R238" s="6"/>
      <c r="S238" s="6" t="str">
        <f>IFERROR(__xludf.DUMMYFUNCTION("""COMPUTED_VALUE"""),"NL858494292B01")</f>
        <v>NL858494292B01</v>
      </c>
      <c r="T238" s="6">
        <f>IFERROR(__xludf.DUMMYFUNCTION("""COMPUTED_VALUE"""),8.58494292E8)</f>
        <v>858494292</v>
      </c>
      <c r="U238" s="7" t="str">
        <f>IFERROR(__xludf.DUMMYFUNCTION("""COMPUTED_VALUE"""),"Vennootschap Onder Firma")</f>
        <v>Vennootschap Onder Firma</v>
      </c>
      <c r="V238" s="7" t="str">
        <f>IFERROR(__xludf.DUMMYFUNCTION("""COMPUTED_VALUE"""),"000039108112")</f>
        <v>000039108112</v>
      </c>
      <c r="W238" s="6" t="str">
        <f>IFERROR(__xludf.DUMMYFUNCTION("""COMPUTED_VALUE"""),"ink.kdtransvof.2288aa@zarabota.nl")</f>
        <v>ink.kdtransvof.2288aa@zarabota.nl</v>
      </c>
      <c r="X238" s="6" t="str">
        <f>IFERROR(__xludf.DUMMYFUNCTION("""COMPUTED_VALUE"""),"ver.kdtransvof.2288aa@zarabota.nl")</f>
        <v>ver.kdtransvof.2288aa@zarabota.nl</v>
      </c>
      <c r="Y238" s="6" t="str">
        <f>IFERROR(__xludf.DUMMYFUNCTION("""COMPUTED_VALUE"""),"Hr.")</f>
        <v>Hr.</v>
      </c>
      <c r="Z238" s="6" t="str">
        <f>IFERROR(__xludf.DUMMYFUNCTION("""COMPUTED_VALUE"""),"Kostantin Dimov")</f>
        <v>Kostantin Dimov</v>
      </c>
      <c r="AA238" s="6" t="str">
        <f>IFERROR(__xludf.DUMMYFUNCTION("""COMPUTED_VALUE"""),"Kostadinov")</f>
        <v>Kostadinov</v>
      </c>
      <c r="AB238" s="6" t="str">
        <f>IFERROR(__xludf.DUMMYFUNCTION("""COMPUTED_VALUE"""),"K.D.")</f>
        <v>K.D.</v>
      </c>
      <c r="AC238" s="6">
        <f>IFERROR(__xludf.DUMMYFUNCTION("""COMPUTED_VALUE"""),5.54572448E8)</f>
        <v>554572448</v>
      </c>
      <c r="AD238" s="9">
        <f>IFERROR(__xludf.DUMMYFUNCTION("""COMPUTED_VALUE"""),28585.0)</f>
        <v>28585</v>
      </c>
      <c r="AE238" s="6" t="str">
        <f>IFERROR(__xludf.DUMMYFUNCTION("""COMPUTED_VALUE"""),"bg")</f>
        <v>bg</v>
      </c>
      <c r="AF238" s="6" t="str">
        <f>IFERROR(__xludf.DUMMYFUNCTION("""COMPUTED_VALUE"""),"Stara Zagora")</f>
        <v>Stara Zagora</v>
      </c>
      <c r="AG238" s="6" t="str">
        <f>IFERROR(__xludf.DUMMYFUNCTION("""COMPUTED_VALUE"""),"Hr. K.D. Kostadinov")</f>
        <v>Hr. K.D. Kostadinov</v>
      </c>
      <c r="AH238" s="6"/>
      <c r="AI238" s="6"/>
      <c r="AJ238" s="6" t="str">
        <f>IFERROR(__xludf.DUMMYFUNCTION("""COMPUTED_VALUE"""),"ID Kaart")</f>
        <v>ID Kaart</v>
      </c>
      <c r="AK238" s="6">
        <f>IFERROR(__xludf.DUMMYFUNCTION("""COMPUTED_VALUE"""),6.41028419E8)</f>
        <v>641028419</v>
      </c>
      <c r="AL238" s="9">
        <f>IFERROR(__xludf.DUMMYFUNCTION("""COMPUTED_VALUE"""),44091.0)</f>
        <v>44091</v>
      </c>
      <c r="AM238" s="6"/>
      <c r="AN238" s="6" t="str">
        <f>IFERROR(__xludf.DUMMYFUNCTION("""COMPUTED_VALUE"""),"Kostantin Dimov Kostadinov")</f>
        <v>Kostantin Dimov Kostadinov</v>
      </c>
      <c r="AO238" s="6">
        <f>IFERROR(__xludf.DUMMYFUNCTION("""COMPUTED_VALUE"""),538.0)</f>
        <v>538</v>
      </c>
    </row>
    <row r="239">
      <c r="A239" s="6" t="str">
        <f>IFERROR(__xludf.DUMMYFUNCTION("""COMPUTED_VALUE"""),"KikiKiril")</f>
        <v>KikiKiril</v>
      </c>
      <c r="B239" s="6" t="str">
        <f>IFERROR(__xludf.DUMMYFUNCTION("""COMPUTED_VALUE"""),"KikiKiril")</f>
        <v>KikiKiril</v>
      </c>
      <c r="C239" s="6">
        <f>IFERROR(__xludf.DUMMYFUNCTION("""COMPUTED_VALUE"""),1761.0)</f>
        <v>1761</v>
      </c>
      <c r="D239" s="7" t="str">
        <f>IFERROR(__xludf.DUMMYFUNCTION("""COMPUTED_VALUE"""),"Kiril Gospodinov Kirilov")</f>
        <v>Kiril Gospodinov Kirilov</v>
      </c>
      <c r="E239" s="7" t="str">
        <f>IFERROR(__xludf.DUMMYFUNCTION("""COMPUTED_VALUE"""),"SBI-code: 4120 - Algemene burgerlijke en utiliteitsbouw")</f>
        <v>SBI-code: 4120 - Algemene burgerlijke en utiliteitsbouw</v>
      </c>
      <c r="F239" s="7" t="str">
        <f>IFERROR(__xludf.DUMMYFUNCTION("""COMPUTED_VALUE"""),"0684415351")</f>
        <v>0684415351</v>
      </c>
      <c r="G239" s="6" t="str">
        <f>IFERROR(__xludf.DUMMYFUNCTION("""COMPUTED_VALUE"""),"kirchokirchov8@gmail.com")</f>
        <v>kirchokirchov8@gmail.com</v>
      </c>
      <c r="H239" s="6" t="str">
        <f>IFERROR(__xludf.DUMMYFUNCTION("""COMPUTED_VALUE"""),"Mathenesserdijk 267 C O2")</f>
        <v>Mathenesserdijk 267 C O2</v>
      </c>
      <c r="I239" s="6" t="str">
        <f>IFERROR(__xludf.DUMMYFUNCTION("""COMPUTED_VALUE"""),"3027BN")</f>
        <v>3027BN</v>
      </c>
      <c r="J239" s="6" t="str">
        <f>IFERROR(__xludf.DUMMYFUNCTION("""COMPUTED_VALUE"""),"Rotterdam")</f>
        <v>Rotterdam</v>
      </c>
      <c r="K239" s="6" t="str">
        <f>IFERROR(__xludf.DUMMYFUNCTION("""COMPUTED_VALUE"""),"Nederland")</f>
        <v>Nederland</v>
      </c>
      <c r="L239" s="6" t="str">
        <f>IFERROR(__xludf.DUMMYFUNCTION("""COMPUTED_VALUE"""),"Кирилов")</f>
        <v>Кирилов</v>
      </c>
      <c r="M239" s="8">
        <f>IFERROR(__xludf.DUMMYFUNCTION("""COMPUTED_VALUE"""),46023.0)</f>
        <v>46023</v>
      </c>
      <c r="N239" s="6" t="str">
        <f>IFERROR(__xludf.DUMMYFUNCTION("""COMPUTED_VALUE"""),"NL321576895B01")</f>
        <v>NL321576895B01</v>
      </c>
      <c r="O239" s="6">
        <f>IFERROR(__xludf.DUMMYFUNCTION("""COMPUTED_VALUE"""),8.9608275E7)</f>
        <v>89608275</v>
      </c>
      <c r="P239" s="6" t="str">
        <f>IFERROR(__xludf.DUMMYFUNCTION("""COMPUTED_VALUE"""),"NL38INGB0100899609")</f>
        <v>NL38INGB0100899609</v>
      </c>
      <c r="Q239" s="6"/>
      <c r="R239" s="6"/>
      <c r="S239" s="6" t="str">
        <f>IFERROR(__xludf.DUMMYFUNCTION("""COMPUTED_VALUE"""),"NL004746653B63")</f>
        <v>NL004746653B63</v>
      </c>
      <c r="T239" s="6">
        <f>IFERROR(__xludf.DUMMYFUNCTION("""COMPUTED_VALUE"""),3.21576895E8)</f>
        <v>321576895</v>
      </c>
      <c r="U239" s="7" t="str">
        <f>IFERROR(__xludf.DUMMYFUNCTION("""COMPUTED_VALUE"""),"Eenmanszaak")</f>
        <v>Eenmanszaak</v>
      </c>
      <c r="V239" s="7" t="str">
        <f>IFERROR(__xludf.DUMMYFUNCTION("""COMPUTED_VALUE"""),"000055392725")</f>
        <v>000055392725</v>
      </c>
      <c r="W239" s="6" t="str">
        <f>IFERROR(__xludf.DUMMYFUNCTION("""COMPUTED_VALUE"""),"ink.kikikiril.2288aa@zarabota.nl")</f>
        <v>ink.kikikiril.2288aa@zarabota.nl</v>
      </c>
      <c r="X239" s="6" t="str">
        <f>IFERROR(__xludf.DUMMYFUNCTION("""COMPUTED_VALUE"""),"ver.kikikiril.2288aa@zarabota.nl")</f>
        <v>ver.kikikiril.2288aa@zarabota.nl</v>
      </c>
      <c r="Y239" s="6" t="str">
        <f>IFERROR(__xludf.DUMMYFUNCTION("""COMPUTED_VALUE"""),"Hr.")</f>
        <v>Hr.</v>
      </c>
      <c r="Z239" s="6" t="str">
        <f>IFERROR(__xludf.DUMMYFUNCTION("""COMPUTED_VALUE"""),"Kiril Gospodinov")</f>
        <v>Kiril Gospodinov</v>
      </c>
      <c r="AA239" s="6" t="str">
        <f>IFERROR(__xludf.DUMMYFUNCTION("""COMPUTED_VALUE"""),"Kirilov")</f>
        <v>Kirilov</v>
      </c>
      <c r="AB239" s="6" t="str">
        <f>IFERROR(__xludf.DUMMYFUNCTION("""COMPUTED_VALUE"""),"K.G.")</f>
        <v>K.G.</v>
      </c>
      <c r="AC239" s="6">
        <f>IFERROR(__xludf.DUMMYFUNCTION("""COMPUTED_VALUE"""),3.21576895E8)</f>
        <v>321576895</v>
      </c>
      <c r="AD239" s="9">
        <f>IFERROR(__xludf.DUMMYFUNCTION("""COMPUTED_VALUE"""),37674.0)</f>
        <v>37674</v>
      </c>
      <c r="AE239" s="6" t="str">
        <f>IFERROR(__xludf.DUMMYFUNCTION("""COMPUTED_VALUE"""),"bg")</f>
        <v>bg</v>
      </c>
      <c r="AF239" s="6" t="str">
        <f>IFERROR(__xludf.DUMMYFUNCTION("""COMPUTED_VALUE"""),"Stara Zagora")</f>
        <v>Stara Zagora</v>
      </c>
      <c r="AG239" s="6" t="str">
        <f>IFERROR(__xludf.DUMMYFUNCTION("""COMPUTED_VALUE"""),"Hr. K.G. Kirilov")</f>
        <v>Hr. K.G. Kirilov</v>
      </c>
      <c r="AH239" s="6" t="str">
        <f>IFERROR(__xludf.DUMMYFUNCTION("""COMPUTED_VALUE"""),"NL86INGB0100072887")</f>
        <v>NL86INGB0100072887</v>
      </c>
      <c r="AI239" s="6"/>
      <c r="AJ239" s="6" t="str">
        <f>IFERROR(__xludf.DUMMYFUNCTION("""COMPUTED_VALUE"""),"ID Kaart")</f>
        <v>ID Kaart</v>
      </c>
      <c r="AK239" s="6">
        <f>IFERROR(__xludf.DUMMYFUNCTION("""COMPUTED_VALUE"""),6.5161314E8)</f>
        <v>651613140</v>
      </c>
      <c r="AL239" s="9">
        <f>IFERROR(__xludf.DUMMYFUNCTION("""COMPUTED_VALUE"""),48237.0)</f>
        <v>48237</v>
      </c>
      <c r="AM239" s="6" t="str">
        <f>IFERROR(__xludf.DUMMYFUNCTION("""COMPUTED_VALUE"""),"Bulgarije")</f>
        <v>Bulgarije</v>
      </c>
      <c r="AN239" s="6" t="str">
        <f>IFERROR(__xludf.DUMMYFUNCTION("""COMPUTED_VALUE"""),"Kiril Gospodinov Kirilov")</f>
        <v>Kiril Gospodinov Kirilov</v>
      </c>
      <c r="AO239" s="6">
        <f>IFERROR(__xludf.DUMMYFUNCTION("""COMPUTED_VALUE"""),1761.0)</f>
        <v>1761</v>
      </c>
    </row>
    <row r="240">
      <c r="A240" s="6" t="str">
        <f>IFERROR(__xludf.DUMMYFUNCTION("""COMPUTED_VALUE"""),"Kirilov")</f>
        <v>Kirilov</v>
      </c>
      <c r="B240" s="6" t="str">
        <f>IFERROR(__xludf.DUMMYFUNCTION("""COMPUTED_VALUE"""),"Kirilov")</f>
        <v>Kirilov</v>
      </c>
      <c r="C240" s="6">
        <f>IFERROR(__xludf.DUMMYFUNCTION("""COMPUTED_VALUE"""),1584.0)</f>
        <v>1584</v>
      </c>
      <c r="D240" s="7" t="str">
        <f>IFERROR(__xludf.DUMMYFUNCTION("""COMPUTED_VALUE"""),"Hristo Kirilov Hristov")</f>
        <v>Hristo Kirilov Hristov</v>
      </c>
      <c r="E240" s="7" t="str">
        <f>IFERROR(__xludf.DUMMYFUNCTION("""COMPUTED_VALUE"""),"SBI-code: 4120 - Algemene burgerlijke en utiliteitsbouw")</f>
        <v>SBI-code: 4120 - Algemene burgerlijke en utiliteitsbouw</v>
      </c>
      <c r="F240" s="7" t="str">
        <f>IFERROR(__xludf.DUMMYFUNCTION("""COMPUTED_VALUE"""),"0684886176")</f>
        <v>0684886176</v>
      </c>
      <c r="G240" s="6" t="str">
        <f>IFERROR(__xludf.DUMMYFUNCTION("""COMPUTED_VALUE"""),"xristohristov795@gmail.com")</f>
        <v>xristohristov795@gmail.com</v>
      </c>
      <c r="H240" s="6" t="str">
        <f>IFERROR(__xludf.DUMMYFUNCTION("""COMPUTED_VALUE"""),"Herman Costerstraat 293")</f>
        <v>Herman Costerstraat 293</v>
      </c>
      <c r="I240" s="6" t="str">
        <f>IFERROR(__xludf.DUMMYFUNCTION("""COMPUTED_VALUE"""),"2571PK")</f>
        <v>2571PK</v>
      </c>
      <c r="J240" s="6" t="str">
        <f>IFERROR(__xludf.DUMMYFUNCTION("""COMPUTED_VALUE"""),"s-Gravenhage")</f>
        <v>s-Gravenhage</v>
      </c>
      <c r="K240" s="6" t="str">
        <f>IFERROR(__xludf.DUMMYFUNCTION("""COMPUTED_VALUE"""),"Nederland")</f>
        <v>Nederland</v>
      </c>
      <c r="L240" s="6" t="str">
        <f>IFERROR(__xludf.DUMMYFUNCTION("""COMPUTED_VALUE"""),"Христов")</f>
        <v>Христов</v>
      </c>
      <c r="M240" s="8">
        <f>IFERROR(__xludf.DUMMYFUNCTION("""COMPUTED_VALUE"""),45292.0)</f>
        <v>45292</v>
      </c>
      <c r="N240" s="6" t="str">
        <f>IFERROR(__xludf.DUMMYFUNCTION("""COMPUTED_VALUE"""),"NL695414604B01")</f>
        <v>NL695414604B01</v>
      </c>
      <c r="O240" s="6">
        <f>IFERROR(__xludf.DUMMYFUNCTION("""COMPUTED_VALUE"""),7.8764033E7)</f>
        <v>78764033</v>
      </c>
      <c r="P240" s="6" t="str">
        <f>IFERROR(__xludf.DUMMYFUNCTION("""COMPUTED_VALUE"""),"NL67INGB0008125377")</f>
        <v>NL67INGB0008125377</v>
      </c>
      <c r="Q240" s="9">
        <f>IFERROR(__xludf.DUMMYFUNCTION("""COMPUTED_VALUE"""),44044.0)</f>
        <v>44044</v>
      </c>
      <c r="R240" s="6"/>
      <c r="S240" s="6" t="str">
        <f>IFERROR(__xludf.DUMMYFUNCTION("""COMPUTED_VALUE"""),"NL003377402B54")</f>
        <v>NL003377402B54</v>
      </c>
      <c r="T240" s="6">
        <f>IFERROR(__xludf.DUMMYFUNCTION("""COMPUTED_VALUE"""),6.95414604E8)</f>
        <v>695414604</v>
      </c>
      <c r="U240" s="7" t="str">
        <f>IFERROR(__xludf.DUMMYFUNCTION("""COMPUTED_VALUE"""),"Eenmanszaak")</f>
        <v>Eenmanszaak</v>
      </c>
      <c r="V240" s="7" t="str">
        <f>IFERROR(__xludf.DUMMYFUNCTION("""COMPUTED_VALUE"""),"000046369546")</f>
        <v>000046369546</v>
      </c>
      <c r="W240" s="6" t="str">
        <f>IFERROR(__xludf.DUMMYFUNCTION("""COMPUTED_VALUE"""),"ink.kirilov.2288aa@zarabota.nl")</f>
        <v>ink.kirilov.2288aa@zarabota.nl</v>
      </c>
      <c r="X240" s="6" t="str">
        <f>IFERROR(__xludf.DUMMYFUNCTION("""COMPUTED_VALUE"""),"ver.kirilov.2288aa@zarabota.nl")</f>
        <v>ver.kirilov.2288aa@zarabota.nl</v>
      </c>
      <c r="Y240" s="6" t="str">
        <f>IFERROR(__xludf.DUMMYFUNCTION("""COMPUTED_VALUE"""),"Hr.")</f>
        <v>Hr.</v>
      </c>
      <c r="Z240" s="6" t="str">
        <f>IFERROR(__xludf.DUMMYFUNCTION("""COMPUTED_VALUE"""),"Hristo Kirilov")</f>
        <v>Hristo Kirilov</v>
      </c>
      <c r="AA240" s="6" t="str">
        <f>IFERROR(__xludf.DUMMYFUNCTION("""COMPUTED_VALUE"""),"Hristov")</f>
        <v>Hristov</v>
      </c>
      <c r="AB240" s="6" t="str">
        <f>IFERROR(__xludf.DUMMYFUNCTION("""COMPUTED_VALUE"""),"H.K.")</f>
        <v>H.K.</v>
      </c>
      <c r="AC240" s="6">
        <f>IFERROR(__xludf.DUMMYFUNCTION("""COMPUTED_VALUE"""),6.95414604E8)</f>
        <v>695414604</v>
      </c>
      <c r="AD240" s="9">
        <f>IFERROR(__xludf.DUMMYFUNCTION("""COMPUTED_VALUE"""),24523.0)</f>
        <v>24523</v>
      </c>
      <c r="AE240" s="6" t="str">
        <f>IFERROR(__xludf.DUMMYFUNCTION("""COMPUTED_VALUE"""),"bg")</f>
        <v>bg</v>
      </c>
      <c r="AF240" s="6" t="str">
        <f>IFERROR(__xludf.DUMMYFUNCTION("""COMPUTED_VALUE"""),"Elhovo")</f>
        <v>Elhovo</v>
      </c>
      <c r="AG240" s="6" t="str">
        <f>IFERROR(__xludf.DUMMYFUNCTION("""COMPUTED_VALUE"""),"Hr. H.K. Hristov")</f>
        <v>Hr. H.K. Hristov</v>
      </c>
      <c r="AH240" s="6" t="str">
        <f>IFERROR(__xludf.DUMMYFUNCTION("""COMPUTED_VALUE"""),"NL10INGB0669352705")</f>
        <v>NL10INGB0669352705</v>
      </c>
      <c r="AI240" s="6"/>
      <c r="AJ240" s="6" t="str">
        <f>IFERROR(__xludf.DUMMYFUNCTION("""COMPUTED_VALUE"""),"ID Kaart")</f>
        <v>ID Kaart</v>
      </c>
      <c r="AK240" s="6">
        <f>IFERROR(__xludf.DUMMYFUNCTION("""COMPUTED_VALUE"""),6.51281879E8)</f>
        <v>651281879</v>
      </c>
      <c r="AL240" s="9">
        <f>IFERROR(__xludf.DUMMYFUNCTION("""COMPUTED_VALUE"""),48245.0)</f>
        <v>48245</v>
      </c>
      <c r="AM240" s="6" t="str">
        <f>IFERROR(__xludf.DUMMYFUNCTION("""COMPUTED_VALUE"""),"Bulgarije")</f>
        <v>Bulgarije</v>
      </c>
      <c r="AN240" s="6" t="str">
        <f>IFERROR(__xludf.DUMMYFUNCTION("""COMPUTED_VALUE"""),"Hristo Kirilov Hristov")</f>
        <v>Hristo Kirilov Hristov</v>
      </c>
      <c r="AO240" s="6">
        <f>IFERROR(__xludf.DUMMYFUNCTION("""COMPUTED_VALUE"""),1584.0)</f>
        <v>1584</v>
      </c>
    </row>
    <row r="241">
      <c r="A241" s="6" t="str">
        <f>IFERROR(__xludf.DUMMYFUNCTION("""COMPUTED_VALUE"""),"Klenko VOF")</f>
        <v>Klenko VOF</v>
      </c>
      <c r="B241" s="6" t="str">
        <f>IFERROR(__xludf.DUMMYFUNCTION("""COMPUTED_VALUE"""),"Klenko VOF")</f>
        <v>Klenko VOF</v>
      </c>
      <c r="C241" s="6">
        <f>IFERROR(__xludf.DUMMYFUNCTION("""COMPUTED_VALUE"""),440.0)</f>
        <v>440</v>
      </c>
      <c r="D241" s="7" t="str">
        <f>IFERROR(__xludf.DUMMYFUNCTION("""COMPUTED_VALUE"""),"Slavica Klenkoski")</f>
        <v>Slavica Klenkoski</v>
      </c>
      <c r="E241" s="7" t="str">
        <f>IFERROR(__xludf.DUMMYFUNCTION("""COMPUTED_VALUE"""),"SBI-code: 4120 - Algemene burgerlijke en utiliteitsbouw")</f>
        <v>SBI-code: 4120 - Algemene burgerlijke en utiliteitsbouw</v>
      </c>
      <c r="F241" s="7" t="str">
        <f>IFERROR(__xludf.DUMMYFUNCTION("""COMPUTED_VALUE"""),"0623701722")</f>
        <v>0623701722</v>
      </c>
      <c r="G241" s="6" t="str">
        <f>IFERROR(__xludf.DUMMYFUNCTION("""COMPUTED_VALUE"""),"klenkodarko@gmail.com")</f>
        <v>klenkodarko@gmail.com</v>
      </c>
      <c r="H241" s="6" t="str">
        <f>IFERROR(__xludf.DUMMYFUNCTION("""COMPUTED_VALUE"""),"Mannagras 44")</f>
        <v>Mannagras 44</v>
      </c>
      <c r="I241" s="6" t="str">
        <f>IFERROR(__xludf.DUMMYFUNCTION("""COMPUTED_VALUE"""),"8935RV")</f>
        <v>8935RV</v>
      </c>
      <c r="J241" s="6" t="str">
        <f>IFERROR(__xludf.DUMMYFUNCTION("""COMPUTED_VALUE"""),"Leeuwarden")</f>
        <v>Leeuwarden</v>
      </c>
      <c r="K241" s="6" t="str">
        <f>IFERROR(__xludf.DUMMYFUNCTION("""COMPUTED_VALUE"""),"Nederland")</f>
        <v>Nederland</v>
      </c>
      <c r="L241" s="6" t="str">
        <f>IFERROR(__xludf.DUMMYFUNCTION("""COMPUTED_VALUE"""),"Кленкоски")</f>
        <v>Кленкоски</v>
      </c>
      <c r="M241" s="8">
        <f>IFERROR(__xludf.DUMMYFUNCTION("""COMPUTED_VALUE"""),42887.0)</f>
        <v>42887</v>
      </c>
      <c r="N241" s="6" t="str">
        <f>IFERROR(__xludf.DUMMYFUNCTION("""COMPUTED_VALUE"""),"NL857934223B01")</f>
        <v>NL857934223B01</v>
      </c>
      <c r="O241" s="6">
        <f>IFERROR(__xludf.DUMMYFUNCTION("""COMPUTED_VALUE"""),6.9598908E7)</f>
        <v>69598908</v>
      </c>
      <c r="P241" s="6" t="str">
        <f>IFERROR(__xludf.DUMMYFUNCTION("""COMPUTED_VALUE"""),"NL43INGB0007841793")</f>
        <v>NL43INGB0007841793</v>
      </c>
      <c r="Q241" s="9">
        <f>IFERROR(__xludf.DUMMYFUNCTION("""COMPUTED_VALUE"""),43009.0)</f>
        <v>43009</v>
      </c>
      <c r="R241" s="6"/>
      <c r="S241" s="6" t="str">
        <f>IFERROR(__xludf.DUMMYFUNCTION("""COMPUTED_VALUE"""),"NL857934223B01")</f>
        <v>NL857934223B01</v>
      </c>
      <c r="T241" s="6">
        <f>IFERROR(__xludf.DUMMYFUNCTION("""COMPUTED_VALUE"""),8.57934223E8)</f>
        <v>857934223</v>
      </c>
      <c r="U241" s="7" t="str">
        <f>IFERROR(__xludf.DUMMYFUNCTION("""COMPUTED_VALUE"""),"Vennootschap Onder Firma")</f>
        <v>Vennootschap Onder Firma</v>
      </c>
      <c r="V241" s="7" t="str">
        <f>IFERROR(__xludf.DUMMYFUNCTION("""COMPUTED_VALUE"""),"000037444638")</f>
        <v>000037444638</v>
      </c>
      <c r="W241" s="6" t="str">
        <f>IFERROR(__xludf.DUMMYFUNCTION("""COMPUTED_VALUE"""),"ink.klenkovof.2288aa@zarabota.nl")</f>
        <v>ink.klenkovof.2288aa@zarabota.nl</v>
      </c>
      <c r="X241" s="6" t="str">
        <f>IFERROR(__xludf.DUMMYFUNCTION("""COMPUTED_VALUE"""),"ver.klenkovof.2288aa@zarabota.nl")</f>
        <v>ver.klenkovof.2288aa@zarabota.nl</v>
      </c>
      <c r="Y241" s="6" t="str">
        <f>IFERROR(__xludf.DUMMYFUNCTION("""COMPUTED_VALUE"""),"Hr.")</f>
        <v>Hr.</v>
      </c>
      <c r="Z241" s="6" t="str">
        <f>IFERROR(__xludf.DUMMYFUNCTION("""COMPUTED_VALUE"""),"Darko Iliev")</f>
        <v>Darko Iliev</v>
      </c>
      <c r="AA241" s="6" t="str">
        <f>IFERROR(__xludf.DUMMYFUNCTION("""COMPUTED_VALUE"""),"Klenkoski")</f>
        <v>Klenkoski</v>
      </c>
      <c r="AB241" s="6" t="str">
        <f>IFERROR(__xludf.DUMMYFUNCTION("""COMPUTED_VALUE"""),"D.I.")</f>
        <v>D.I.</v>
      </c>
      <c r="AC241" s="6">
        <f>IFERROR(__xludf.DUMMYFUNCTION("""COMPUTED_VALUE"""),5.78374559E8)</f>
        <v>578374559</v>
      </c>
      <c r="AD241" s="9">
        <f>IFERROR(__xludf.DUMMYFUNCTION("""COMPUTED_VALUE"""),31593.0)</f>
        <v>31593</v>
      </c>
      <c r="AE241" s="6" t="str">
        <f>IFERROR(__xludf.DUMMYFUNCTION("""COMPUTED_VALUE"""),"bg")</f>
        <v>bg</v>
      </c>
      <c r="AF241" s="6" t="str">
        <f>IFERROR(__xludf.DUMMYFUNCTION("""COMPUTED_VALUE"""),"Struga")</f>
        <v>Struga</v>
      </c>
      <c r="AG241" s="6" t="str">
        <f>IFERROR(__xludf.DUMMYFUNCTION("""COMPUTED_VALUE"""),"Hr. D.I. Klenkoski")</f>
        <v>Hr. D.I. Klenkoski</v>
      </c>
      <c r="AH241" s="6"/>
      <c r="AI241" s="6"/>
      <c r="AJ241" s="6" t="str">
        <f>IFERROR(__xludf.DUMMYFUNCTION("""COMPUTED_VALUE"""),"ID Kaart")</f>
        <v>ID Kaart</v>
      </c>
      <c r="AK241" s="6"/>
      <c r="AL241" s="6"/>
      <c r="AM241" s="6"/>
      <c r="AN241" s="6" t="str">
        <f>IFERROR(__xludf.DUMMYFUNCTION("""COMPUTED_VALUE"""),"Darko Iliev Klenkoski")</f>
        <v>Darko Iliev Klenkoski</v>
      </c>
      <c r="AO241" s="6"/>
    </row>
    <row r="242">
      <c r="A242" s="6" t="str">
        <f>IFERROR(__xludf.DUMMYFUNCTION("""COMPUTED_VALUE"""),"Klusbedrijf Deyan")</f>
        <v>Klusbedrijf Deyan</v>
      </c>
      <c r="B242" s="6" t="str">
        <f>IFERROR(__xludf.DUMMYFUNCTION("""COMPUTED_VALUE"""),"Klusbedrijf Deyan")</f>
        <v>Klusbedrijf Deyan</v>
      </c>
      <c r="C242" s="6">
        <f>IFERROR(__xludf.DUMMYFUNCTION("""COMPUTED_VALUE"""),1150.0)</f>
        <v>1150</v>
      </c>
      <c r="D242" s="7" t="str">
        <f>IFERROR(__xludf.DUMMYFUNCTION("""COMPUTED_VALUE"""),"Deyan Zdravkov Masarliev")</f>
        <v>Deyan Zdravkov Masarliev</v>
      </c>
      <c r="E242" s="7" t="str">
        <f>IFERROR(__xludf.DUMMYFUNCTION("""COMPUTED_VALUE"""),"SBI-code: 4120 - Algemene burgerlijke en utiliteitsbouw")</f>
        <v>SBI-code: 4120 - Algemene burgerlijke en utiliteitsbouw</v>
      </c>
      <c r="F242" s="7" t="str">
        <f>IFERROR(__xludf.DUMMYFUNCTION("""COMPUTED_VALUE"""),"0684084906")</f>
        <v>0684084906</v>
      </c>
      <c r="G242" s="6" t="str">
        <f>IFERROR(__xludf.DUMMYFUNCTION("""COMPUTED_VALUE"""),"dianmasarliev@gmail.com")</f>
        <v>dianmasarliev@gmail.com</v>
      </c>
      <c r="H242" s="6" t="str">
        <f>IFERROR(__xludf.DUMMYFUNCTION("""COMPUTED_VALUE"""),"Springfonteinstraat 60")</f>
        <v>Springfonteinstraat 60</v>
      </c>
      <c r="I242" s="6" t="str">
        <f>IFERROR(__xludf.DUMMYFUNCTION("""COMPUTED_VALUE"""),"2572PM")</f>
        <v>2572PM</v>
      </c>
      <c r="J242" s="6" t="str">
        <f>IFERROR(__xludf.DUMMYFUNCTION("""COMPUTED_VALUE"""),"s-Gravenhage")</f>
        <v>s-Gravenhage</v>
      </c>
      <c r="K242" s="6" t="str">
        <f>IFERROR(__xludf.DUMMYFUNCTION("""COMPUTED_VALUE"""),"Nederland")</f>
        <v>Nederland</v>
      </c>
      <c r="L242" s="6" t="str">
        <f>IFERROR(__xludf.DUMMYFUNCTION("""COMPUTED_VALUE"""),"Масарлиев")</f>
        <v>Масарлиев</v>
      </c>
      <c r="M242" s="8">
        <f>IFERROR(__xludf.DUMMYFUNCTION("""COMPUTED_VALUE"""),44197.0)</f>
        <v>44197</v>
      </c>
      <c r="N242" s="6" t="str">
        <f>IFERROR(__xludf.DUMMYFUNCTION("""COMPUTED_VALUE"""),"NL694930520B01")</f>
        <v>NL694930520B01</v>
      </c>
      <c r="O242" s="6">
        <f>IFERROR(__xludf.DUMMYFUNCTION("""COMPUTED_VALUE"""),7.0908591E7)</f>
        <v>70908591</v>
      </c>
      <c r="P242" s="6" t="str">
        <f>IFERROR(__xludf.DUMMYFUNCTION("""COMPUTED_VALUE"""),"NL15INGB0008235729")</f>
        <v>NL15INGB0008235729</v>
      </c>
      <c r="Q242" s="9">
        <f>IFERROR(__xludf.DUMMYFUNCTION("""COMPUTED_VALUE"""),43138.0)</f>
        <v>43138</v>
      </c>
      <c r="R242" s="6"/>
      <c r="S242" s="6" t="str">
        <f>IFERROR(__xludf.DUMMYFUNCTION("""COMPUTED_VALUE"""),"NL002518539B85")</f>
        <v>NL002518539B85</v>
      </c>
      <c r="T242" s="6">
        <f>IFERROR(__xludf.DUMMYFUNCTION("""COMPUTED_VALUE"""),6.9493052E8)</f>
        <v>694930520</v>
      </c>
      <c r="U242" s="7" t="str">
        <f>IFERROR(__xludf.DUMMYFUNCTION("""COMPUTED_VALUE"""),"Eenmanszaak")</f>
        <v>Eenmanszaak</v>
      </c>
      <c r="V242" s="7" t="str">
        <f>IFERROR(__xludf.DUMMYFUNCTION("""COMPUTED_VALUE"""),"000039137252")</f>
        <v>000039137252</v>
      </c>
      <c r="W242" s="6" t="str">
        <f>IFERROR(__xludf.DUMMYFUNCTION("""COMPUTED_VALUE"""),"ink.deyanklussenbedrijf.2288aa@zarabota.nl")</f>
        <v>ink.deyanklussenbedrijf.2288aa@zarabota.nl</v>
      </c>
      <c r="X242" s="6" t="str">
        <f>IFERROR(__xludf.DUMMYFUNCTION("""COMPUTED_VALUE"""),"ver.deyanklussenbedrijf.2288aa@zarabota.nl")</f>
        <v>ver.deyanklussenbedrijf.2288aa@zarabota.nl</v>
      </c>
      <c r="Y242" s="6" t="str">
        <f>IFERROR(__xludf.DUMMYFUNCTION("""COMPUTED_VALUE"""),"Hr.")</f>
        <v>Hr.</v>
      </c>
      <c r="Z242" s="6" t="str">
        <f>IFERROR(__xludf.DUMMYFUNCTION("""COMPUTED_VALUE"""),"Deyan Zdravkov")</f>
        <v>Deyan Zdravkov</v>
      </c>
      <c r="AA242" s="6" t="str">
        <f>IFERROR(__xludf.DUMMYFUNCTION("""COMPUTED_VALUE"""),"Masarliev")</f>
        <v>Masarliev</v>
      </c>
      <c r="AB242" s="6" t="str">
        <f>IFERROR(__xludf.DUMMYFUNCTION("""COMPUTED_VALUE"""),"D.Z.")</f>
        <v>D.Z.</v>
      </c>
      <c r="AC242" s="6">
        <f>IFERROR(__xludf.DUMMYFUNCTION("""COMPUTED_VALUE"""),6.9493052E8)</f>
        <v>694930520</v>
      </c>
      <c r="AD242" s="9">
        <f>IFERROR(__xludf.DUMMYFUNCTION("""COMPUTED_VALUE"""),29865.0)</f>
        <v>29865</v>
      </c>
      <c r="AE242" s="6" t="str">
        <f>IFERROR(__xludf.DUMMYFUNCTION("""COMPUTED_VALUE"""),"bg")</f>
        <v>bg</v>
      </c>
      <c r="AF242" s="6" t="str">
        <f>IFERROR(__xludf.DUMMYFUNCTION("""COMPUTED_VALUE"""),"Zlatograd")</f>
        <v>Zlatograd</v>
      </c>
      <c r="AG242" s="6" t="str">
        <f>IFERROR(__xludf.DUMMYFUNCTION("""COMPUTED_VALUE"""),"Hr. D.Z. Masarliev")</f>
        <v>Hr. D.Z. Masarliev</v>
      </c>
      <c r="AH242" s="6"/>
      <c r="AI242" s="6"/>
      <c r="AJ242" s="6"/>
      <c r="AK242" s="6"/>
      <c r="AL242" s="6"/>
      <c r="AM242" s="6" t="str">
        <f>IFERROR(__xludf.DUMMYFUNCTION("""COMPUTED_VALUE"""),"Bulgarije")</f>
        <v>Bulgarije</v>
      </c>
      <c r="AN242" s="6" t="str">
        <f>IFERROR(__xludf.DUMMYFUNCTION("""COMPUTED_VALUE"""),"Deyan Zdravkov Masarliev")</f>
        <v>Deyan Zdravkov Masarliev</v>
      </c>
      <c r="AO242" s="6">
        <f>IFERROR(__xludf.DUMMYFUNCTION("""COMPUTED_VALUE"""),1150.0)</f>
        <v>1150</v>
      </c>
    </row>
    <row r="243">
      <c r="A243" s="6" t="str">
        <f>IFERROR(__xludf.DUMMYFUNCTION("""COMPUTED_VALUE"""),"Klusbedrijf Gursel")</f>
        <v>Klusbedrijf Gursel</v>
      </c>
      <c r="B243" s="6" t="str">
        <f>IFERROR(__xludf.DUMMYFUNCTION("""COMPUTED_VALUE"""),"Klusbedrijf Gursel")</f>
        <v>Klusbedrijf Gursel</v>
      </c>
      <c r="C243" s="6">
        <f>IFERROR(__xludf.DUMMYFUNCTION("""COMPUTED_VALUE"""),148.0)</f>
        <v>148</v>
      </c>
      <c r="D243" s="7" t="str">
        <f>IFERROR(__xludf.DUMMYFUNCTION("""COMPUTED_VALUE"""),"Gyursel Myumyun Halim")</f>
        <v>Gyursel Myumyun Halim</v>
      </c>
      <c r="E243" s="7" t="str">
        <f>IFERROR(__xludf.DUMMYFUNCTION("""COMPUTED_VALUE"""),"SBI-code: 4120 - Algemene burgerlijke en utiliteitsbouw")</f>
        <v>SBI-code: 4120 - Algemene burgerlijke en utiliteitsbouw</v>
      </c>
      <c r="F243" s="7" t="str">
        <f>IFERROR(__xludf.DUMMYFUNCTION("""COMPUTED_VALUE"""),"0621677380")</f>
        <v>0621677380</v>
      </c>
      <c r="G243" s="6" t="str">
        <f>IFERROR(__xludf.DUMMYFUNCTION("""COMPUTED_VALUE"""),"halimgyursel@gmail.com")</f>
        <v>halimgyursel@gmail.com</v>
      </c>
      <c r="H243" s="6" t="str">
        <f>IFERROR(__xludf.DUMMYFUNCTION("""COMPUTED_VALUE"""),"Dirk de Derdelaan 137")</f>
        <v>Dirk de Derdelaan 137</v>
      </c>
      <c r="I243" s="6" t="str">
        <f>IFERROR(__xludf.DUMMYFUNCTION("""COMPUTED_VALUE"""),"3132HC")</f>
        <v>3132HC</v>
      </c>
      <c r="J243" s="6" t="str">
        <f>IFERROR(__xludf.DUMMYFUNCTION("""COMPUTED_VALUE"""),"Vlaardingen")</f>
        <v>Vlaardingen</v>
      </c>
      <c r="K243" s="6" t="str">
        <f>IFERROR(__xludf.DUMMYFUNCTION("""COMPUTED_VALUE"""),"Nederland")</f>
        <v>Nederland</v>
      </c>
      <c r="L243" s="6" t="str">
        <f>IFERROR(__xludf.DUMMYFUNCTION("""COMPUTED_VALUE"""),"Халим")</f>
        <v>Халим</v>
      </c>
      <c r="M243" s="8">
        <f>IFERROR(__xludf.DUMMYFUNCTION("""COMPUTED_VALUE"""),41710.0)</f>
        <v>41710</v>
      </c>
      <c r="N243" s="6" t="str">
        <f>IFERROR(__xludf.DUMMYFUNCTION("""COMPUTED_VALUE"""),"NL642294240B01")</f>
        <v>NL642294240B01</v>
      </c>
      <c r="O243" s="6">
        <f>IFERROR(__xludf.DUMMYFUNCTION("""COMPUTED_VALUE"""),6.0203382E7)</f>
        <v>60203382</v>
      </c>
      <c r="P243" s="6" t="str">
        <f>IFERROR(__xludf.DUMMYFUNCTION("""COMPUTED_VALUE"""),"NL95INGB0009188381")</f>
        <v>NL95INGB0009188381</v>
      </c>
      <c r="Q243" s="9">
        <f>IFERROR(__xludf.DUMMYFUNCTION("""COMPUTED_VALUE"""),41710.0)</f>
        <v>41710</v>
      </c>
      <c r="R243" s="6"/>
      <c r="S243" s="6" t="str">
        <f>IFERROR(__xludf.DUMMYFUNCTION("""COMPUTED_VALUE"""),"NL002511672B02")</f>
        <v>NL002511672B02</v>
      </c>
      <c r="T243" s="6">
        <f>IFERROR(__xludf.DUMMYFUNCTION("""COMPUTED_VALUE"""),6.4229424E8)</f>
        <v>642294240</v>
      </c>
      <c r="U243" s="7" t="str">
        <f>IFERROR(__xludf.DUMMYFUNCTION("""COMPUTED_VALUE"""),"Eenmanszaak")</f>
        <v>Eenmanszaak</v>
      </c>
      <c r="V243" s="7" t="str">
        <f>IFERROR(__xludf.DUMMYFUNCTION("""COMPUTED_VALUE"""),"000029423198")</f>
        <v>000029423198</v>
      </c>
      <c r="W243" s="6" t="str">
        <f>IFERROR(__xludf.DUMMYFUNCTION("""COMPUTED_VALUE"""),"ink.klusbedrijfgursel.2288aa@zarabota.nl")</f>
        <v>ink.klusbedrijfgursel.2288aa@zarabota.nl</v>
      </c>
      <c r="X243" s="6" t="str">
        <f>IFERROR(__xludf.DUMMYFUNCTION("""COMPUTED_VALUE"""),"ver.klusbedrijfgursel.2288aa@zarabota.nl")</f>
        <v>ver.klusbedrijfgursel.2288aa@zarabota.nl</v>
      </c>
      <c r="Y243" s="6" t="str">
        <f>IFERROR(__xludf.DUMMYFUNCTION("""COMPUTED_VALUE"""),"Hr.")</f>
        <v>Hr.</v>
      </c>
      <c r="Z243" s="6" t="str">
        <f>IFERROR(__xludf.DUMMYFUNCTION("""COMPUTED_VALUE"""),"Gyursel Myumyun")</f>
        <v>Gyursel Myumyun</v>
      </c>
      <c r="AA243" s="6" t="str">
        <f>IFERROR(__xludf.DUMMYFUNCTION("""COMPUTED_VALUE"""),"Halim")</f>
        <v>Halim</v>
      </c>
      <c r="AB243" s="6" t="str">
        <f>IFERROR(__xludf.DUMMYFUNCTION("""COMPUTED_VALUE"""),"G.M.")</f>
        <v>G.M.</v>
      </c>
      <c r="AC243" s="6">
        <f>IFERROR(__xludf.DUMMYFUNCTION("""COMPUTED_VALUE"""),6.4229424E8)</f>
        <v>642294240</v>
      </c>
      <c r="AD243" s="9">
        <f>IFERROR(__xludf.DUMMYFUNCTION("""COMPUTED_VALUE"""),24383.0)</f>
        <v>24383</v>
      </c>
      <c r="AE243" s="6" t="str">
        <f>IFERROR(__xludf.DUMMYFUNCTION("""COMPUTED_VALUE"""),"bg")</f>
        <v>bg</v>
      </c>
      <c r="AF243" s="6" t="str">
        <f>IFERROR(__xludf.DUMMYFUNCTION("""COMPUTED_VALUE"""),"Kamchia")</f>
        <v>Kamchia</v>
      </c>
      <c r="AG243" s="6" t="str">
        <f>IFERROR(__xludf.DUMMYFUNCTION("""COMPUTED_VALUE"""),"Hr. G.M. Halim")</f>
        <v>Hr. G.M. Halim</v>
      </c>
      <c r="AH243" s="6" t="str">
        <f>IFERROR(__xludf.DUMMYFUNCTION("""COMPUTED_VALUE"""),"NL05INGB0689278438")</f>
        <v>NL05INGB0689278438</v>
      </c>
      <c r="AI243" s="6"/>
      <c r="AJ243" s="6"/>
      <c r="AK243" s="6"/>
      <c r="AL243" s="6"/>
      <c r="AM243" s="6"/>
      <c r="AN243" s="6" t="str">
        <f>IFERROR(__xludf.DUMMYFUNCTION("""COMPUTED_VALUE"""),"Gyursel Myumyun Halim")</f>
        <v>Gyursel Myumyun Halim</v>
      </c>
      <c r="AO243" s="6"/>
    </row>
    <row r="244">
      <c r="A244" s="6" t="str">
        <f>IFERROR(__xludf.DUMMYFUNCTION("""COMPUTED_VALUE"""),"Klusbedrijf Schiedam")</f>
        <v>Klusbedrijf Schiedam</v>
      </c>
      <c r="B244" s="6" t="str">
        <f>IFERROR(__xludf.DUMMYFUNCTION("""COMPUTED_VALUE"""),"Klusbedrijf Schiedam")</f>
        <v>Klusbedrijf Schiedam</v>
      </c>
      <c r="C244" s="6">
        <f>IFERROR(__xludf.DUMMYFUNCTION("""COMPUTED_VALUE"""),935.0)</f>
        <v>935</v>
      </c>
      <c r="D244" s="7" t="str">
        <f>IFERROR(__xludf.DUMMYFUNCTION("""COMPUTED_VALUE"""),"Safet Kuc")</f>
        <v>Safet Kuc</v>
      </c>
      <c r="E244" s="7" t="str">
        <f>IFERROR(__xludf.DUMMYFUNCTION("""COMPUTED_VALUE"""),"SBI-code: 4120 - Algemene burgerlijke en utiliteitsbouw")</f>
        <v>SBI-code: 4120 - Algemene burgerlijke en utiliteitsbouw</v>
      </c>
      <c r="F244" s="7" t="str">
        <f>IFERROR(__xludf.DUMMYFUNCTION("""COMPUTED_VALUE"""),"0683938524")</f>
        <v>0683938524</v>
      </c>
      <c r="G244" s="6" t="str">
        <f>IFERROR(__xludf.DUMMYFUNCTION("""COMPUTED_VALUE"""),"safetkuc01@gmail.com")</f>
        <v>safetkuc01@gmail.com</v>
      </c>
      <c r="H244" s="6" t="str">
        <f>IFERROR(__xludf.DUMMYFUNCTION("""COMPUTED_VALUE"""),"S. van Houtenlaan 101")</f>
        <v>S. van Houtenlaan 101</v>
      </c>
      <c r="I244" s="6" t="str">
        <f>IFERROR(__xludf.DUMMYFUNCTION("""COMPUTED_VALUE"""),"3118XG")</f>
        <v>3118XG</v>
      </c>
      <c r="J244" s="6" t="str">
        <f>IFERROR(__xludf.DUMMYFUNCTION("""COMPUTED_VALUE"""),"Schiedam")</f>
        <v>Schiedam</v>
      </c>
      <c r="K244" s="6" t="str">
        <f>IFERROR(__xludf.DUMMYFUNCTION("""COMPUTED_VALUE"""),"Nederland")</f>
        <v>Nederland</v>
      </c>
      <c r="L244" s="6" t="str">
        <f>IFERROR(__xludf.DUMMYFUNCTION("""COMPUTED_VALUE"""),"Куч")</f>
        <v>Куч</v>
      </c>
      <c r="M244" s="8">
        <f>IFERROR(__xludf.DUMMYFUNCTION("""COMPUTED_VALUE"""),43892.0)</f>
        <v>43892</v>
      </c>
      <c r="N244" s="6" t="str">
        <f>IFERROR(__xludf.DUMMYFUNCTION("""COMPUTED_VALUE"""),"NL242852166B02")</f>
        <v>NL242852166B02</v>
      </c>
      <c r="O244" s="6">
        <f>IFERROR(__xludf.DUMMYFUNCTION("""COMPUTED_VALUE"""),7.7545583E7)</f>
        <v>77545583</v>
      </c>
      <c r="P244" s="6" t="str">
        <f>IFERROR(__xludf.DUMMYFUNCTION("""COMPUTED_VALUE"""),"NL42INGB0007688163")</f>
        <v>NL42INGB0007688163</v>
      </c>
      <c r="Q244" s="9">
        <f>IFERROR(__xludf.DUMMYFUNCTION("""COMPUTED_VALUE"""),43892.0)</f>
        <v>43892</v>
      </c>
      <c r="R244" s="6"/>
      <c r="S244" s="6" t="str">
        <f>IFERROR(__xludf.DUMMYFUNCTION("""COMPUTED_VALUE"""),"NL003206297B27")</f>
        <v>NL003206297B27</v>
      </c>
      <c r="T244" s="6">
        <f>IFERROR(__xludf.DUMMYFUNCTION("""COMPUTED_VALUE"""),2.42852166E8)</f>
        <v>242852166</v>
      </c>
      <c r="U244" s="7" t="str">
        <f>IFERROR(__xludf.DUMMYFUNCTION("""COMPUTED_VALUE"""),"Eenmanszaak")</f>
        <v>Eenmanszaak</v>
      </c>
      <c r="V244" s="7" t="str">
        <f>IFERROR(__xludf.DUMMYFUNCTION("""COMPUTED_VALUE"""),"000045241104")</f>
        <v>000045241104</v>
      </c>
      <c r="W244" s="6" t="str">
        <f>IFERROR(__xludf.DUMMYFUNCTION("""COMPUTED_VALUE"""),"ink.klusbedrijfschiedam.2288aa@zarabota.nl")</f>
        <v>ink.klusbedrijfschiedam.2288aa@zarabota.nl</v>
      </c>
      <c r="X244" s="6" t="str">
        <f>IFERROR(__xludf.DUMMYFUNCTION("""COMPUTED_VALUE"""),"ver.klusbedrijfschiedam.2288aa@zarabota.nl")</f>
        <v>ver.klusbedrijfschiedam.2288aa@zarabota.nl</v>
      </c>
      <c r="Y244" s="6" t="str">
        <f>IFERROR(__xludf.DUMMYFUNCTION("""COMPUTED_VALUE"""),"Hr.")</f>
        <v>Hr.</v>
      </c>
      <c r="Z244" s="6" t="str">
        <f>IFERROR(__xludf.DUMMYFUNCTION("""COMPUTED_VALUE"""),"Safet")</f>
        <v>Safet</v>
      </c>
      <c r="AA244" s="6" t="str">
        <f>IFERROR(__xludf.DUMMYFUNCTION("""COMPUTED_VALUE"""),"Kuc")</f>
        <v>Kuc</v>
      </c>
      <c r="AB244" s="6" t="str">
        <f>IFERROR(__xludf.DUMMYFUNCTION("""COMPUTED_VALUE"""),"S.")</f>
        <v>S.</v>
      </c>
      <c r="AC244" s="6">
        <f>IFERROR(__xludf.DUMMYFUNCTION("""COMPUTED_VALUE"""),2.42852166E8)</f>
        <v>242852166</v>
      </c>
      <c r="AD244" s="9">
        <f>IFERROR(__xludf.DUMMYFUNCTION("""COMPUTED_VALUE"""),23809.0)</f>
        <v>23809</v>
      </c>
      <c r="AE244" s="6" t="str">
        <f>IFERROR(__xludf.DUMMYFUNCTION("""COMPUTED_VALUE"""),"mc")</f>
        <v>mc</v>
      </c>
      <c r="AF244" s="6" t="str">
        <f>IFERROR(__xludf.DUMMYFUNCTION("""COMPUTED_VALUE"""),"Cosovica")</f>
        <v>Cosovica</v>
      </c>
      <c r="AG244" s="6" t="str">
        <f>IFERROR(__xludf.DUMMYFUNCTION("""COMPUTED_VALUE"""),"Hr. S. Kuc")</f>
        <v>Hr. S. Kuc</v>
      </c>
      <c r="AH244" s="6"/>
      <c r="AI244" s="6"/>
      <c r="AJ244" s="6" t="str">
        <f>IFERROR(__xludf.DUMMYFUNCTION("""COMPUTED_VALUE"""),"Verblijf Kaart")</f>
        <v>Verblijf Kaart</v>
      </c>
      <c r="AK244" s="6" t="str">
        <f>IFERROR(__xludf.DUMMYFUNCTION("""COMPUTED_VALUE"""),"IKFJK87R2")</f>
        <v>IKFJK87R2</v>
      </c>
      <c r="AL244" s="9">
        <f>IFERROR(__xludf.DUMMYFUNCTION("""COMPUTED_VALUE"""),47006.0)</f>
        <v>47006</v>
      </c>
      <c r="AM244" s="6" t="str">
        <f>IFERROR(__xludf.DUMMYFUNCTION("""COMPUTED_VALUE"""),"Montenegro")</f>
        <v>Montenegro</v>
      </c>
      <c r="AN244" s="6" t="str">
        <f>IFERROR(__xludf.DUMMYFUNCTION("""COMPUTED_VALUE"""),"Safet Kuc")</f>
        <v>Safet Kuc</v>
      </c>
      <c r="AO244" s="6"/>
    </row>
    <row r="245">
      <c r="A245" s="6" t="str">
        <f>IFERROR(__xludf.DUMMYFUNCTION("""COMPUTED_VALUE"""),"Klusbedrijf Stoykov")</f>
        <v>Klusbedrijf Stoykov</v>
      </c>
      <c r="B245" s="6" t="str">
        <f>IFERROR(__xludf.DUMMYFUNCTION("""COMPUTED_VALUE"""),"Klusbedrijf Stoykov")</f>
        <v>Klusbedrijf Stoykov</v>
      </c>
      <c r="C245" s="6">
        <f>IFERROR(__xludf.DUMMYFUNCTION("""COMPUTED_VALUE"""),1545.0)</f>
        <v>1545</v>
      </c>
      <c r="D245" s="7" t="str">
        <f>IFERROR(__xludf.DUMMYFUNCTION("""COMPUTED_VALUE"""),"Svilen Ivanov Stoykov")</f>
        <v>Svilen Ivanov Stoykov</v>
      </c>
      <c r="E245" s="7" t="str">
        <f>IFERROR(__xludf.DUMMYFUNCTION("""COMPUTED_VALUE"""),"SBI-code: 4120 - Algemene burgerlijke en utiliteitsbouw")</f>
        <v>SBI-code: 4120 - Algemene burgerlijke en utiliteitsbouw</v>
      </c>
      <c r="F245" s="7" t="str">
        <f>IFERROR(__xludf.DUMMYFUNCTION("""COMPUTED_VALUE"""),"0616113061")</f>
        <v>0616113061</v>
      </c>
      <c r="G245" s="6" t="str">
        <f>IFERROR(__xludf.DUMMYFUNCTION("""COMPUTED_VALUE"""),"klussenbedrijfstoykov@gmail.com")</f>
        <v>klussenbedrijfstoykov@gmail.com</v>
      </c>
      <c r="H245" s="6" t="str">
        <f>IFERROR(__xludf.DUMMYFUNCTION("""COMPUTED_VALUE"""),"Jekschot 1")</f>
        <v>Jekschot 1</v>
      </c>
      <c r="I245" s="6" t="str">
        <f>IFERROR(__xludf.DUMMYFUNCTION("""COMPUTED_VALUE"""),"5465PB")</f>
        <v>5465PB</v>
      </c>
      <c r="J245" s="6" t="str">
        <f>IFERROR(__xludf.DUMMYFUNCTION("""COMPUTED_VALUE"""),"Veghel")</f>
        <v>Veghel</v>
      </c>
      <c r="K245" s="6" t="str">
        <f>IFERROR(__xludf.DUMMYFUNCTION("""COMPUTED_VALUE"""),"Nederland")</f>
        <v>Nederland</v>
      </c>
      <c r="L245" s="6" t="str">
        <f>IFERROR(__xludf.DUMMYFUNCTION("""COMPUTED_VALUE"""),"Стойков")</f>
        <v>Стойков</v>
      </c>
      <c r="M245" s="8">
        <f>IFERROR(__xludf.DUMMYFUNCTION("""COMPUTED_VALUE"""),45110.0)</f>
        <v>45110</v>
      </c>
      <c r="N245" s="6" t="str">
        <f>IFERROR(__xludf.DUMMYFUNCTION("""COMPUTED_VALUE"""),"NL635797860B01")</f>
        <v>NL635797860B01</v>
      </c>
      <c r="O245" s="6">
        <f>IFERROR(__xludf.DUMMYFUNCTION("""COMPUTED_VALUE"""),9.0652568E7)</f>
        <v>90652568</v>
      </c>
      <c r="P245" s="6" t="str">
        <f>IFERROR(__xludf.DUMMYFUNCTION("""COMPUTED_VALUE"""),"NL16SNSB8840692584")</f>
        <v>NL16SNSB8840692584</v>
      </c>
      <c r="Q245" s="9">
        <f>IFERROR(__xludf.DUMMYFUNCTION("""COMPUTED_VALUE"""),45110.0)</f>
        <v>45110</v>
      </c>
      <c r="R245" s="6"/>
      <c r="S245" s="6" t="str">
        <f>IFERROR(__xludf.DUMMYFUNCTION("""COMPUTED_VALUE"""),"NL004829531B91")</f>
        <v>NL004829531B91</v>
      </c>
      <c r="T245" s="6">
        <f>IFERROR(__xludf.DUMMYFUNCTION("""COMPUTED_VALUE"""),6.3579786E8)</f>
        <v>635797860</v>
      </c>
      <c r="U245" s="7" t="str">
        <f>IFERROR(__xludf.DUMMYFUNCTION("""COMPUTED_VALUE"""),"Eenmanszaak")</f>
        <v>Eenmanszaak</v>
      </c>
      <c r="V245" s="7" t="str">
        <f>IFERROR(__xludf.DUMMYFUNCTION("""COMPUTED_VALUE"""),"000056368828")</f>
        <v>000056368828</v>
      </c>
      <c r="W245" s="6" t="str">
        <f>IFERROR(__xludf.DUMMYFUNCTION("""COMPUTED_VALUE"""),"ink.stoykovklus.2288aa@zarabota.nl")</f>
        <v>ink.stoykovklus.2288aa@zarabota.nl</v>
      </c>
      <c r="X245" s="6" t="str">
        <f>IFERROR(__xludf.DUMMYFUNCTION("""COMPUTED_VALUE"""),"ver.stoykovklus.2288aa@zarabota.nl")</f>
        <v>ver.stoykovklus.2288aa@zarabota.nl</v>
      </c>
      <c r="Y245" s="6" t="str">
        <f>IFERROR(__xludf.DUMMYFUNCTION("""COMPUTED_VALUE"""),"Hr.")</f>
        <v>Hr.</v>
      </c>
      <c r="Z245" s="6" t="str">
        <f>IFERROR(__xludf.DUMMYFUNCTION("""COMPUTED_VALUE"""),"Svilen Ivanov")</f>
        <v>Svilen Ivanov</v>
      </c>
      <c r="AA245" s="6" t="str">
        <f>IFERROR(__xludf.DUMMYFUNCTION("""COMPUTED_VALUE"""),"Stoykov")</f>
        <v>Stoykov</v>
      </c>
      <c r="AB245" s="6" t="str">
        <f>IFERROR(__xludf.DUMMYFUNCTION("""COMPUTED_VALUE"""),"S.I.")</f>
        <v>S.I.</v>
      </c>
      <c r="AC245" s="6">
        <f>IFERROR(__xludf.DUMMYFUNCTION("""COMPUTED_VALUE"""),6.3579786E8)</f>
        <v>635797860</v>
      </c>
      <c r="AD245" s="9">
        <f>IFERROR(__xludf.DUMMYFUNCTION("""COMPUTED_VALUE"""),31349.0)</f>
        <v>31349</v>
      </c>
      <c r="AE245" s="6" t="str">
        <f>IFERROR(__xludf.DUMMYFUNCTION("""COMPUTED_VALUE"""),"bg")</f>
        <v>bg</v>
      </c>
      <c r="AF245" s="6" t="str">
        <f>IFERROR(__xludf.DUMMYFUNCTION("""COMPUTED_VALUE"""),"Razgrad")</f>
        <v>Razgrad</v>
      </c>
      <c r="AG245" s="6" t="str">
        <f>IFERROR(__xludf.DUMMYFUNCTION("""COMPUTED_VALUE"""),"Hr. S.I. Stoykov")</f>
        <v>Hr. S.I. Stoykov</v>
      </c>
      <c r="AH245" s="6"/>
      <c r="AI245" s="6"/>
      <c r="AJ245" s="6" t="str">
        <f>IFERROR(__xludf.DUMMYFUNCTION("""COMPUTED_VALUE"""),"ID Kaart")</f>
        <v>ID Kaart</v>
      </c>
      <c r="AK245" s="6">
        <f>IFERROR(__xludf.DUMMYFUNCTION("""COMPUTED_VALUE"""),6.45099542E8)</f>
        <v>645099542</v>
      </c>
      <c r="AL245" s="9">
        <f>IFERROR(__xludf.DUMMYFUNCTION("""COMPUTED_VALUE"""),45399.0)</f>
        <v>45399</v>
      </c>
      <c r="AM245" s="6" t="str">
        <f>IFERROR(__xludf.DUMMYFUNCTION("""COMPUTED_VALUE"""),"Bulgarije")</f>
        <v>Bulgarije</v>
      </c>
      <c r="AN245" s="6" t="str">
        <f>IFERROR(__xludf.DUMMYFUNCTION("""COMPUTED_VALUE"""),"Svilen Ivanov Stoykov")</f>
        <v>Svilen Ivanov Stoykov</v>
      </c>
      <c r="AO245" s="6">
        <f>IFERROR(__xludf.DUMMYFUNCTION("""COMPUTED_VALUE"""),1545.0)</f>
        <v>1545</v>
      </c>
    </row>
    <row r="246">
      <c r="A246" s="6" t="str">
        <f>IFERROR(__xludf.DUMMYFUNCTION("""COMPUTED_VALUE"""),"Klusbedrijf Valkov")</f>
        <v>Klusbedrijf Valkov</v>
      </c>
      <c r="B246" s="6" t="str">
        <f>IFERROR(__xludf.DUMMYFUNCTION("""COMPUTED_VALUE"""),"Klusbedrijf Valkov")</f>
        <v>Klusbedrijf Valkov</v>
      </c>
      <c r="C246" s="6">
        <f>IFERROR(__xludf.DUMMYFUNCTION("""COMPUTED_VALUE"""),972.0)</f>
        <v>972</v>
      </c>
      <c r="D246" s="7" t="str">
        <f>IFERROR(__xludf.DUMMYFUNCTION("""COMPUTED_VALUE"""),"Lachezar Krasimirov Valkov")</f>
        <v>Lachezar Krasimirov Valkov</v>
      </c>
      <c r="E246" s="7" t="str">
        <f>IFERROR(__xludf.DUMMYFUNCTION("""COMPUTED_VALUE"""),"SBI-code: 4120 - Algemene burgerlijke en utiliteitsbouw")</f>
        <v>SBI-code: 4120 - Algemene burgerlijke en utiliteitsbouw</v>
      </c>
      <c r="F246" s="7" t="str">
        <f>IFERROR(__xludf.DUMMYFUNCTION("""COMPUTED_VALUE"""),"0623936989")</f>
        <v>0623936989</v>
      </c>
      <c r="G246" s="6" t="str">
        <f>IFERROR(__xludf.DUMMYFUNCTION("""COMPUTED_VALUE"""),"zarovalkov@gmail.com")</f>
        <v>zarovalkov@gmail.com</v>
      </c>
      <c r="H246" s="6" t="str">
        <f>IFERROR(__xludf.DUMMYFUNCTION("""COMPUTED_VALUE"""),"Dedemsvaartweg 1098")</f>
        <v>Dedemsvaartweg 1098</v>
      </c>
      <c r="I246" s="6" t="str">
        <f>IFERROR(__xludf.DUMMYFUNCTION("""COMPUTED_VALUE"""),"2545BH")</f>
        <v>2545BH</v>
      </c>
      <c r="J246" s="6" t="str">
        <f>IFERROR(__xludf.DUMMYFUNCTION("""COMPUTED_VALUE"""),"s-Gravenhage")</f>
        <v>s-Gravenhage</v>
      </c>
      <c r="K246" s="6" t="str">
        <f>IFERROR(__xludf.DUMMYFUNCTION("""COMPUTED_VALUE"""),"Nederland")</f>
        <v>Nederland</v>
      </c>
      <c r="L246" s="6" t="str">
        <f>IFERROR(__xludf.DUMMYFUNCTION("""COMPUTED_VALUE"""),"Вълков")</f>
        <v>Вълков</v>
      </c>
      <c r="M246" s="8">
        <f>IFERROR(__xludf.DUMMYFUNCTION("""COMPUTED_VALUE"""),43922.0)</f>
        <v>43922</v>
      </c>
      <c r="N246" s="6" t="str">
        <f>IFERROR(__xludf.DUMMYFUNCTION("""COMPUTED_VALUE"""),"NL267938147B01")</f>
        <v>NL267938147B01</v>
      </c>
      <c r="O246" s="6">
        <f>IFERROR(__xludf.DUMMYFUNCTION("""COMPUTED_VALUE"""),2.7313262E7)</f>
        <v>27313262</v>
      </c>
      <c r="P246" s="6" t="str">
        <f>IFERROR(__xludf.DUMMYFUNCTION("""COMPUTED_VALUE"""),"NL70INGB0004106225")</f>
        <v>NL70INGB0004106225</v>
      </c>
      <c r="Q246" s="9">
        <f>IFERROR(__xludf.DUMMYFUNCTION("""COMPUTED_VALUE"""),39490.0)</f>
        <v>39490</v>
      </c>
      <c r="R246" s="6"/>
      <c r="S246" s="6" t="str">
        <f>IFERROR(__xludf.DUMMYFUNCTION("""COMPUTED_VALUE"""),"NL002461301B60")</f>
        <v>NL002461301B60</v>
      </c>
      <c r="T246" s="6">
        <f>IFERROR(__xludf.DUMMYFUNCTION("""COMPUTED_VALUE"""),2.67938147E8)</f>
        <v>267938147</v>
      </c>
      <c r="U246" s="7" t="str">
        <f>IFERROR(__xludf.DUMMYFUNCTION("""COMPUTED_VALUE"""),"Eenmanszaak")</f>
        <v>Eenmanszaak</v>
      </c>
      <c r="V246" s="7" t="str">
        <f>IFERROR(__xludf.DUMMYFUNCTION("""COMPUTED_VALUE"""),"000014025531")</f>
        <v>000014025531</v>
      </c>
      <c r="W246" s="6" t="str">
        <f>IFERROR(__xludf.DUMMYFUNCTION("""COMPUTED_VALUE"""),"ink.klusbedrijfvalkov.2288aa@zarabota.nl")</f>
        <v>ink.klusbedrijfvalkov.2288aa@zarabota.nl</v>
      </c>
      <c r="X246" s="6" t="str">
        <f>IFERROR(__xludf.DUMMYFUNCTION("""COMPUTED_VALUE"""),"ver.klusbedrijfvalkov.2288aa@zarabota.nl")</f>
        <v>ver.klusbedrijfvalkov.2288aa@zarabota.nl</v>
      </c>
      <c r="Y246" s="6" t="str">
        <f>IFERROR(__xludf.DUMMYFUNCTION("""COMPUTED_VALUE"""),"Hr.")</f>
        <v>Hr.</v>
      </c>
      <c r="Z246" s="6" t="str">
        <f>IFERROR(__xludf.DUMMYFUNCTION("""COMPUTED_VALUE"""),"Lachezar Krasimirov")</f>
        <v>Lachezar Krasimirov</v>
      </c>
      <c r="AA246" s="6" t="str">
        <f>IFERROR(__xludf.DUMMYFUNCTION("""COMPUTED_VALUE"""),"Valkov")</f>
        <v>Valkov</v>
      </c>
      <c r="AB246" s="6" t="str">
        <f>IFERROR(__xludf.DUMMYFUNCTION("""COMPUTED_VALUE"""),"L.K.")</f>
        <v>L.K.</v>
      </c>
      <c r="AC246" s="6">
        <f>IFERROR(__xludf.DUMMYFUNCTION("""COMPUTED_VALUE"""),2.67938147E8)</f>
        <v>267938147</v>
      </c>
      <c r="AD246" s="9">
        <f>IFERROR(__xludf.DUMMYFUNCTION("""COMPUTED_VALUE"""),29737.0)</f>
        <v>29737</v>
      </c>
      <c r="AE246" s="6" t="str">
        <f>IFERROR(__xludf.DUMMYFUNCTION("""COMPUTED_VALUE"""),"bg")</f>
        <v>bg</v>
      </c>
      <c r="AF246" s="6" t="str">
        <f>IFERROR(__xludf.DUMMYFUNCTION("""COMPUTED_VALUE"""),"Kirkovo")</f>
        <v>Kirkovo</v>
      </c>
      <c r="AG246" s="6" t="str">
        <f>IFERROR(__xludf.DUMMYFUNCTION("""COMPUTED_VALUE"""),"Hr. L.K. Valkov")</f>
        <v>Hr. L.K. Valkov</v>
      </c>
      <c r="AH246" s="6"/>
      <c r="AI246" s="6"/>
      <c r="AJ246" s="6" t="str">
        <f>IFERROR(__xludf.DUMMYFUNCTION("""COMPUTED_VALUE"""),"ID Kaart")</f>
        <v>ID Kaart</v>
      </c>
      <c r="AK246" s="6">
        <f>IFERROR(__xludf.DUMMYFUNCTION("""COMPUTED_VALUE"""),6.46628046E8)</f>
        <v>646628046</v>
      </c>
      <c r="AL246" s="9">
        <f>IFERROR(__xludf.DUMMYFUNCTION("""COMPUTED_VALUE"""),46251.0)</f>
        <v>46251</v>
      </c>
      <c r="AM246" s="6" t="str">
        <f>IFERROR(__xludf.DUMMYFUNCTION("""COMPUTED_VALUE"""),"Bulgarije")</f>
        <v>Bulgarije</v>
      </c>
      <c r="AN246" s="6" t="str">
        <f>IFERROR(__xludf.DUMMYFUNCTION("""COMPUTED_VALUE"""),"Lachezar Krasimirov Valkov")</f>
        <v>Lachezar Krasimirov Valkov</v>
      </c>
      <c r="AO246" s="6"/>
    </row>
    <row r="247">
      <c r="A247" s="6" t="str">
        <f>IFERROR(__xludf.DUMMYFUNCTION("""COMPUTED_VALUE"""),"Klussenbedrijf Manafov V.O.F.")</f>
        <v>Klussenbedrijf Manafov V.O.F.</v>
      </c>
      <c r="B247" s="6" t="str">
        <f>IFERROR(__xludf.DUMMYFUNCTION("""COMPUTED_VALUE"""),"Klussenbedrijf Manafov V.O.F.")</f>
        <v>Klussenbedrijf Manafov V.O.F.</v>
      </c>
      <c r="C247" s="6">
        <f>IFERROR(__xludf.DUMMYFUNCTION("""COMPUTED_VALUE"""),629.0)</f>
        <v>629</v>
      </c>
      <c r="D247" s="7" t="str">
        <f>IFERROR(__xludf.DUMMYFUNCTION("""COMPUTED_VALUE"""),"Ismet Fikretov Manafov")</f>
        <v>Ismet Fikretov Manafov</v>
      </c>
      <c r="E247" s="7" t="str">
        <f>IFERROR(__xludf.DUMMYFUNCTION("""COMPUTED_VALUE"""),"SBI-code: 4120 - Algemene burgerlijke en utiliteitsbouw")</f>
        <v>SBI-code: 4120 - Algemene burgerlijke en utiliteitsbouw</v>
      </c>
      <c r="F247" s="7" t="str">
        <f>IFERROR(__xludf.DUMMYFUNCTION("""COMPUTED_VALUE"""),"0657407059")</f>
        <v>0657407059</v>
      </c>
      <c r="G247" s="6" t="str">
        <f>IFERROR(__xludf.DUMMYFUNCTION("""COMPUTED_VALUE"""),"nevinmanafova1@gmail.com")</f>
        <v>nevinmanafova1@gmail.com</v>
      </c>
      <c r="H247" s="6" t="str">
        <f>IFERROR(__xludf.DUMMYFUNCTION("""COMPUTED_VALUE"""),"De la Reyweg 139")</f>
        <v>De la Reyweg 139</v>
      </c>
      <c r="I247" s="6" t="str">
        <f>IFERROR(__xludf.DUMMYFUNCTION("""COMPUTED_VALUE"""),"2571EC")</f>
        <v>2571EC</v>
      </c>
      <c r="J247" s="6" t="str">
        <f>IFERROR(__xludf.DUMMYFUNCTION("""COMPUTED_VALUE"""),"s-Gravenhage")</f>
        <v>s-Gravenhage</v>
      </c>
      <c r="K247" s="6" t="str">
        <f>IFERROR(__xludf.DUMMYFUNCTION("""COMPUTED_VALUE"""),"Nederland")</f>
        <v>Nederland</v>
      </c>
      <c r="L247" s="6" t="str">
        <f>IFERROR(__xludf.DUMMYFUNCTION("""COMPUTED_VALUE"""),"Манафов")</f>
        <v>Манафов</v>
      </c>
      <c r="M247" s="8">
        <f>IFERROR(__xludf.DUMMYFUNCTION("""COMPUTED_VALUE"""),43313.0)</f>
        <v>43313</v>
      </c>
      <c r="N247" s="6" t="str">
        <f>IFERROR(__xludf.DUMMYFUNCTION("""COMPUTED_VALUE"""),"NL859151670B01")</f>
        <v>NL859151670B01</v>
      </c>
      <c r="O247" s="6">
        <f>IFERROR(__xludf.DUMMYFUNCTION("""COMPUTED_VALUE"""),7.2555971E7)</f>
        <v>72555971</v>
      </c>
      <c r="P247" s="6" t="str">
        <f>IFERROR(__xludf.DUMMYFUNCTION("""COMPUTED_VALUE"""),"NL41INGB0006067893")</f>
        <v>NL41INGB0006067893</v>
      </c>
      <c r="Q247" s="9">
        <f>IFERROR(__xludf.DUMMYFUNCTION("""COMPUTED_VALUE"""),43313.0)</f>
        <v>43313</v>
      </c>
      <c r="R247" s="6"/>
      <c r="S247" s="6" t="str">
        <f>IFERROR(__xludf.DUMMYFUNCTION("""COMPUTED_VALUE"""),"NL859151670B01")</f>
        <v>NL859151670B01</v>
      </c>
      <c r="T247" s="6">
        <f>IFERROR(__xludf.DUMMYFUNCTION("""COMPUTED_VALUE"""),8.5915167E8)</f>
        <v>859151670</v>
      </c>
      <c r="U247" s="7" t="str">
        <f>IFERROR(__xludf.DUMMYFUNCTION("""COMPUTED_VALUE"""),"Vennootschap Onder Firma")</f>
        <v>Vennootschap Onder Firma</v>
      </c>
      <c r="V247" s="7" t="str">
        <f>IFERROR(__xludf.DUMMYFUNCTION("""COMPUTED_VALUE"""),"000022667091")</f>
        <v>000022667091</v>
      </c>
      <c r="W247" s="6" t="str">
        <f>IFERROR(__xludf.DUMMYFUNCTION("""COMPUTED_VALUE"""),"ink.klussenbedrijfmanafovvof.2288aa@zarabota.nl")</f>
        <v>ink.klussenbedrijfmanafovvof.2288aa@zarabota.nl</v>
      </c>
      <c r="X247" s="6" t="str">
        <f>IFERROR(__xludf.DUMMYFUNCTION("""COMPUTED_VALUE"""),"ver.klussenbedrijfmanafovvof.2288aa@zarabota.nl")</f>
        <v>ver.klussenbedrijfmanafovvof.2288aa@zarabota.nl</v>
      </c>
      <c r="Y247" s="6" t="str">
        <f>IFERROR(__xludf.DUMMYFUNCTION("""COMPUTED_VALUE"""),"Hr.")</f>
        <v>Hr.</v>
      </c>
      <c r="Z247" s="6" t="str">
        <f>IFERROR(__xludf.DUMMYFUNCTION("""COMPUTED_VALUE"""),"Ismet Fikretov")</f>
        <v>Ismet Fikretov</v>
      </c>
      <c r="AA247" s="6" t="str">
        <f>IFERROR(__xludf.DUMMYFUNCTION("""COMPUTED_VALUE"""),"Manafov")</f>
        <v>Manafov</v>
      </c>
      <c r="AB247" s="6" t="str">
        <f>IFERROR(__xludf.DUMMYFUNCTION("""COMPUTED_VALUE"""),"I.F.")</f>
        <v>I.F.</v>
      </c>
      <c r="AC247" s="6">
        <f>IFERROR(__xludf.DUMMYFUNCTION("""COMPUTED_VALUE"""),2.64292704E8)</f>
        <v>264292704</v>
      </c>
      <c r="AD247" s="9">
        <f>IFERROR(__xludf.DUMMYFUNCTION("""COMPUTED_VALUE"""),28515.0)</f>
        <v>28515</v>
      </c>
      <c r="AE247" s="6" t="str">
        <f>IFERROR(__xludf.DUMMYFUNCTION("""COMPUTED_VALUE"""),"bg")</f>
        <v>bg</v>
      </c>
      <c r="AF247" s="6" t="str">
        <f>IFERROR(__xludf.DUMMYFUNCTION("""COMPUTED_VALUE"""),"Kubrat")</f>
        <v>Kubrat</v>
      </c>
      <c r="AG247" s="6" t="str">
        <f>IFERROR(__xludf.DUMMYFUNCTION("""COMPUTED_VALUE"""),"Hr. I.F. Manafov")</f>
        <v>Hr. I.F. Manafov</v>
      </c>
      <c r="AH247" s="6"/>
      <c r="AI247" s="6"/>
      <c r="AJ247" s="6"/>
      <c r="AK247" s="6"/>
      <c r="AL247" s="6"/>
      <c r="AM247" s="6"/>
      <c r="AN247" s="6" t="str">
        <f>IFERROR(__xludf.DUMMYFUNCTION("""COMPUTED_VALUE"""),"Ismet Fikretov Manafov")</f>
        <v>Ismet Fikretov Manafov</v>
      </c>
      <c r="AO247" s="6"/>
    </row>
    <row r="248">
      <c r="A248" s="6" t="str">
        <f>IFERROR(__xludf.DUMMYFUNCTION("""COMPUTED_VALUE"""),"Klussenbedrijf POKO-78")</f>
        <v>Klussenbedrijf POKO-78</v>
      </c>
      <c r="B248" s="6" t="str">
        <f>IFERROR(__xludf.DUMMYFUNCTION("""COMPUTED_VALUE"""),"Klussenbedrijf POKO-78")</f>
        <v>Klussenbedrijf POKO-78</v>
      </c>
      <c r="C248" s="6">
        <f>IFERROR(__xludf.DUMMYFUNCTION("""COMPUTED_VALUE"""),1149.0)</f>
        <v>1149</v>
      </c>
      <c r="D248" s="7" t="str">
        <f>IFERROR(__xludf.DUMMYFUNCTION("""COMPUTED_VALUE"""),"Aleksandar Ivanov Menov")</f>
        <v>Aleksandar Ivanov Menov</v>
      </c>
      <c r="E248" s="7" t="str">
        <f>IFERROR(__xludf.DUMMYFUNCTION("""COMPUTED_VALUE"""),"SBI-code: 4120 - Algemene burgerlijke en utiliteitsbouw")</f>
        <v>SBI-code: 4120 - Algemene burgerlijke en utiliteitsbouw</v>
      </c>
      <c r="F248" s="7" t="str">
        <f>IFERROR(__xludf.DUMMYFUNCTION("""COMPUTED_VALUE"""),"0684735835")</f>
        <v>0684735835</v>
      </c>
      <c r="G248" s="6" t="str">
        <f>IFERROR(__xludf.DUMMYFUNCTION("""COMPUTED_VALUE"""),"amenov1978@gmail.com")</f>
        <v>amenov1978@gmail.com</v>
      </c>
      <c r="H248" s="6" t="str">
        <f>IFERROR(__xludf.DUMMYFUNCTION("""COMPUTED_VALUE"""),"De Heemstraat 150")</f>
        <v>De Heemstraat 150</v>
      </c>
      <c r="I248" s="6" t="str">
        <f>IFERROR(__xludf.DUMMYFUNCTION("""COMPUTED_VALUE"""),"2525EN")</f>
        <v>2525EN</v>
      </c>
      <c r="J248" s="6" t="str">
        <f>IFERROR(__xludf.DUMMYFUNCTION("""COMPUTED_VALUE"""),"s-Gravenhage")</f>
        <v>s-Gravenhage</v>
      </c>
      <c r="K248" s="6" t="str">
        <f>IFERROR(__xludf.DUMMYFUNCTION("""COMPUTED_VALUE"""),"Nederland")</f>
        <v>Nederland</v>
      </c>
      <c r="L248" s="6" t="str">
        <f>IFERROR(__xludf.DUMMYFUNCTION("""COMPUTED_VALUE"""),"Менов")</f>
        <v>Менов</v>
      </c>
      <c r="M248" s="8">
        <f>IFERROR(__xludf.DUMMYFUNCTION("""COMPUTED_VALUE"""),44296.0)</f>
        <v>44296</v>
      </c>
      <c r="N248" s="6" t="str">
        <f>IFERROR(__xludf.DUMMYFUNCTION("""COMPUTED_VALUE"""),"NL660798992B01")</f>
        <v>NL660798992B01</v>
      </c>
      <c r="O248" s="6">
        <f>IFERROR(__xludf.DUMMYFUNCTION("""COMPUTED_VALUE"""),6.2818023E7)</f>
        <v>62818023</v>
      </c>
      <c r="P248" s="6" t="str">
        <f>IFERROR(__xludf.DUMMYFUNCTION("""COMPUTED_VALUE"""),"NL71INGB0006929392")</f>
        <v>NL71INGB0006929392</v>
      </c>
      <c r="Q248" s="9">
        <f>IFERROR(__xludf.DUMMYFUNCTION("""COMPUTED_VALUE"""),42072.0)</f>
        <v>42072</v>
      </c>
      <c r="R248" s="6"/>
      <c r="S248" s="6" t="str">
        <f>IFERROR(__xludf.DUMMYFUNCTION("""COMPUTED_VALUE"""),"NL002513555B30")</f>
        <v>NL002513555B30</v>
      </c>
      <c r="T248" s="6">
        <f>IFERROR(__xludf.DUMMYFUNCTION("""COMPUTED_VALUE"""),6.60798992E8)</f>
        <v>660798992</v>
      </c>
      <c r="U248" s="7" t="str">
        <f>IFERROR(__xludf.DUMMYFUNCTION("""COMPUTED_VALUE"""),"Eenmanszaak")</f>
        <v>Eenmanszaak</v>
      </c>
      <c r="V248" s="7" t="str">
        <f>IFERROR(__xludf.DUMMYFUNCTION("""COMPUTED_VALUE"""),"000031793207")</f>
        <v>000031793207</v>
      </c>
      <c r="W248" s="6" t="str">
        <f>IFERROR(__xludf.DUMMYFUNCTION("""COMPUTED_VALUE"""),"ink.poko-78.2288aa@zarabota.nl")</f>
        <v>ink.poko-78.2288aa@zarabota.nl</v>
      </c>
      <c r="X248" s="6" t="str">
        <f>IFERROR(__xludf.DUMMYFUNCTION("""COMPUTED_VALUE"""),"ver.poko-78.2288aa@zarabota.nl")</f>
        <v>ver.poko-78.2288aa@zarabota.nl</v>
      </c>
      <c r="Y248" s="6" t="str">
        <f>IFERROR(__xludf.DUMMYFUNCTION("""COMPUTED_VALUE"""),"Hr.")</f>
        <v>Hr.</v>
      </c>
      <c r="Z248" s="6" t="str">
        <f>IFERROR(__xludf.DUMMYFUNCTION("""COMPUTED_VALUE"""),"Aleksandar Ivanov")</f>
        <v>Aleksandar Ivanov</v>
      </c>
      <c r="AA248" s="6" t="str">
        <f>IFERROR(__xludf.DUMMYFUNCTION("""COMPUTED_VALUE"""),"Menov")</f>
        <v>Menov</v>
      </c>
      <c r="AB248" s="6" t="str">
        <f>IFERROR(__xludf.DUMMYFUNCTION("""COMPUTED_VALUE"""),"A.I.")</f>
        <v>A.I.</v>
      </c>
      <c r="AC248" s="6">
        <f>IFERROR(__xludf.DUMMYFUNCTION("""COMPUTED_VALUE"""),6.60798992E8)</f>
        <v>660798992</v>
      </c>
      <c r="AD248" s="9">
        <f>IFERROR(__xludf.DUMMYFUNCTION("""COMPUTED_VALUE"""),28569.0)</f>
        <v>28569</v>
      </c>
      <c r="AE248" s="6" t="str">
        <f>IFERROR(__xludf.DUMMYFUNCTION("""COMPUTED_VALUE"""),"bg")</f>
        <v>bg</v>
      </c>
      <c r="AF248" s="6" t="str">
        <f>IFERROR(__xludf.DUMMYFUNCTION("""COMPUTED_VALUE"""),"Drangovo")</f>
        <v>Drangovo</v>
      </c>
      <c r="AG248" s="6" t="str">
        <f>IFERROR(__xludf.DUMMYFUNCTION("""COMPUTED_VALUE"""),"Hr. A.I. Menov")</f>
        <v>Hr. A.I. Menov</v>
      </c>
      <c r="AH248" s="6"/>
      <c r="AI248" s="9">
        <f>IFERROR(__xludf.DUMMYFUNCTION("""COMPUTED_VALUE"""),41906.0)</f>
        <v>41906</v>
      </c>
      <c r="AJ248" s="6"/>
      <c r="AK248" s="6"/>
      <c r="AL248" s="6"/>
      <c r="AM248" s="6" t="str">
        <f>IFERROR(__xludf.DUMMYFUNCTION("""COMPUTED_VALUE"""),"Bulgarije")</f>
        <v>Bulgarije</v>
      </c>
      <c r="AN248" s="6" t="str">
        <f>IFERROR(__xludf.DUMMYFUNCTION("""COMPUTED_VALUE"""),"Aleksandar Ivanov Menov")</f>
        <v>Aleksandar Ivanov Menov</v>
      </c>
      <c r="AO248" s="6">
        <f>IFERROR(__xludf.DUMMYFUNCTION("""COMPUTED_VALUE"""),1149.0)</f>
        <v>1149</v>
      </c>
    </row>
    <row r="249">
      <c r="A249" s="6" t="str">
        <f>IFERROR(__xludf.DUMMYFUNCTION("""COMPUTED_VALUE"""),"Kolev Bouw")</f>
        <v>Kolev Bouw</v>
      </c>
      <c r="B249" s="6" t="str">
        <f>IFERROR(__xludf.DUMMYFUNCTION("""COMPUTED_VALUE"""),"Kolev Bouw")</f>
        <v>Kolev Bouw</v>
      </c>
      <c r="C249" s="6">
        <f>IFERROR(__xludf.DUMMYFUNCTION("""COMPUTED_VALUE"""),690.0)</f>
        <v>690</v>
      </c>
      <c r="D249" s="7" t="str">
        <f>IFERROR(__xludf.DUMMYFUNCTION("""COMPUTED_VALUE"""),"Nikola Slavov Kolev")</f>
        <v>Nikola Slavov Kolev</v>
      </c>
      <c r="E249" s="7" t="str">
        <f>IFERROR(__xludf.DUMMYFUNCTION("""COMPUTED_VALUE"""),"SBI-code: 4120 - Algemene burgerlijke en utiliteitsbouw")</f>
        <v>SBI-code: 4120 - Algemene burgerlijke en utiliteitsbouw</v>
      </c>
      <c r="F249" s="7" t="str">
        <f>IFERROR(__xludf.DUMMYFUNCTION("""COMPUTED_VALUE"""),"0687565116")</f>
        <v>0687565116</v>
      </c>
      <c r="G249" s="6" t="str">
        <f>IFERROR(__xludf.DUMMYFUNCTION("""COMPUTED_VALUE"""),"kolevn662@gmail.com")</f>
        <v>kolevn662@gmail.com</v>
      </c>
      <c r="H249" s="6" t="str">
        <f>IFERROR(__xludf.DUMMYFUNCTION("""COMPUTED_VALUE"""),"Wolfhezestraat 61")</f>
        <v>Wolfhezestraat 61</v>
      </c>
      <c r="I249" s="6" t="str">
        <f>IFERROR(__xludf.DUMMYFUNCTION("""COMPUTED_VALUE"""),"2573NT")</f>
        <v>2573NT</v>
      </c>
      <c r="J249" s="6" t="str">
        <f>IFERROR(__xludf.DUMMYFUNCTION("""COMPUTED_VALUE"""),"s-Gravenhage")</f>
        <v>s-Gravenhage</v>
      </c>
      <c r="K249" s="6" t="str">
        <f>IFERROR(__xludf.DUMMYFUNCTION("""COMPUTED_VALUE"""),"Nederland")</f>
        <v>Nederland</v>
      </c>
      <c r="L249" s="6" t="str">
        <f>IFERROR(__xludf.DUMMYFUNCTION("""COMPUTED_VALUE"""),"Колев")</f>
        <v>Колев</v>
      </c>
      <c r="M249" s="8">
        <f>IFERROR(__xludf.DUMMYFUNCTION("""COMPUTED_VALUE"""),43165.0)</f>
        <v>43165</v>
      </c>
      <c r="N249" s="6" t="str">
        <f>IFERROR(__xludf.DUMMYFUNCTION("""COMPUTED_VALUE"""),"NL555333760B01")</f>
        <v>NL555333760B01</v>
      </c>
      <c r="O249" s="6">
        <f>IFERROR(__xludf.DUMMYFUNCTION("""COMPUTED_VALUE"""),7.1072497E7)</f>
        <v>71072497</v>
      </c>
      <c r="P249" s="6" t="str">
        <f>IFERROR(__xludf.DUMMYFUNCTION("""COMPUTED_VALUE"""),"NL82INGB0008172928")</f>
        <v>NL82INGB0008172928</v>
      </c>
      <c r="Q249" s="9">
        <f>IFERROR(__xludf.DUMMYFUNCTION("""COMPUTED_VALUE"""),43165.0)</f>
        <v>43165</v>
      </c>
      <c r="R249" s="6"/>
      <c r="S249" s="6" t="str">
        <f>IFERROR(__xludf.DUMMYFUNCTION("""COMPUTED_VALUE"""),"NL002500356B93")</f>
        <v>NL002500356B93</v>
      </c>
      <c r="T249" s="6">
        <f>IFERROR(__xludf.DUMMYFUNCTION("""COMPUTED_VALUE"""),5.5533376E8)</f>
        <v>555333760</v>
      </c>
      <c r="U249" s="7" t="str">
        <f>IFERROR(__xludf.DUMMYFUNCTION("""COMPUTED_VALUE"""),"Eenmanszaak")</f>
        <v>Eenmanszaak</v>
      </c>
      <c r="V249" s="7" t="str">
        <f>IFERROR(__xludf.DUMMYFUNCTION("""COMPUTED_VALUE"""),"000039288838")</f>
        <v>000039288838</v>
      </c>
      <c r="W249" s="6" t="str">
        <f>IFERROR(__xludf.DUMMYFUNCTION("""COMPUTED_VALUE"""),"ink.kolevbouw.2288aa@zarabota.nl")</f>
        <v>ink.kolevbouw.2288aa@zarabota.nl</v>
      </c>
      <c r="X249" s="6" t="str">
        <f>IFERROR(__xludf.DUMMYFUNCTION("""COMPUTED_VALUE"""),"ver.kolevbouw.2288aa@zarabota.nl")</f>
        <v>ver.kolevbouw.2288aa@zarabota.nl</v>
      </c>
      <c r="Y249" s="6" t="str">
        <f>IFERROR(__xludf.DUMMYFUNCTION("""COMPUTED_VALUE"""),"Hr.")</f>
        <v>Hr.</v>
      </c>
      <c r="Z249" s="6" t="str">
        <f>IFERROR(__xludf.DUMMYFUNCTION("""COMPUTED_VALUE"""),"Nikola Slavov")</f>
        <v>Nikola Slavov</v>
      </c>
      <c r="AA249" s="6" t="str">
        <f>IFERROR(__xludf.DUMMYFUNCTION("""COMPUTED_VALUE"""),"Kolev")</f>
        <v>Kolev</v>
      </c>
      <c r="AB249" s="6" t="str">
        <f>IFERROR(__xludf.DUMMYFUNCTION("""COMPUTED_VALUE"""),"N.S.")</f>
        <v>N.S.</v>
      </c>
      <c r="AC249" s="6">
        <f>IFERROR(__xludf.DUMMYFUNCTION("""COMPUTED_VALUE"""),5.5533376E8)</f>
        <v>555333760</v>
      </c>
      <c r="AD249" s="9">
        <f>IFERROR(__xludf.DUMMYFUNCTION("""COMPUTED_VALUE"""),27189.0)</f>
        <v>27189</v>
      </c>
      <c r="AE249" s="6" t="str">
        <f>IFERROR(__xludf.DUMMYFUNCTION("""COMPUTED_VALUE"""),"bg")</f>
        <v>bg</v>
      </c>
      <c r="AF249" s="6" t="str">
        <f>IFERROR(__xludf.DUMMYFUNCTION("""COMPUTED_VALUE"""),"Sliven")</f>
        <v>Sliven</v>
      </c>
      <c r="AG249" s="6" t="str">
        <f>IFERROR(__xludf.DUMMYFUNCTION("""COMPUTED_VALUE"""),"Hr. N.S. Kolev")</f>
        <v>Hr. N.S. Kolev</v>
      </c>
      <c r="AH249" s="6" t="str">
        <f>IFERROR(__xludf.DUMMYFUNCTION("""COMPUTED_VALUE"""),"NL32INGB0705182460")</f>
        <v>NL32INGB0705182460</v>
      </c>
      <c r="AI249" s="6"/>
      <c r="AJ249" s="6"/>
      <c r="AK249" s="6"/>
      <c r="AL249" s="6"/>
      <c r="AM249" s="6"/>
      <c r="AN249" s="6" t="str">
        <f>IFERROR(__xludf.DUMMYFUNCTION("""COMPUTED_VALUE"""),"Nikola Slavov Kolev")</f>
        <v>Nikola Slavov Kolev</v>
      </c>
      <c r="AO249" s="6"/>
    </row>
    <row r="250">
      <c r="A250" s="6" t="str">
        <f>IFERROR(__xludf.DUMMYFUNCTION("""COMPUTED_VALUE"""),"Kozirok")</f>
        <v>Kozirok</v>
      </c>
      <c r="B250" s="6" t="str">
        <f>IFERROR(__xludf.DUMMYFUNCTION("""COMPUTED_VALUE"""),"Kozirok")</f>
        <v>Kozirok</v>
      </c>
      <c r="C250" s="6">
        <f>IFERROR(__xludf.DUMMYFUNCTION("""COMPUTED_VALUE"""),312.0)</f>
        <v>312</v>
      </c>
      <c r="D250" s="7" t="str">
        <f>IFERROR(__xludf.DUMMYFUNCTION("""COMPUTED_VALUE"""),"Rusko Georgiev Georgiev")</f>
        <v>Rusko Georgiev Georgiev</v>
      </c>
      <c r="E250" s="7" t="str">
        <f>IFERROR(__xludf.DUMMYFUNCTION("""COMPUTED_VALUE"""),"SBI-code: 4120 - Algemene burgerlijke en utiliteitsbouw")</f>
        <v>SBI-code: 4120 - Algemene burgerlijke en utiliteitsbouw</v>
      </c>
      <c r="F250" s="7" t="str">
        <f>IFERROR(__xludf.DUMMYFUNCTION("""COMPUTED_VALUE"""),"0686238500")</f>
        <v>0686238500</v>
      </c>
      <c r="G250" s="6" t="str">
        <f>IFERROR(__xludf.DUMMYFUNCTION("""COMPUTED_VALUE"""),"ruskogeorgiev39@gmail.com")</f>
        <v>ruskogeorgiev39@gmail.com</v>
      </c>
      <c r="H250" s="6" t="str">
        <f>IFERROR(__xludf.DUMMYFUNCTION("""COMPUTED_VALUE"""),"Laakkade 231")</f>
        <v>Laakkade 231</v>
      </c>
      <c r="I250" s="6" t="str">
        <f>IFERROR(__xludf.DUMMYFUNCTION("""COMPUTED_VALUE"""),"2521XN")</f>
        <v>2521XN</v>
      </c>
      <c r="J250" s="6" t="str">
        <f>IFERROR(__xludf.DUMMYFUNCTION("""COMPUTED_VALUE"""),"s-Gravenhage")</f>
        <v>s-Gravenhage</v>
      </c>
      <c r="K250" s="6" t="str">
        <f>IFERROR(__xludf.DUMMYFUNCTION("""COMPUTED_VALUE"""),"Nederland")</f>
        <v>Nederland</v>
      </c>
      <c r="L250" s="6" t="str">
        <f>IFERROR(__xludf.DUMMYFUNCTION("""COMPUTED_VALUE"""),"Георгиев")</f>
        <v>Георгиев</v>
      </c>
      <c r="M250" s="8">
        <f>IFERROR(__xludf.DUMMYFUNCTION("""COMPUTED_VALUE"""),43175.0)</f>
        <v>43175</v>
      </c>
      <c r="N250" s="6" t="str">
        <f>IFERROR(__xludf.DUMMYFUNCTION("""COMPUTED_VALUE"""),"NL484552156B01")</f>
        <v>NL484552156B01</v>
      </c>
      <c r="O250" s="6">
        <f>IFERROR(__xludf.DUMMYFUNCTION("""COMPUTED_VALUE"""),6.5955544E7)</f>
        <v>65955544</v>
      </c>
      <c r="P250" s="6" t="str">
        <f>IFERROR(__xludf.DUMMYFUNCTION("""COMPUTED_VALUE"""),"NL58INGB0007306471")</f>
        <v>NL58INGB0007306471</v>
      </c>
      <c r="Q250" s="9">
        <f>IFERROR(__xludf.DUMMYFUNCTION("""COMPUTED_VALUE"""),42461.0)</f>
        <v>42461</v>
      </c>
      <c r="R250" s="6"/>
      <c r="S250" s="6" t="str">
        <f>IFERROR(__xludf.DUMMYFUNCTION("""COMPUTED_VALUE"""),"NL002490299B08")</f>
        <v>NL002490299B08</v>
      </c>
      <c r="T250" s="6">
        <f>IFERROR(__xludf.DUMMYFUNCTION("""COMPUTED_VALUE"""),4.84552156E8)</f>
        <v>484552156</v>
      </c>
      <c r="U250" s="7" t="str">
        <f>IFERROR(__xludf.DUMMYFUNCTION("""COMPUTED_VALUE"""),"Eenmanszaak")</f>
        <v>Eenmanszaak</v>
      </c>
      <c r="V250" s="7" t="str">
        <f>IFERROR(__xludf.DUMMYFUNCTION("""COMPUTED_VALUE"""),"000034625216")</f>
        <v>000034625216</v>
      </c>
      <c r="W250" s="6" t="str">
        <f>IFERROR(__xludf.DUMMYFUNCTION("""COMPUTED_VALUE"""),"ink.kozirok.2288aa@zarabota.nl")</f>
        <v>ink.kozirok.2288aa@zarabota.nl</v>
      </c>
      <c r="X250" s="6" t="str">
        <f>IFERROR(__xludf.DUMMYFUNCTION("""COMPUTED_VALUE"""),"ver.kozirok.2288aa@zarabota.nl")</f>
        <v>ver.kozirok.2288aa@zarabota.nl</v>
      </c>
      <c r="Y250" s="6" t="str">
        <f>IFERROR(__xludf.DUMMYFUNCTION("""COMPUTED_VALUE"""),"Hr.")</f>
        <v>Hr.</v>
      </c>
      <c r="Z250" s="6" t="str">
        <f>IFERROR(__xludf.DUMMYFUNCTION("""COMPUTED_VALUE"""),"Rusko Georgiev")</f>
        <v>Rusko Georgiev</v>
      </c>
      <c r="AA250" s="6" t="str">
        <f>IFERROR(__xludf.DUMMYFUNCTION("""COMPUTED_VALUE"""),"Georgiev")</f>
        <v>Georgiev</v>
      </c>
      <c r="AB250" s="6" t="str">
        <f>IFERROR(__xludf.DUMMYFUNCTION("""COMPUTED_VALUE"""),"R.G.")</f>
        <v>R.G.</v>
      </c>
      <c r="AC250" s="6">
        <f>IFERROR(__xludf.DUMMYFUNCTION("""COMPUTED_VALUE"""),4.84552156E8)</f>
        <v>484552156</v>
      </c>
      <c r="AD250" s="9">
        <f>IFERROR(__xludf.DUMMYFUNCTION("""COMPUTED_VALUE"""),27392.0)</f>
        <v>27392</v>
      </c>
      <c r="AE250" s="6" t="str">
        <f>IFERROR(__xludf.DUMMYFUNCTION("""COMPUTED_VALUE"""),"bg")</f>
        <v>bg</v>
      </c>
      <c r="AF250" s="6" t="str">
        <f>IFERROR(__xludf.DUMMYFUNCTION("""COMPUTED_VALUE"""),"Burgas")</f>
        <v>Burgas</v>
      </c>
      <c r="AG250" s="6" t="str">
        <f>IFERROR(__xludf.DUMMYFUNCTION("""COMPUTED_VALUE"""),"Hr. R.G. Georgiev")</f>
        <v>Hr. R.G. Georgiev</v>
      </c>
      <c r="AH250" s="6"/>
      <c r="AI250" s="6"/>
      <c r="AJ250" s="6" t="str">
        <f>IFERROR(__xludf.DUMMYFUNCTION("""COMPUTED_VALUE"""),"ID Kaart")</f>
        <v>ID Kaart</v>
      </c>
      <c r="AK250" s="6">
        <f>IFERROR(__xludf.DUMMYFUNCTION("""COMPUTED_VALUE"""),6.44183479E8)</f>
        <v>644183479</v>
      </c>
      <c r="AL250" s="9">
        <f>IFERROR(__xludf.DUMMYFUNCTION("""COMPUTED_VALUE"""),44716.0)</f>
        <v>44716</v>
      </c>
      <c r="AM250" s="6"/>
      <c r="AN250" s="6" t="str">
        <f>IFERROR(__xludf.DUMMYFUNCTION("""COMPUTED_VALUE"""),"Rusko Georgiev Georgiev")</f>
        <v>Rusko Georgiev Georgiev</v>
      </c>
      <c r="AO250" s="6"/>
    </row>
    <row r="251">
      <c r="A251" s="6" t="str">
        <f>IFERROR(__xludf.DUMMYFUNCTION("""COMPUTED_VALUE"""),"Krabis Onderhoudsbedrijf")</f>
        <v>Krabis Onderhoudsbedrijf</v>
      </c>
      <c r="B251" s="6" t="str">
        <f>IFERROR(__xludf.DUMMYFUNCTION("""COMPUTED_VALUE"""),"Krabis Onderhoudsbedrijf")</f>
        <v>Krabis Onderhoudsbedrijf</v>
      </c>
      <c r="C251" s="6">
        <f>IFERROR(__xludf.DUMMYFUNCTION("""COMPUTED_VALUE"""),16.0)</f>
        <v>16</v>
      </c>
      <c r="D251" s="7" t="str">
        <f>IFERROR(__xludf.DUMMYFUNCTION("""COMPUTED_VALUE"""),"Sabi Anatoliev Yurukov")</f>
        <v>Sabi Anatoliev Yurukov</v>
      </c>
      <c r="E251" s="7" t="str">
        <f>IFERROR(__xludf.DUMMYFUNCTION("""COMPUTED_VALUE"""),"SBI-code: 4120 - Algemene burgerlijke en utiliteitsbouw")</f>
        <v>SBI-code: 4120 - Algemene burgerlijke en utiliteitsbouw</v>
      </c>
      <c r="F251" s="7" t="str">
        <f>IFERROR(__xludf.DUMMYFUNCTION("""COMPUTED_VALUE"""),"0639325893")</f>
        <v>0639325893</v>
      </c>
      <c r="G251" s="6" t="str">
        <f>IFERROR(__xludf.DUMMYFUNCTION("""COMPUTED_VALUE"""),"sabi.yrukov@abv.bg")</f>
        <v>sabi.yrukov@abv.bg</v>
      </c>
      <c r="H251" s="6" t="str">
        <f>IFERROR(__xludf.DUMMYFUNCTION("""COMPUTED_VALUE"""),"Maagdepalmstraat 76")</f>
        <v>Maagdepalmstraat 76</v>
      </c>
      <c r="I251" s="6" t="str">
        <f>IFERROR(__xludf.DUMMYFUNCTION("""COMPUTED_VALUE"""),"2563TH")</f>
        <v>2563TH</v>
      </c>
      <c r="J251" s="6" t="str">
        <f>IFERROR(__xludf.DUMMYFUNCTION("""COMPUTED_VALUE"""),"`s-Gravenhage")</f>
        <v>`s-Gravenhage</v>
      </c>
      <c r="K251" s="6" t="str">
        <f>IFERROR(__xludf.DUMMYFUNCTION("""COMPUTED_VALUE"""),"Nederland")</f>
        <v>Nederland</v>
      </c>
      <c r="L251" s="6" t="str">
        <f>IFERROR(__xludf.DUMMYFUNCTION("""COMPUTED_VALUE"""),"Юруков")</f>
        <v>Юруков</v>
      </c>
      <c r="M251" s="8">
        <f>IFERROR(__xludf.DUMMYFUNCTION("""COMPUTED_VALUE"""),43175.0)</f>
        <v>43175</v>
      </c>
      <c r="N251" s="6" t="str">
        <f>IFERROR(__xludf.DUMMYFUNCTION("""COMPUTED_VALUE"""),"NL781916653B01")</f>
        <v>NL781916653B01</v>
      </c>
      <c r="O251" s="6">
        <f>IFERROR(__xludf.DUMMYFUNCTION("""COMPUTED_VALUE"""),5.3978714E7)</f>
        <v>53978714</v>
      </c>
      <c r="P251" s="6" t="str">
        <f>IFERROR(__xludf.DUMMYFUNCTION("""COMPUTED_VALUE"""),"NL94INGB0004655783")</f>
        <v>NL94INGB0004655783</v>
      </c>
      <c r="Q251" s="9">
        <f>IFERROR(__xludf.DUMMYFUNCTION("""COMPUTED_VALUE"""),40868.0)</f>
        <v>40868</v>
      </c>
      <c r="R251" s="6"/>
      <c r="S251" s="6" t="str">
        <f>IFERROR(__xludf.DUMMYFUNCTION("""COMPUTED_VALUE"""),"NL002519870B37")</f>
        <v>NL002519870B37</v>
      </c>
      <c r="T251" s="6">
        <f>IFERROR(__xludf.DUMMYFUNCTION("""COMPUTED_VALUE"""),7.81916653E8)</f>
        <v>781916653</v>
      </c>
      <c r="U251" s="7" t="str">
        <f>IFERROR(__xludf.DUMMYFUNCTION("""COMPUTED_VALUE"""),"Eenmanszaak")</f>
        <v>Eenmanszaak</v>
      </c>
      <c r="V251" s="7" t="str">
        <f>IFERROR(__xludf.DUMMYFUNCTION("""COMPUTED_VALUE"""),"000023812346")</f>
        <v>000023812346</v>
      </c>
      <c r="W251" s="6" t="str">
        <f>IFERROR(__xludf.DUMMYFUNCTION("""COMPUTED_VALUE"""),"ink.krabisonderhoudsbedrijf.2288aa@zarabota.nl")</f>
        <v>ink.krabisonderhoudsbedrijf.2288aa@zarabota.nl</v>
      </c>
      <c r="X251" s="6" t="str">
        <f>IFERROR(__xludf.DUMMYFUNCTION("""COMPUTED_VALUE"""),"ver.krabisonderhoudsbedrijf.2288aa@zarabota.nl")</f>
        <v>ver.krabisonderhoudsbedrijf.2288aa@zarabota.nl</v>
      </c>
      <c r="Y251" s="6" t="str">
        <f>IFERROR(__xludf.DUMMYFUNCTION("""COMPUTED_VALUE"""),"Hr.")</f>
        <v>Hr.</v>
      </c>
      <c r="Z251" s="6" t="str">
        <f>IFERROR(__xludf.DUMMYFUNCTION("""COMPUTED_VALUE"""),"Sabi Anatoliev")</f>
        <v>Sabi Anatoliev</v>
      </c>
      <c r="AA251" s="6" t="str">
        <f>IFERROR(__xludf.DUMMYFUNCTION("""COMPUTED_VALUE"""),"Yurukov")</f>
        <v>Yurukov</v>
      </c>
      <c r="AB251" s="6" t="str">
        <f>IFERROR(__xludf.DUMMYFUNCTION("""COMPUTED_VALUE"""),"S.A.")</f>
        <v>S.A.</v>
      </c>
      <c r="AC251" s="6">
        <f>IFERROR(__xludf.DUMMYFUNCTION("""COMPUTED_VALUE"""),7.81916653E8)</f>
        <v>781916653</v>
      </c>
      <c r="AD251" s="9">
        <f>IFERROR(__xludf.DUMMYFUNCTION("""COMPUTED_VALUE"""),28930.0)</f>
        <v>28930</v>
      </c>
      <c r="AE251" s="6" t="str">
        <f>IFERROR(__xludf.DUMMYFUNCTION("""COMPUTED_VALUE"""),"bg")</f>
        <v>bg</v>
      </c>
      <c r="AF251" s="6" t="str">
        <f>IFERROR(__xludf.DUMMYFUNCTION("""COMPUTED_VALUE"""),"Plovdiv")</f>
        <v>Plovdiv</v>
      </c>
      <c r="AG251" s="6" t="str">
        <f>IFERROR(__xludf.DUMMYFUNCTION("""COMPUTED_VALUE"""),"Hr. S.A. Yurukov")</f>
        <v>Hr. S.A. Yurukov</v>
      </c>
      <c r="AH251" s="6"/>
      <c r="AI251" s="6"/>
      <c r="AJ251" s="6"/>
      <c r="AK251" s="6"/>
      <c r="AL251" s="6"/>
      <c r="AM251" s="6"/>
      <c r="AN251" s="6" t="str">
        <f>IFERROR(__xludf.DUMMYFUNCTION("""COMPUTED_VALUE"""),"Sabi Anatoliev Yurukov")</f>
        <v>Sabi Anatoliev Yurukov</v>
      </c>
      <c r="AO251" s="6"/>
    </row>
    <row r="252">
      <c r="A252" s="6" t="str">
        <f>IFERROR(__xludf.DUMMYFUNCTION("""COMPUTED_VALUE"""),"Kral 88 VOF")</f>
        <v>Kral 88 VOF</v>
      </c>
      <c r="B252" s="6" t="str">
        <f>IFERROR(__xludf.DUMMYFUNCTION("""COMPUTED_VALUE"""),"Kral 88 VOF")</f>
        <v>Kral 88 VOF</v>
      </c>
      <c r="C252" s="6">
        <f>IFERROR(__xludf.DUMMYFUNCTION("""COMPUTED_VALUE"""),1178.0)</f>
        <v>1178</v>
      </c>
      <c r="D252" s="7" t="str">
        <f>IFERROR(__xludf.DUMMYFUNCTION("""COMPUTED_VALUE"""),"Bahtiyar Bahri Sali")</f>
        <v>Bahtiyar Bahri Sali</v>
      </c>
      <c r="E252" s="7" t="str">
        <f>IFERROR(__xludf.DUMMYFUNCTION("""COMPUTED_VALUE"""),"SBI-code: 4120 - Algemene burgerlijke en utiliteitsbouw")</f>
        <v>SBI-code: 4120 - Algemene burgerlijke en utiliteitsbouw</v>
      </c>
      <c r="F252" s="7" t="str">
        <f>IFERROR(__xludf.DUMMYFUNCTION("""COMPUTED_VALUE"""),"0642530527")</f>
        <v>0642530527</v>
      </c>
      <c r="G252" s="6" t="str">
        <f>IFERROR(__xludf.DUMMYFUNCTION("""COMPUTED_VALUE"""),"bahtiyarsali88@gmail.com")</f>
        <v>bahtiyarsali88@gmail.com</v>
      </c>
      <c r="H252" s="6" t="str">
        <f>IFERROR(__xludf.DUMMYFUNCTION("""COMPUTED_VALUE"""),"Rabarberstraat 13")</f>
        <v>Rabarberstraat 13</v>
      </c>
      <c r="I252" s="6" t="str">
        <f>IFERROR(__xludf.DUMMYFUNCTION("""COMPUTED_VALUE"""),"2563RL")</f>
        <v>2563RL</v>
      </c>
      <c r="J252" s="6" t="str">
        <f>IFERROR(__xludf.DUMMYFUNCTION("""COMPUTED_VALUE"""),"s-Gravenhage")</f>
        <v>s-Gravenhage</v>
      </c>
      <c r="K252" s="6" t="str">
        <f>IFERROR(__xludf.DUMMYFUNCTION("""COMPUTED_VALUE"""),"Nederland")</f>
        <v>Nederland</v>
      </c>
      <c r="L252" s="6" t="str">
        <f>IFERROR(__xludf.DUMMYFUNCTION("""COMPUTED_VALUE"""),"Сали")</f>
        <v>Сали</v>
      </c>
      <c r="M252" s="8">
        <f>IFERROR(__xludf.DUMMYFUNCTION("""COMPUTED_VALUE"""),44317.0)</f>
        <v>44317</v>
      </c>
      <c r="N252" s="6" t="str">
        <f>IFERROR(__xludf.DUMMYFUNCTION("""COMPUTED_VALUE"""),"NL862618289B01")</f>
        <v>NL862618289B01</v>
      </c>
      <c r="O252" s="6">
        <f>IFERROR(__xludf.DUMMYFUNCTION("""COMPUTED_VALUE"""),8.2826137E7)</f>
        <v>82826137</v>
      </c>
      <c r="P252" s="6" t="str">
        <f>IFERROR(__xludf.DUMMYFUNCTION("""COMPUTED_VALUE"""),"NL15INGB0009356661")</f>
        <v>NL15INGB0009356661</v>
      </c>
      <c r="Q252" s="9">
        <f>IFERROR(__xludf.DUMMYFUNCTION("""COMPUTED_VALUE"""),44317.0)</f>
        <v>44317</v>
      </c>
      <c r="R252" s="6"/>
      <c r="S252" s="6" t="str">
        <f>IFERROR(__xludf.DUMMYFUNCTION("""COMPUTED_VALUE"""),"NL862618289B01")</f>
        <v>NL862618289B01</v>
      </c>
      <c r="T252" s="6">
        <f>IFERROR(__xludf.DUMMYFUNCTION("""COMPUTED_VALUE"""),8.62618289E8)</f>
        <v>862618289</v>
      </c>
      <c r="U252" s="7" t="str">
        <f>IFERROR(__xludf.DUMMYFUNCTION("""COMPUTED_VALUE"""),"Vennootschap Onder Firma")</f>
        <v>Vennootschap Onder Firma</v>
      </c>
      <c r="V252" s="7" t="str">
        <f>IFERROR(__xludf.DUMMYFUNCTION("""COMPUTED_VALUE"""),"000042714265")</f>
        <v>000042714265</v>
      </c>
      <c r="W252" s="6" t="str">
        <f>IFERROR(__xludf.DUMMYFUNCTION("""COMPUTED_VALUE"""),"ink.kral88vof.2288aa@zarabota.nl")</f>
        <v>ink.kral88vof.2288aa@zarabota.nl</v>
      </c>
      <c r="X252" s="6" t="str">
        <f>IFERROR(__xludf.DUMMYFUNCTION("""COMPUTED_VALUE"""),"ver.kral88vof.2288aa@zarabota.nl")</f>
        <v>ver.kral88vof.2288aa@zarabota.nl</v>
      </c>
      <c r="Y252" s="6" t="str">
        <f>IFERROR(__xludf.DUMMYFUNCTION("""COMPUTED_VALUE"""),"Hr.")</f>
        <v>Hr.</v>
      </c>
      <c r="Z252" s="6" t="str">
        <f>IFERROR(__xludf.DUMMYFUNCTION("""COMPUTED_VALUE"""),"Bahtiyar Bahri")</f>
        <v>Bahtiyar Bahri</v>
      </c>
      <c r="AA252" s="6" t="str">
        <f>IFERROR(__xludf.DUMMYFUNCTION("""COMPUTED_VALUE"""),"Sali")</f>
        <v>Sali</v>
      </c>
      <c r="AB252" s="6" t="str">
        <f>IFERROR(__xludf.DUMMYFUNCTION("""COMPUTED_VALUE"""),"B.B.")</f>
        <v>B.B.</v>
      </c>
      <c r="AC252" s="6">
        <f>IFERROR(__xludf.DUMMYFUNCTION("""COMPUTED_VALUE"""),3.88466418E8)</f>
        <v>388466418</v>
      </c>
      <c r="AD252" s="9">
        <f>IFERROR(__xludf.DUMMYFUNCTION("""COMPUTED_VALUE"""),32429.0)</f>
        <v>32429</v>
      </c>
      <c r="AE252" s="6" t="str">
        <f>IFERROR(__xludf.DUMMYFUNCTION("""COMPUTED_VALUE"""),"bg")</f>
        <v>bg</v>
      </c>
      <c r="AF252" s="6" t="str">
        <f>IFERROR(__xludf.DUMMYFUNCTION("""COMPUTED_VALUE"""),"Ardino")</f>
        <v>Ardino</v>
      </c>
      <c r="AG252" s="6" t="str">
        <f>IFERROR(__xludf.DUMMYFUNCTION("""COMPUTED_VALUE"""),"Hr. B.B. Sali")</f>
        <v>Hr. B.B. Sali</v>
      </c>
      <c r="AH252" s="6" t="str">
        <f>IFERROR(__xludf.DUMMYFUNCTION("""COMPUTED_VALUE"""),"NL30INGB0672558971")</f>
        <v>NL30INGB0672558971</v>
      </c>
      <c r="AI252" s="9">
        <f>IFERROR(__xludf.DUMMYFUNCTION("""COMPUTED_VALUE"""),43588.0)</f>
        <v>43588</v>
      </c>
      <c r="AJ252" s="6"/>
      <c r="AK252" s="6"/>
      <c r="AL252" s="6"/>
      <c r="AM252" s="6"/>
      <c r="AN252" s="6" t="str">
        <f>IFERROR(__xludf.DUMMYFUNCTION("""COMPUTED_VALUE"""),"Bahtiyar Bahri Sali")</f>
        <v>Bahtiyar Bahri Sali</v>
      </c>
      <c r="AO252" s="6">
        <f>IFERROR(__xludf.DUMMYFUNCTION("""COMPUTED_VALUE"""),1178.0)</f>
        <v>1178</v>
      </c>
    </row>
    <row r="253">
      <c r="A253" s="6" t="str">
        <f>IFERROR(__xludf.DUMMYFUNCTION("""COMPUTED_VALUE"""),"KRAS Onderhoud old")</f>
        <v>KRAS Onderhoud old</v>
      </c>
      <c r="B253" s="6" t="str">
        <f>IFERROR(__xludf.DUMMYFUNCTION("""COMPUTED_VALUE"""),"KRAS Onderhoud")</f>
        <v>KRAS Onderhoud</v>
      </c>
      <c r="C253" s="6">
        <f>IFERROR(__xludf.DUMMYFUNCTION("""COMPUTED_VALUE"""),1269.0)</f>
        <v>1269</v>
      </c>
      <c r="D253" s="7" t="str">
        <f>IFERROR(__xludf.DUMMYFUNCTION("""COMPUTED_VALUE"""),"Krasimir Kamenov Mutevski")</f>
        <v>Krasimir Kamenov Mutevski</v>
      </c>
      <c r="E253" s="7" t="str">
        <f>IFERROR(__xludf.DUMMYFUNCTION("""COMPUTED_VALUE"""),"SBI-code: 4120 - Algemene burgerlijke en utiliteitsbouw")</f>
        <v>SBI-code: 4120 - Algemene burgerlijke en utiliteitsbouw</v>
      </c>
      <c r="F253" s="7" t="str">
        <f>IFERROR(__xludf.DUMMYFUNCTION("""COMPUTED_VALUE"""),"0643259080")</f>
        <v>0643259080</v>
      </c>
      <c r="G253" s="6" t="str">
        <f>IFERROR(__xludf.DUMMYFUNCTION("""COMPUTED_VALUE"""),"krasimirmutevski@gmail.com")</f>
        <v>krasimirmutevski@gmail.com</v>
      </c>
      <c r="H253" s="6" t="str">
        <f>IFERROR(__xludf.DUMMYFUNCTION("""COMPUTED_VALUE"""),"Regentesseplein 14 A")</f>
        <v>Regentesseplein 14 A</v>
      </c>
      <c r="I253" s="6" t="str">
        <f>IFERROR(__xludf.DUMMYFUNCTION("""COMPUTED_VALUE"""),"2562EV")</f>
        <v>2562EV</v>
      </c>
      <c r="J253" s="6" t="str">
        <f>IFERROR(__xludf.DUMMYFUNCTION("""COMPUTED_VALUE"""),"s-Gravenhage")</f>
        <v>s-Gravenhage</v>
      </c>
      <c r="K253" s="6" t="str">
        <f>IFERROR(__xludf.DUMMYFUNCTION("""COMPUTED_VALUE"""),"Nederland")</f>
        <v>Nederland</v>
      </c>
      <c r="L253" s="6" t="str">
        <f>IFERROR(__xludf.DUMMYFUNCTION("""COMPUTED_VALUE"""),"Мутевски")</f>
        <v>Мутевски</v>
      </c>
      <c r="M253" s="8">
        <f>IFERROR(__xludf.DUMMYFUNCTION("""COMPUTED_VALUE"""),45664.0)</f>
        <v>45664</v>
      </c>
      <c r="N253" s="6" t="str">
        <f>IFERROR(__xludf.DUMMYFUNCTION("""COMPUTED_VALUE"""),"NL385836491B02")</f>
        <v>NL385836491B02</v>
      </c>
      <c r="O253" s="6">
        <f>IFERROR(__xludf.DUMMYFUNCTION("""COMPUTED_VALUE"""),9.6060913E7)</f>
        <v>96060913</v>
      </c>
      <c r="P253" s="6" t="str">
        <f>IFERROR(__xludf.DUMMYFUNCTION("""COMPUTED_VALUE"""),"NL31INGB0110457242")</f>
        <v>NL31INGB0110457242</v>
      </c>
      <c r="Q253" s="9">
        <f>IFERROR(__xludf.DUMMYFUNCTION("""COMPUTED_VALUE"""),45664.0)</f>
        <v>45664</v>
      </c>
      <c r="R253" s="6"/>
      <c r="S253" s="6" t="str">
        <f>IFERROR(__xludf.DUMMYFUNCTION("""COMPUTED_VALUE"""),"NL005192890B21")</f>
        <v>NL005192890B21</v>
      </c>
      <c r="T253" s="6">
        <f>IFERROR(__xludf.DUMMYFUNCTION("""COMPUTED_VALUE"""),3.85836491E8)</f>
        <v>385836491</v>
      </c>
      <c r="U253" s="7" t="str">
        <f>IFERROR(__xludf.DUMMYFUNCTION("""COMPUTED_VALUE"""),"Eenmanszaak")</f>
        <v>Eenmanszaak</v>
      </c>
      <c r="V253" s="7" t="str">
        <f>IFERROR(__xludf.DUMMYFUNCTION("""COMPUTED_VALUE"""),"000051158302")</f>
        <v>000051158302</v>
      </c>
      <c r="W253" s="6" t="str">
        <f>IFERROR(__xludf.DUMMYFUNCTION("""COMPUTED_VALUE"""),"ink.kras.2288aa@zarabota.nl")</f>
        <v>ink.kras.2288aa@zarabota.nl</v>
      </c>
      <c r="X253" s="6" t="str">
        <f>IFERROR(__xludf.DUMMYFUNCTION("""COMPUTED_VALUE"""),"ver.kras.2288aa@zarabota.nl")</f>
        <v>ver.kras.2288aa@zarabota.nl</v>
      </c>
      <c r="Y253" s="6" t="str">
        <f>IFERROR(__xludf.DUMMYFUNCTION("""COMPUTED_VALUE"""),"Hr.")</f>
        <v>Hr.</v>
      </c>
      <c r="Z253" s="6" t="str">
        <f>IFERROR(__xludf.DUMMYFUNCTION("""COMPUTED_VALUE"""),"Krasimir Kamenov")</f>
        <v>Krasimir Kamenov</v>
      </c>
      <c r="AA253" s="6" t="str">
        <f>IFERROR(__xludf.DUMMYFUNCTION("""COMPUTED_VALUE"""),"Mutevski")</f>
        <v>Mutevski</v>
      </c>
      <c r="AB253" s="6" t="str">
        <f>IFERROR(__xludf.DUMMYFUNCTION("""COMPUTED_VALUE"""),"K.K.")</f>
        <v>K.K.</v>
      </c>
      <c r="AC253" s="6">
        <f>IFERROR(__xludf.DUMMYFUNCTION("""COMPUTED_VALUE"""),3.85836491E8)</f>
        <v>385836491</v>
      </c>
      <c r="AD253" s="9">
        <f>IFERROR(__xludf.DUMMYFUNCTION("""COMPUTED_VALUE"""),30007.0)</f>
        <v>30007</v>
      </c>
      <c r="AE253" s="6" t="str">
        <f>IFERROR(__xludf.DUMMYFUNCTION("""COMPUTED_VALUE"""),"bg")</f>
        <v>bg</v>
      </c>
      <c r="AF253" s="6" t="str">
        <f>IFERROR(__xludf.DUMMYFUNCTION("""COMPUTED_VALUE"""),"Plovdiv")</f>
        <v>Plovdiv</v>
      </c>
      <c r="AG253" s="6" t="str">
        <f>IFERROR(__xludf.DUMMYFUNCTION("""COMPUTED_VALUE"""),"Hr. K.K. Mutevski")</f>
        <v>Hr. K.K. Mutevski</v>
      </c>
      <c r="AH253" s="6" t="str">
        <f>IFERROR(__xludf.DUMMYFUNCTION("""COMPUTED_VALUE"""),"NL90INGB0636254089")</f>
        <v>NL90INGB0636254089</v>
      </c>
      <c r="AI253" s="6"/>
      <c r="AJ253" s="6" t="str">
        <f>IFERROR(__xludf.DUMMYFUNCTION("""COMPUTED_VALUE"""),"ID Kaart")</f>
        <v>ID Kaart</v>
      </c>
      <c r="AK253" s="6">
        <f>IFERROR(__xludf.DUMMYFUNCTION("""COMPUTED_VALUE"""),6.48882776E8)</f>
        <v>648882776</v>
      </c>
      <c r="AL253" s="9">
        <f>IFERROR(__xludf.DUMMYFUNCTION("""COMPUTED_VALUE"""),47552.0)</f>
        <v>47552</v>
      </c>
      <c r="AM253" s="6" t="str">
        <f>IFERROR(__xludf.DUMMYFUNCTION("""COMPUTED_VALUE"""),"Bulgarije")</f>
        <v>Bulgarije</v>
      </c>
      <c r="AN253" s="6" t="str">
        <f>IFERROR(__xludf.DUMMYFUNCTION("""COMPUTED_VALUE"""),"Krasimir Kamenov Mutevski")</f>
        <v>Krasimir Kamenov Mutevski</v>
      </c>
      <c r="AO253" s="6">
        <f>IFERROR(__xludf.DUMMYFUNCTION("""COMPUTED_VALUE"""),1269.0)</f>
        <v>1269</v>
      </c>
    </row>
    <row r="254">
      <c r="A254" s="6" t="str">
        <f>IFERROR(__xludf.DUMMYFUNCTION("""COMPUTED_VALUE"""),"Krasi Bouw")</f>
        <v>Krasi Bouw</v>
      </c>
      <c r="B254" s="6" t="str">
        <f>IFERROR(__xludf.DUMMYFUNCTION("""COMPUTED_VALUE"""),"Krasi Bouw")</f>
        <v>Krasi Bouw</v>
      </c>
      <c r="C254" s="6">
        <f>IFERROR(__xludf.DUMMYFUNCTION("""COMPUTED_VALUE"""),1118.0)</f>
        <v>1118</v>
      </c>
      <c r="D254" s="7" t="str">
        <f>IFERROR(__xludf.DUMMYFUNCTION("""COMPUTED_VALUE"""),"Krasimir Svetozarov Petrov")</f>
        <v>Krasimir Svetozarov Petrov</v>
      </c>
      <c r="E254" s="7" t="str">
        <f>IFERROR(__xludf.DUMMYFUNCTION("""COMPUTED_VALUE"""),"SBI-code: 4120 - Algemene burgerlijke en utiliteitsbouw")</f>
        <v>SBI-code: 4120 - Algemene burgerlijke en utiliteitsbouw</v>
      </c>
      <c r="F254" s="7" t="str">
        <f>IFERROR(__xludf.DUMMYFUNCTION("""COMPUTED_VALUE"""),"0634070232")</f>
        <v>0634070232</v>
      </c>
      <c r="G254" s="6" t="str">
        <f>IFERROR(__xludf.DUMMYFUNCTION("""COMPUTED_VALUE"""),"krasimirpetrov9090@gmail.com")</f>
        <v>krasimirpetrov9090@gmail.com</v>
      </c>
      <c r="H254" s="6" t="str">
        <f>IFERROR(__xludf.DUMMYFUNCTION("""COMPUTED_VALUE"""),"Vier Heemskinderenstraat 95,")</f>
        <v>Vier Heemskinderenstraat 95,</v>
      </c>
      <c r="I254" s="6" t="str">
        <f>IFERROR(__xludf.DUMMYFUNCTION("""COMPUTED_VALUE"""),"2531CB")</f>
        <v>2531CB</v>
      </c>
      <c r="J254" s="6" t="str">
        <f>IFERROR(__xludf.DUMMYFUNCTION("""COMPUTED_VALUE"""),"s-Gravenhage")</f>
        <v>s-Gravenhage</v>
      </c>
      <c r="K254" s="6" t="str">
        <f>IFERROR(__xludf.DUMMYFUNCTION("""COMPUTED_VALUE"""),"Nederland")</f>
        <v>Nederland</v>
      </c>
      <c r="L254" s="6" t="str">
        <f>IFERROR(__xludf.DUMMYFUNCTION("""COMPUTED_VALUE"""),"Петров")</f>
        <v>Петров</v>
      </c>
      <c r="M254" s="8">
        <f>IFERROR(__xludf.DUMMYFUNCTION("""COMPUTED_VALUE"""),43862.0)</f>
        <v>43862</v>
      </c>
      <c r="N254" s="6" t="str">
        <f>IFERROR(__xludf.DUMMYFUNCTION("""COMPUTED_VALUE"""),"NL600400256B01")</f>
        <v>NL600400256B01</v>
      </c>
      <c r="O254" s="6">
        <f>IFERROR(__xludf.DUMMYFUNCTION("""COMPUTED_VALUE"""),8.1918275E7)</f>
        <v>81918275</v>
      </c>
      <c r="P254" s="6" t="str">
        <f>IFERROR(__xludf.DUMMYFUNCTION("""COMPUTED_VALUE"""),"NL33INGB0006967227")</f>
        <v>NL33INGB0006967227</v>
      </c>
      <c r="Q254" s="9">
        <f>IFERROR(__xludf.DUMMYFUNCTION("""COMPUTED_VALUE"""),43862.0)</f>
        <v>43862</v>
      </c>
      <c r="R254" s="6"/>
      <c r="S254" s="6" t="str">
        <f>IFERROR(__xludf.DUMMYFUNCTION("""COMPUTED_VALUE"""),"NL003618865B75")</f>
        <v>NL003618865B75</v>
      </c>
      <c r="T254" s="6">
        <f>IFERROR(__xludf.DUMMYFUNCTION("""COMPUTED_VALUE"""),6.00400256E8)</f>
        <v>600400256</v>
      </c>
      <c r="U254" s="7" t="str">
        <f>IFERROR(__xludf.DUMMYFUNCTION("""COMPUTED_VALUE"""),"Eenmanszaak")</f>
        <v>Eenmanszaak</v>
      </c>
      <c r="V254" s="7" t="str">
        <f>IFERROR(__xludf.DUMMYFUNCTION("""COMPUTED_VALUE"""),"000048180467")</f>
        <v>000048180467</v>
      </c>
      <c r="W254" s="6" t="str">
        <f>IFERROR(__xludf.DUMMYFUNCTION("""COMPUTED_VALUE"""),"ink.krasibouw.2288aa@zarabota.nl")</f>
        <v>ink.krasibouw.2288aa@zarabota.nl</v>
      </c>
      <c r="X254" s="6" t="str">
        <f>IFERROR(__xludf.DUMMYFUNCTION("""COMPUTED_VALUE"""),"ver.krasibouw.2288aa@zarabota.nl")</f>
        <v>ver.krasibouw.2288aa@zarabota.nl</v>
      </c>
      <c r="Y254" s="6" t="str">
        <f>IFERROR(__xludf.DUMMYFUNCTION("""COMPUTED_VALUE"""),"Hr.")</f>
        <v>Hr.</v>
      </c>
      <c r="Z254" s="6" t="str">
        <f>IFERROR(__xludf.DUMMYFUNCTION("""COMPUTED_VALUE"""),"Krasimir Svetozarov")</f>
        <v>Krasimir Svetozarov</v>
      </c>
      <c r="AA254" s="6" t="str">
        <f>IFERROR(__xludf.DUMMYFUNCTION("""COMPUTED_VALUE"""),"Petrov")</f>
        <v>Petrov</v>
      </c>
      <c r="AB254" s="6" t="str">
        <f>IFERROR(__xludf.DUMMYFUNCTION("""COMPUTED_VALUE"""),"K.S.")</f>
        <v>K.S.</v>
      </c>
      <c r="AC254" s="6">
        <f>IFERROR(__xludf.DUMMYFUNCTION("""COMPUTED_VALUE"""),6.00400256E8)</f>
        <v>600400256</v>
      </c>
      <c r="AD254" s="9">
        <f>IFERROR(__xludf.DUMMYFUNCTION("""COMPUTED_VALUE"""),32902.0)</f>
        <v>32902</v>
      </c>
      <c r="AE254" s="6" t="str">
        <f>IFERROR(__xludf.DUMMYFUNCTION("""COMPUTED_VALUE"""),"bg")</f>
        <v>bg</v>
      </c>
      <c r="AF254" s="6" t="str">
        <f>IFERROR(__xludf.DUMMYFUNCTION("""COMPUTED_VALUE"""),"Ruse")</f>
        <v>Ruse</v>
      </c>
      <c r="AG254" s="6" t="str">
        <f>IFERROR(__xludf.DUMMYFUNCTION("""COMPUTED_VALUE"""),"Hr. K.S. Petrov")</f>
        <v>Hr. K.S. Petrov</v>
      </c>
      <c r="AH254" s="6"/>
      <c r="AI254" s="6"/>
      <c r="AJ254" s="6" t="str">
        <f>IFERROR(__xludf.DUMMYFUNCTION("""COMPUTED_VALUE"""),"ID Kaart")</f>
        <v>ID Kaart</v>
      </c>
      <c r="AK254" s="6"/>
      <c r="AL254" s="6"/>
      <c r="AM254" s="6" t="str">
        <f>IFERROR(__xludf.DUMMYFUNCTION("""COMPUTED_VALUE"""),"Bulgarije")</f>
        <v>Bulgarije</v>
      </c>
      <c r="AN254" s="6" t="str">
        <f>IFERROR(__xludf.DUMMYFUNCTION("""COMPUTED_VALUE"""),"Krasimir Svetozarov Petrov")</f>
        <v>Krasimir Svetozarov Petrov</v>
      </c>
      <c r="AO254" s="6">
        <f>IFERROR(__xludf.DUMMYFUNCTION("""COMPUTED_VALUE"""),1118.0)</f>
        <v>1118</v>
      </c>
    </row>
    <row r="255">
      <c r="A255" s="6" t="str">
        <f>IFERROR(__xludf.DUMMYFUNCTION("""COMPUTED_VALUE"""),"Krasi74 bouw")</f>
        <v>Krasi74 bouw</v>
      </c>
      <c r="B255" s="6" t="str">
        <f>IFERROR(__xludf.DUMMYFUNCTION("""COMPUTED_VALUE"""),"Krasi74 bouw")</f>
        <v>Krasi74 bouw</v>
      </c>
      <c r="C255" s="6">
        <f>IFERROR(__xludf.DUMMYFUNCTION("""COMPUTED_VALUE"""),1289.0)</f>
        <v>1289</v>
      </c>
      <c r="D255" s="7" t="str">
        <f>IFERROR(__xludf.DUMMYFUNCTION("""COMPUTED_VALUE"""),"Zhan Krasimirov Ivanov")</f>
        <v>Zhan Krasimirov Ivanov</v>
      </c>
      <c r="E255" s="7" t="str">
        <f>IFERROR(__xludf.DUMMYFUNCTION("""COMPUTED_VALUE"""),"SBI-code: 4333 - Afwerking van vloeren en wanden")</f>
        <v>SBI-code: 4333 - Afwerking van vloeren en wanden</v>
      </c>
      <c r="F255" s="7" t="str">
        <f>IFERROR(__xludf.DUMMYFUNCTION("""COMPUTED_VALUE"""),"0685296779")</f>
        <v>0685296779</v>
      </c>
      <c r="G255" s="6" t="str">
        <f>IFERROR(__xludf.DUMMYFUNCTION("""COMPUTED_VALUE"""),"zhanivanov99@gmail.com")</f>
        <v>zhanivanov99@gmail.com</v>
      </c>
      <c r="H255" s="6" t="str">
        <f>IFERROR(__xludf.DUMMYFUNCTION("""COMPUTED_VALUE"""),"Berenrade 1 B")</f>
        <v>Berenrade 1 B</v>
      </c>
      <c r="I255" s="6" t="str">
        <f>IFERROR(__xludf.DUMMYFUNCTION("""COMPUTED_VALUE"""),"2544 HV")</f>
        <v>2544 HV</v>
      </c>
      <c r="J255" s="6" t="str">
        <f>IFERROR(__xludf.DUMMYFUNCTION("""COMPUTED_VALUE"""),"s-Gravenhage")</f>
        <v>s-Gravenhage</v>
      </c>
      <c r="K255" s="6" t="str">
        <f>IFERROR(__xludf.DUMMYFUNCTION("""COMPUTED_VALUE"""),"Nederland")</f>
        <v>Nederland</v>
      </c>
      <c r="L255" s="6" t="str">
        <f>IFERROR(__xludf.DUMMYFUNCTION("""COMPUTED_VALUE"""),"Иванов")</f>
        <v>Иванов</v>
      </c>
      <c r="M255" s="8">
        <f>IFERROR(__xludf.DUMMYFUNCTION("""COMPUTED_VALUE"""),44599.0)</f>
        <v>44599</v>
      </c>
      <c r="N255" s="6" t="str">
        <f>IFERROR(__xludf.DUMMYFUNCTION("""COMPUTED_VALUE"""),"NL583058310B01")</f>
        <v>NL583058310B01</v>
      </c>
      <c r="O255" s="6">
        <f>IFERROR(__xludf.DUMMYFUNCTION("""COMPUTED_VALUE"""),8.5433284E7)</f>
        <v>85433284</v>
      </c>
      <c r="P255" s="6" t="str">
        <f>IFERROR(__xludf.DUMMYFUNCTION("""COMPUTED_VALUE"""),"NL67INGB0675332796")</f>
        <v>NL67INGB0675332796</v>
      </c>
      <c r="Q255" s="9">
        <f>IFERROR(__xludf.DUMMYFUNCTION("""COMPUTED_VALUE"""),44599.0)</f>
        <v>44599</v>
      </c>
      <c r="R255" s="6"/>
      <c r="S255" s="6" t="str">
        <f>IFERROR(__xludf.DUMMYFUNCTION("""COMPUTED_VALUE"""),"NL004092769B29")</f>
        <v>NL004092769B29</v>
      </c>
      <c r="T255" s="6">
        <f>IFERROR(__xludf.DUMMYFUNCTION("""COMPUTED_VALUE"""),5.8305831E8)</f>
        <v>583058310</v>
      </c>
      <c r="U255" s="7" t="str">
        <f>IFERROR(__xludf.DUMMYFUNCTION("""COMPUTED_VALUE"""),"Eenmanszaak")</f>
        <v>Eenmanszaak</v>
      </c>
      <c r="V255" s="7" t="str">
        <f>IFERROR(__xludf.DUMMYFUNCTION("""COMPUTED_VALUE"""),"000051479338")</f>
        <v>000051479338</v>
      </c>
      <c r="W255" s="6" t="str">
        <f>IFERROR(__xludf.DUMMYFUNCTION("""COMPUTED_VALUE"""),"ink.krasi74bouw.2288aa@zarabota.nl")</f>
        <v>ink.krasi74bouw.2288aa@zarabota.nl</v>
      </c>
      <c r="X255" s="6" t="str">
        <f>IFERROR(__xludf.DUMMYFUNCTION("""COMPUTED_VALUE"""),"ver.krasi74bouw.2288aa@zarabota.nl")</f>
        <v>ver.krasi74bouw.2288aa@zarabota.nl</v>
      </c>
      <c r="Y255" s="6" t="str">
        <f>IFERROR(__xludf.DUMMYFUNCTION("""COMPUTED_VALUE"""),"Hr.")</f>
        <v>Hr.</v>
      </c>
      <c r="Z255" s="6" t="str">
        <f>IFERROR(__xludf.DUMMYFUNCTION("""COMPUTED_VALUE"""),"Zhan Krasimirov")</f>
        <v>Zhan Krasimirov</v>
      </c>
      <c r="AA255" s="6" t="str">
        <f>IFERROR(__xludf.DUMMYFUNCTION("""COMPUTED_VALUE"""),"Ivanov")</f>
        <v>Ivanov</v>
      </c>
      <c r="AB255" s="6" t="str">
        <f>IFERROR(__xludf.DUMMYFUNCTION("""COMPUTED_VALUE"""),"Z.K.")</f>
        <v>Z.K.</v>
      </c>
      <c r="AC255" s="6">
        <f>IFERROR(__xludf.DUMMYFUNCTION("""COMPUTED_VALUE"""),5.8305831E8)</f>
        <v>583058310</v>
      </c>
      <c r="AD255" s="9">
        <f>IFERROR(__xludf.DUMMYFUNCTION("""COMPUTED_VALUE"""),35345.0)</f>
        <v>35345</v>
      </c>
      <c r="AE255" s="6" t="str">
        <f>IFERROR(__xludf.DUMMYFUNCTION("""COMPUTED_VALUE"""),"bg")</f>
        <v>bg</v>
      </c>
      <c r="AF255" s="6" t="str">
        <f>IFERROR(__xludf.DUMMYFUNCTION("""COMPUTED_VALUE"""),"Haskovo")</f>
        <v>Haskovo</v>
      </c>
      <c r="AG255" s="6" t="str">
        <f>IFERROR(__xludf.DUMMYFUNCTION("""COMPUTED_VALUE"""),"Hr. Z.K. Ivanov")</f>
        <v>Hr. Z.K. Ivanov</v>
      </c>
      <c r="AH255" s="6" t="str">
        <f>IFERROR(__xludf.DUMMYFUNCTION("""COMPUTED_VALUE"""),"NL12INGB0799251577")</f>
        <v>NL12INGB0799251577</v>
      </c>
      <c r="AI255" s="6"/>
      <c r="AJ255" s="6" t="str">
        <f>IFERROR(__xludf.DUMMYFUNCTION("""COMPUTED_VALUE"""),"ID Kaart")</f>
        <v>ID Kaart</v>
      </c>
      <c r="AK255" s="6">
        <f>IFERROR(__xludf.DUMMYFUNCTION("""COMPUTED_VALUE"""),6.48614602E8)</f>
        <v>648614602</v>
      </c>
      <c r="AL255" s="9">
        <f>IFERROR(__xludf.DUMMYFUNCTION("""COMPUTED_VALUE"""),47429.0)</f>
        <v>47429</v>
      </c>
      <c r="AM255" s="6" t="str">
        <f>IFERROR(__xludf.DUMMYFUNCTION("""COMPUTED_VALUE"""),"Bulgarije")</f>
        <v>Bulgarije</v>
      </c>
      <c r="AN255" s="6" t="str">
        <f>IFERROR(__xludf.DUMMYFUNCTION("""COMPUTED_VALUE"""),"Zhan Krasimirov Ivanov")</f>
        <v>Zhan Krasimirov Ivanov</v>
      </c>
      <c r="AO255" s="6">
        <f>IFERROR(__xludf.DUMMYFUNCTION("""COMPUTED_VALUE"""),2289.0)</f>
        <v>2289</v>
      </c>
    </row>
    <row r="256">
      <c r="A256" s="6" t="str">
        <f>IFERROR(__xludf.DUMMYFUNCTION("""COMPUTED_VALUE"""),"Krastev Onderhoudsbedrijf")</f>
        <v>Krastev Onderhoudsbedrijf</v>
      </c>
      <c r="B256" s="6" t="str">
        <f>IFERROR(__xludf.DUMMYFUNCTION("""COMPUTED_VALUE"""),"Krastev Onderhoudsbedrijf")</f>
        <v>Krastev Onderhoudsbedrijf</v>
      </c>
      <c r="C256" s="6">
        <f>IFERROR(__xludf.DUMMYFUNCTION("""COMPUTED_VALUE"""),877.0)</f>
        <v>877</v>
      </c>
      <c r="D256" s="7" t="str">
        <f>IFERROR(__xludf.DUMMYFUNCTION("""COMPUTED_VALUE"""),"Borislav Sashev Krastev")</f>
        <v>Borislav Sashev Krastev</v>
      </c>
      <c r="E256" s="7" t="str">
        <f>IFERROR(__xludf.DUMMYFUNCTION("""COMPUTED_VALUE"""),"SBI-code: 4120 - Algemene burgerlijke en utiliteitsbouw")</f>
        <v>SBI-code: 4120 - Algemene burgerlijke en utiliteitsbouw</v>
      </c>
      <c r="F256" s="7" t="str">
        <f>IFERROR(__xludf.DUMMYFUNCTION("""COMPUTED_VALUE"""),"0687056552")</f>
        <v>0687056552</v>
      </c>
      <c r="G256" s="6" t="str">
        <f>IFERROR(__xludf.DUMMYFUNCTION("""COMPUTED_VALUE"""),"bbkrastev@abv.bg")</f>
        <v>bbkrastev@abv.bg</v>
      </c>
      <c r="H256" s="6" t="str">
        <f>IFERROR(__xludf.DUMMYFUNCTION("""COMPUTED_VALUE"""),"Mijnsherenlaan 146A")</f>
        <v>Mijnsherenlaan 146A</v>
      </c>
      <c r="I256" s="6" t="str">
        <f>IFERROR(__xludf.DUMMYFUNCTION("""COMPUTED_VALUE"""),"3081CL")</f>
        <v>3081CL</v>
      </c>
      <c r="J256" s="6" t="str">
        <f>IFERROR(__xludf.DUMMYFUNCTION("""COMPUTED_VALUE"""),"Rotterdam")</f>
        <v>Rotterdam</v>
      </c>
      <c r="K256" s="6" t="str">
        <f>IFERROR(__xludf.DUMMYFUNCTION("""COMPUTED_VALUE"""),"Nederland")</f>
        <v>Nederland</v>
      </c>
      <c r="L256" s="6" t="str">
        <f>IFERROR(__xludf.DUMMYFUNCTION("""COMPUTED_VALUE"""),"Крастев")</f>
        <v>Крастев</v>
      </c>
      <c r="M256" s="8">
        <f>IFERROR(__xludf.DUMMYFUNCTION("""COMPUTED_VALUE"""),43754.0)</f>
        <v>43754</v>
      </c>
      <c r="N256" s="6" t="str">
        <f>IFERROR(__xludf.DUMMYFUNCTION("""COMPUTED_VALUE"""),"NL780198402B02")</f>
        <v>NL780198402B02</v>
      </c>
      <c r="O256" s="6">
        <f>IFERROR(__xludf.DUMMYFUNCTION("""COMPUTED_VALUE"""),7.6233936E7)</f>
        <v>76233936</v>
      </c>
      <c r="P256" s="6" t="str">
        <f>IFERROR(__xludf.DUMMYFUNCTION("""COMPUTED_VALUE"""),"NL29INGB0008651607")</f>
        <v>NL29INGB0008651607</v>
      </c>
      <c r="Q256" s="9">
        <f>IFERROR(__xludf.DUMMYFUNCTION("""COMPUTED_VALUE"""),43754.0)</f>
        <v>43754</v>
      </c>
      <c r="R256" s="6"/>
      <c r="S256" s="6" t="str">
        <f>IFERROR(__xludf.DUMMYFUNCTION("""COMPUTED_VALUE"""),"NL003060232B68")</f>
        <v>NL003060232B68</v>
      </c>
      <c r="T256" s="6">
        <f>IFERROR(__xludf.DUMMYFUNCTION("""COMPUTED_VALUE"""),7.80198402E8)</f>
        <v>780198402</v>
      </c>
      <c r="U256" s="7" t="str">
        <f>IFERROR(__xludf.DUMMYFUNCTION("""COMPUTED_VALUE"""),"Eenmanszaak")</f>
        <v>Eenmanszaak</v>
      </c>
      <c r="V256" s="7" t="str">
        <f>IFERROR(__xludf.DUMMYFUNCTION("""COMPUTED_VALUE"""),"000044056028")</f>
        <v>000044056028</v>
      </c>
      <c r="W256" s="6" t="str">
        <f>IFERROR(__xludf.DUMMYFUNCTION("""COMPUTED_VALUE"""),"ink.krastevonderhoudsbedrijf.2288aa@zarabota.nl")</f>
        <v>ink.krastevonderhoudsbedrijf.2288aa@zarabota.nl</v>
      </c>
      <c r="X256" s="6" t="str">
        <f>IFERROR(__xludf.DUMMYFUNCTION("""COMPUTED_VALUE"""),"ver.krastevonderhoudsbedrijf.2288aa@zarabota.nl")</f>
        <v>ver.krastevonderhoudsbedrijf.2288aa@zarabota.nl</v>
      </c>
      <c r="Y256" s="6" t="str">
        <f>IFERROR(__xludf.DUMMYFUNCTION("""COMPUTED_VALUE"""),"Hr.")</f>
        <v>Hr.</v>
      </c>
      <c r="Z256" s="6" t="str">
        <f>IFERROR(__xludf.DUMMYFUNCTION("""COMPUTED_VALUE"""),"Borislav Sashev")</f>
        <v>Borislav Sashev</v>
      </c>
      <c r="AA256" s="6" t="str">
        <f>IFERROR(__xludf.DUMMYFUNCTION("""COMPUTED_VALUE"""),"Krastev")</f>
        <v>Krastev</v>
      </c>
      <c r="AB256" s="6" t="str">
        <f>IFERROR(__xludf.DUMMYFUNCTION("""COMPUTED_VALUE"""),"B.S.")</f>
        <v>B.S.</v>
      </c>
      <c r="AC256" s="6">
        <f>IFERROR(__xludf.DUMMYFUNCTION("""COMPUTED_VALUE"""),7.80198402E8)</f>
        <v>780198402</v>
      </c>
      <c r="AD256" s="9">
        <f>IFERROR(__xludf.DUMMYFUNCTION("""COMPUTED_VALUE"""),26488.0)</f>
        <v>26488</v>
      </c>
      <c r="AE256" s="6" t="str">
        <f>IFERROR(__xludf.DUMMYFUNCTION("""COMPUTED_VALUE"""),"bg")</f>
        <v>bg</v>
      </c>
      <c r="AF256" s="6"/>
      <c r="AG256" s="6" t="str">
        <f>IFERROR(__xludf.DUMMYFUNCTION("""COMPUTED_VALUE"""),"Hr. B.S. Krastev")</f>
        <v>Hr. B.S. Krastev</v>
      </c>
      <c r="AH256" s="6"/>
      <c r="AI256" s="6"/>
      <c r="AJ256" s="6"/>
      <c r="AK256" s="6"/>
      <c r="AL256" s="6"/>
      <c r="AM256" s="6"/>
      <c r="AN256" s="6" t="str">
        <f>IFERROR(__xludf.DUMMYFUNCTION("""COMPUTED_VALUE"""),"Borislav Sashev Krastev")</f>
        <v>Borislav Sashev Krastev</v>
      </c>
      <c r="AO256" s="6"/>
    </row>
    <row r="257">
      <c r="A257" s="6" t="str">
        <f>IFERROR(__xludf.DUMMYFUNCTION("""COMPUTED_VALUE"""),"KrasyoStroy")</f>
        <v>KrasyoStroy</v>
      </c>
      <c r="B257" s="6" t="str">
        <f>IFERROR(__xludf.DUMMYFUNCTION("""COMPUTED_VALUE"""),"KrasyoStroy")</f>
        <v>KrasyoStroy</v>
      </c>
      <c r="C257" s="6">
        <f>IFERROR(__xludf.DUMMYFUNCTION("""COMPUTED_VALUE"""),1776.0)</f>
        <v>1776</v>
      </c>
      <c r="D257" s="7" t="str">
        <f>IFERROR(__xludf.DUMMYFUNCTION("""COMPUTED_VALUE"""),"Krasimir Yordanov Velikov")</f>
        <v>Krasimir Yordanov Velikov</v>
      </c>
      <c r="E257" s="7" t="str">
        <f>IFERROR(__xludf.DUMMYFUNCTION("""COMPUTED_VALUE"""),"SBI-code: 4120 - Algemene burgerlijke en utiliteitsbouw")</f>
        <v>SBI-code: 4120 - Algemene burgerlijke en utiliteitsbouw</v>
      </c>
      <c r="F257" s="7" t="str">
        <f>IFERROR(__xludf.DUMMYFUNCTION("""COMPUTED_VALUE"""),"+359 879609637")</f>
        <v>+359 879609637</v>
      </c>
      <c r="G257" s="6" t="str">
        <f>IFERROR(__xludf.DUMMYFUNCTION("""COMPUTED_VALUE"""),"velikovkrasimir099@gmail.com")</f>
        <v>velikovkrasimir099@gmail.com</v>
      </c>
      <c r="H257" s="6" t="str">
        <f>IFERROR(__xludf.DUMMYFUNCTION("""COMPUTED_VALUE"""),"Generaal Barberstraat 39")</f>
        <v>Generaal Barberstraat 39</v>
      </c>
      <c r="I257" s="6" t="str">
        <f>IFERROR(__xludf.DUMMYFUNCTION("""COMPUTED_VALUE"""),"5025XA")</f>
        <v>5025XA</v>
      </c>
      <c r="J257" s="6" t="str">
        <f>IFERROR(__xludf.DUMMYFUNCTION("""COMPUTED_VALUE"""),"Tilburg")</f>
        <v>Tilburg</v>
      </c>
      <c r="K257" s="6" t="str">
        <f>IFERROR(__xludf.DUMMYFUNCTION("""COMPUTED_VALUE"""),"Nederland")</f>
        <v>Nederland</v>
      </c>
      <c r="L257" s="6" t="str">
        <f>IFERROR(__xludf.DUMMYFUNCTION("""COMPUTED_VALUE"""),"Великов")</f>
        <v>Великов</v>
      </c>
      <c r="M257" s="8">
        <f>IFERROR(__xludf.DUMMYFUNCTION("""COMPUTED_VALUE"""),46062.0)</f>
        <v>46062</v>
      </c>
      <c r="N257" s="6" t="str">
        <f>IFERROR(__xludf.DUMMYFUNCTION("""COMPUTED_VALUE"""),"NL529481005B01")</f>
        <v>NL529481005B01</v>
      </c>
      <c r="O257" s="6">
        <f>IFERROR(__xludf.DUMMYFUNCTION("""COMPUTED_VALUE"""),9.9729393E7)</f>
        <v>99729393</v>
      </c>
      <c r="P257" s="6" t="str">
        <f>IFERROR(__xludf.DUMMYFUNCTION("""COMPUTED_VALUE"""),"NL97INGB0116057513")</f>
        <v>NL97INGB0116057513</v>
      </c>
      <c r="Q257" s="9">
        <f>IFERROR(__xludf.DUMMYFUNCTION("""COMPUTED_VALUE"""),46062.0)</f>
        <v>46062</v>
      </c>
      <c r="R257" s="6"/>
      <c r="S257" s="6" t="str">
        <f>IFERROR(__xludf.DUMMYFUNCTION("""COMPUTED_VALUE"""),"NL005406214B26")</f>
        <v>NL005406214B26</v>
      </c>
      <c r="T257" s="6">
        <f>IFERROR(__xludf.DUMMYFUNCTION("""COMPUTED_VALUE"""),5.29481005E8)</f>
        <v>529481005</v>
      </c>
      <c r="U257" s="7" t="str">
        <f>IFERROR(__xludf.DUMMYFUNCTION("""COMPUTED_VALUE"""),"Eenmanszaak")</f>
        <v>Eenmanszaak</v>
      </c>
      <c r="V257" s="7" t="str">
        <f>IFERROR(__xludf.DUMMYFUNCTION("""COMPUTED_VALUE"""),"000064781534")</f>
        <v>000064781534</v>
      </c>
      <c r="W257" s="6" t="str">
        <f>IFERROR(__xludf.DUMMYFUNCTION("""COMPUTED_VALUE"""),"ink.krasyostroy.2288aa@zarabota.nl")</f>
        <v>ink.krasyostroy.2288aa@zarabota.nl</v>
      </c>
      <c r="X257" s="6" t="str">
        <f>IFERROR(__xludf.DUMMYFUNCTION("""COMPUTED_VALUE"""),"ver.krasyostroy.2288aa@zarabota.nl")</f>
        <v>ver.krasyostroy.2288aa@zarabota.nl</v>
      </c>
      <c r="Y257" s="6" t="str">
        <f>IFERROR(__xludf.DUMMYFUNCTION("""COMPUTED_VALUE"""),"Hr.")</f>
        <v>Hr.</v>
      </c>
      <c r="Z257" s="6" t="str">
        <f>IFERROR(__xludf.DUMMYFUNCTION("""COMPUTED_VALUE"""),"Krasimir Yordanov")</f>
        <v>Krasimir Yordanov</v>
      </c>
      <c r="AA257" s="6" t="str">
        <f>IFERROR(__xludf.DUMMYFUNCTION("""COMPUTED_VALUE"""),"Velikov")</f>
        <v>Velikov</v>
      </c>
      <c r="AB257" s="6" t="str">
        <f>IFERROR(__xludf.DUMMYFUNCTION("""COMPUTED_VALUE"""),"K.Y.")</f>
        <v>K.Y.</v>
      </c>
      <c r="AC257" s="6">
        <f>IFERROR(__xludf.DUMMYFUNCTION("""COMPUTED_VALUE"""),5.29481005E8)</f>
        <v>529481005</v>
      </c>
      <c r="AD257" s="9">
        <f>IFERROR(__xludf.DUMMYFUNCTION("""COMPUTED_VALUE"""),33699.0)</f>
        <v>33699</v>
      </c>
      <c r="AE257" s="6" t="str">
        <f>IFERROR(__xludf.DUMMYFUNCTION("""COMPUTED_VALUE"""),"bg")</f>
        <v>bg</v>
      </c>
      <c r="AF257" s="6" t="str">
        <f>IFERROR(__xludf.DUMMYFUNCTION("""COMPUTED_VALUE"""),"Ruse")</f>
        <v>Ruse</v>
      </c>
      <c r="AG257" s="6" t="str">
        <f>IFERROR(__xludf.DUMMYFUNCTION("""COMPUTED_VALUE"""),"Hr. K.Y. Velikov")</f>
        <v>Hr. K.Y. Velikov</v>
      </c>
      <c r="AH257" s="6"/>
      <c r="AI257" s="6"/>
      <c r="AJ257" s="6" t="str">
        <f>IFERROR(__xludf.DUMMYFUNCTION("""COMPUTED_VALUE"""),"ID Kaart")</f>
        <v>ID Kaart</v>
      </c>
      <c r="AK257" s="6">
        <f>IFERROR(__xludf.DUMMYFUNCTION("""COMPUTED_VALUE"""),6.52954209E8)</f>
        <v>652954209</v>
      </c>
      <c r="AL257" s="9">
        <f>IFERROR(__xludf.DUMMYFUNCTION("""COMPUTED_VALUE"""),49023.0)</f>
        <v>49023</v>
      </c>
      <c r="AM257" s="6" t="str">
        <f>IFERROR(__xludf.DUMMYFUNCTION("""COMPUTED_VALUE"""),"Bulgarije")</f>
        <v>Bulgarije</v>
      </c>
      <c r="AN257" s="6" t="str">
        <f>IFERROR(__xludf.DUMMYFUNCTION("""COMPUTED_VALUE"""),"Krasimir Yordanov Velikov")</f>
        <v>Krasimir Yordanov Velikov</v>
      </c>
      <c r="AO257" s="6">
        <f>IFERROR(__xludf.DUMMYFUNCTION("""COMPUTED_VALUE"""),1776.0)</f>
        <v>1776</v>
      </c>
    </row>
    <row r="258">
      <c r="A258" s="6" t="str">
        <f>IFERROR(__xludf.DUMMYFUNCTION("""COMPUTED_VALUE"""),"Kravchyk")</f>
        <v>Kravchyk</v>
      </c>
      <c r="B258" s="6" t="str">
        <f>IFERROR(__xludf.DUMMYFUNCTION("""COMPUTED_VALUE"""),"Kravchyk")</f>
        <v>Kravchyk</v>
      </c>
      <c r="C258" s="6">
        <f>IFERROR(__xludf.DUMMYFUNCTION("""COMPUTED_VALUE"""),1734.0)</f>
        <v>1734</v>
      </c>
      <c r="D258" s="7" t="str">
        <f>IFERROR(__xludf.DUMMYFUNCTION("""COMPUTED_VALUE"""),"Volodymyr Kravchyk")</f>
        <v>Volodymyr Kravchyk</v>
      </c>
      <c r="E258" s="7" t="str">
        <f>IFERROR(__xludf.DUMMYFUNCTION("""COMPUTED_VALUE"""),"SBI-code: 4120 - Algemene burgerlijke en utiliteitsbouw")</f>
        <v>SBI-code: 4120 - Algemene burgerlijke en utiliteitsbouw</v>
      </c>
      <c r="F258" s="7" t="str">
        <f>IFERROR(__xludf.DUMMYFUNCTION("""COMPUTED_VALUE"""),"0683131421")</f>
        <v>0683131421</v>
      </c>
      <c r="G258" s="6" t="str">
        <f>IFERROR(__xludf.DUMMYFUNCTION("""COMPUTED_VALUE"""),"vovakrav67@gmail.com")</f>
        <v>vovakrav67@gmail.com</v>
      </c>
      <c r="H258" s="6" t="str">
        <f>IFERROR(__xludf.DUMMYFUNCTION("""COMPUTED_VALUE"""),"Emmastraat 2")</f>
        <v>Emmastraat 2</v>
      </c>
      <c r="I258" s="6" t="str">
        <f>IFERROR(__xludf.DUMMYFUNCTION("""COMPUTED_VALUE"""),"2671ET")</f>
        <v>2671ET</v>
      </c>
      <c r="J258" s="6" t="str">
        <f>IFERROR(__xludf.DUMMYFUNCTION("""COMPUTED_VALUE"""),"Naaldwijk")</f>
        <v>Naaldwijk</v>
      </c>
      <c r="K258" s="6" t="str">
        <f>IFERROR(__xludf.DUMMYFUNCTION("""COMPUTED_VALUE"""),"Nederland")</f>
        <v>Nederland</v>
      </c>
      <c r="L258" s="6" t="str">
        <f>IFERROR(__xludf.DUMMYFUNCTION("""COMPUTED_VALUE"""),"Кравчик")</f>
        <v>Кравчик</v>
      </c>
      <c r="M258" s="8">
        <f>IFERROR(__xludf.DUMMYFUNCTION("""COMPUTED_VALUE"""),45874.0)</f>
        <v>45874</v>
      </c>
      <c r="N258" s="6" t="str">
        <f>IFERROR(__xludf.DUMMYFUNCTION("""COMPUTED_VALUE"""),"NL286210940B01")</f>
        <v>NL286210940B01</v>
      </c>
      <c r="O258" s="6">
        <f>IFERROR(__xludf.DUMMYFUNCTION("""COMPUTED_VALUE"""),9.7973742E7)</f>
        <v>97973742</v>
      </c>
      <c r="P258" s="6" t="str">
        <f>IFERROR(__xludf.DUMMYFUNCTION("""COMPUTED_VALUE"""),"NL33INGB0113640455")</f>
        <v>NL33INGB0113640455</v>
      </c>
      <c r="Q258" s="9">
        <f>IFERROR(__xludf.DUMMYFUNCTION("""COMPUTED_VALUE"""),45874.0)</f>
        <v>45874</v>
      </c>
      <c r="R258" s="6"/>
      <c r="S258" s="6" t="str">
        <f>IFERROR(__xludf.DUMMYFUNCTION("""COMPUTED_VALUE"""),"NL005300422B02")</f>
        <v>NL005300422B02</v>
      </c>
      <c r="T258" s="6">
        <f>IFERROR(__xludf.DUMMYFUNCTION("""COMPUTED_VALUE"""),2.8621094E8)</f>
        <v>286210940</v>
      </c>
      <c r="U258" s="7" t="str">
        <f>IFERROR(__xludf.DUMMYFUNCTION("""COMPUTED_VALUE"""),"Eenmanszaak")</f>
        <v>Eenmanszaak</v>
      </c>
      <c r="V258" s="7" t="str">
        <f>IFERROR(__xludf.DUMMYFUNCTION("""COMPUTED_VALUE"""),"000063164930")</f>
        <v>000063164930</v>
      </c>
      <c r="W258" s="6" t="str">
        <f>IFERROR(__xludf.DUMMYFUNCTION("""COMPUTED_VALUE"""),"ink.kravchyk.2288aa@zarabota.nl")</f>
        <v>ink.kravchyk.2288aa@zarabota.nl</v>
      </c>
      <c r="X258" s="6" t="str">
        <f>IFERROR(__xludf.DUMMYFUNCTION("""COMPUTED_VALUE"""),"ver.kravchyk.2288aa@zarabota.nl")</f>
        <v>ver.kravchyk.2288aa@zarabota.nl</v>
      </c>
      <c r="Y258" s="6" t="str">
        <f>IFERROR(__xludf.DUMMYFUNCTION("""COMPUTED_VALUE"""),"Hr.")</f>
        <v>Hr.</v>
      </c>
      <c r="Z258" s="6" t="str">
        <f>IFERROR(__xludf.DUMMYFUNCTION("""COMPUTED_VALUE"""),"Volodymyr")</f>
        <v>Volodymyr</v>
      </c>
      <c r="AA258" s="6" t="str">
        <f>IFERROR(__xludf.DUMMYFUNCTION("""COMPUTED_VALUE"""),"Kravchyk")</f>
        <v>Kravchyk</v>
      </c>
      <c r="AB258" s="6" t="str">
        <f>IFERROR(__xludf.DUMMYFUNCTION("""COMPUTED_VALUE"""),"V.")</f>
        <v>V.</v>
      </c>
      <c r="AC258" s="6">
        <f>IFERROR(__xludf.DUMMYFUNCTION("""COMPUTED_VALUE"""),2.8621094E8)</f>
        <v>286210940</v>
      </c>
      <c r="AD258" s="9">
        <f>IFERROR(__xludf.DUMMYFUNCTION("""COMPUTED_VALUE"""),32454.0)</f>
        <v>32454</v>
      </c>
      <c r="AE258" s="6" t="str">
        <f>IFERROR(__xludf.DUMMYFUNCTION("""COMPUTED_VALUE"""),"bg")</f>
        <v>bg</v>
      </c>
      <c r="AF258" s="6" t="str">
        <f>IFERROR(__xludf.DUMMYFUNCTION("""COMPUTED_VALUE"""),"Volinskaja Oblast")</f>
        <v>Volinskaja Oblast</v>
      </c>
      <c r="AG258" s="6" t="str">
        <f>IFERROR(__xludf.DUMMYFUNCTION("""COMPUTED_VALUE"""),"Hr. V. Kravchyk")</f>
        <v>Hr. V. Kravchyk</v>
      </c>
      <c r="AH258" s="6"/>
      <c r="AI258" s="9">
        <f>IFERROR(__xludf.DUMMYFUNCTION("""COMPUTED_VALUE"""),44471.0)</f>
        <v>44471</v>
      </c>
      <c r="AJ258" s="6" t="str">
        <f>IFERROR(__xludf.DUMMYFUNCTION("""COMPUTED_VALUE"""),"Paspoort")</f>
        <v>Paspoort</v>
      </c>
      <c r="AK258" s="6" t="str">
        <f>IFERROR(__xludf.DUMMYFUNCTION("""COMPUTED_VALUE"""),"GA962397")</f>
        <v>GA962397</v>
      </c>
      <c r="AL258" s="9">
        <f>IFERROR(__xludf.DUMMYFUNCTION("""COMPUTED_VALUE"""),48076.0)</f>
        <v>48076</v>
      </c>
      <c r="AM258" s="6" t="str">
        <f>IFERROR(__xludf.DUMMYFUNCTION("""COMPUTED_VALUE"""),"Oekraïne")</f>
        <v>Oekraïne</v>
      </c>
      <c r="AN258" s="6" t="str">
        <f>IFERROR(__xludf.DUMMYFUNCTION("""COMPUTED_VALUE"""),"Volodymyr Kravchyk")</f>
        <v>Volodymyr Kravchyk</v>
      </c>
      <c r="AO258" s="6">
        <f>IFERROR(__xludf.DUMMYFUNCTION("""COMPUTED_VALUE"""),1734.0)</f>
        <v>1734</v>
      </c>
    </row>
    <row r="259">
      <c r="A259" s="6" t="str">
        <f>IFERROR(__xludf.DUMMYFUNCTION("""COMPUTED_VALUE"""),"Kremaborko")</f>
        <v>Kremaborko</v>
      </c>
      <c r="B259" s="6" t="str">
        <f>IFERROR(__xludf.DUMMYFUNCTION("""COMPUTED_VALUE"""),"Kremaborko")</f>
        <v>Kremaborko</v>
      </c>
      <c r="C259" s="6">
        <f>IFERROR(__xludf.DUMMYFUNCTION("""COMPUTED_VALUE"""),1478.0)</f>
        <v>1478</v>
      </c>
      <c r="D259" s="7" t="str">
        <f>IFERROR(__xludf.DUMMYFUNCTION("""COMPUTED_VALUE"""),"Pavlin Gochev Zlatanov")</f>
        <v>Pavlin Gochev Zlatanov</v>
      </c>
      <c r="E259" s="7" t="str">
        <f>IFERROR(__xludf.DUMMYFUNCTION("""COMPUTED_VALUE"""),"SBI-code: 4120 - Algemene burgerlijke en utiliteitsbouw")</f>
        <v>SBI-code: 4120 - Algemene burgerlijke en utiliteitsbouw</v>
      </c>
      <c r="F259" s="7" t="str">
        <f>IFERROR(__xludf.DUMMYFUNCTION("""COMPUTED_VALUE"""),"0687649327")</f>
        <v>0687649327</v>
      </c>
      <c r="G259" s="6" t="str">
        <f>IFERROR(__xludf.DUMMYFUNCTION("""COMPUTED_VALUE"""),"pavlinzlatanov3@gmail.com")</f>
        <v>pavlinzlatanov3@gmail.com</v>
      </c>
      <c r="H259" s="6" t="str">
        <f>IFERROR(__xludf.DUMMYFUNCTION("""COMPUTED_VALUE"""),"Oudemansstraat 179")</f>
        <v>Oudemansstraat 179</v>
      </c>
      <c r="I259" s="6" t="str">
        <f>IFERROR(__xludf.DUMMYFUNCTION("""COMPUTED_VALUE"""),"2522SH")</f>
        <v>2522SH</v>
      </c>
      <c r="J259" s="6" t="str">
        <f>IFERROR(__xludf.DUMMYFUNCTION("""COMPUTED_VALUE"""),"s-Gravenhage")</f>
        <v>s-Gravenhage</v>
      </c>
      <c r="K259" s="6" t="str">
        <f>IFERROR(__xludf.DUMMYFUNCTION("""COMPUTED_VALUE"""),"Nederland")</f>
        <v>Nederland</v>
      </c>
      <c r="L259" s="6" t="str">
        <f>IFERROR(__xludf.DUMMYFUNCTION("""COMPUTED_VALUE"""),"Златанов")</f>
        <v>Златанов</v>
      </c>
      <c r="M259" s="8">
        <f>IFERROR(__xludf.DUMMYFUNCTION("""COMPUTED_VALUE"""),44958.0)</f>
        <v>44958</v>
      </c>
      <c r="N259" s="6" t="str">
        <f>IFERROR(__xludf.DUMMYFUNCTION("""COMPUTED_VALUE"""),"NL672970594B01")</f>
        <v>NL672970594B01</v>
      </c>
      <c r="O259" s="6">
        <f>IFERROR(__xludf.DUMMYFUNCTION("""COMPUTED_VALUE"""),8.9160347E7)</f>
        <v>89160347</v>
      </c>
      <c r="P259" s="6" t="str">
        <f>IFERROR(__xludf.DUMMYFUNCTION("""COMPUTED_VALUE"""),"NL05INGB0101289367")</f>
        <v>NL05INGB0101289367</v>
      </c>
      <c r="Q259" s="9">
        <f>IFERROR(__xludf.DUMMYFUNCTION("""COMPUTED_VALUE"""),44958.0)</f>
        <v>44958</v>
      </c>
      <c r="R259" s="6"/>
      <c r="S259" s="6" t="str">
        <f>IFERROR(__xludf.DUMMYFUNCTION("""COMPUTED_VALUE"""),"NL004699465B89")</f>
        <v>NL004699465B89</v>
      </c>
      <c r="T259" s="6">
        <f>IFERROR(__xludf.DUMMYFUNCTION("""COMPUTED_VALUE"""),6.72970594E8)</f>
        <v>672970594</v>
      </c>
      <c r="U259" s="7" t="str">
        <f>IFERROR(__xludf.DUMMYFUNCTION("""COMPUTED_VALUE"""),"Eenmanszaak")</f>
        <v>Eenmanszaak</v>
      </c>
      <c r="V259" s="7" t="str">
        <f>IFERROR(__xludf.DUMMYFUNCTION("""COMPUTED_VALUE"""),"000054968135")</f>
        <v>000054968135</v>
      </c>
      <c r="W259" s="6" t="str">
        <f>IFERROR(__xludf.DUMMYFUNCTION("""COMPUTED_VALUE"""),"ink.kremaborko.2288aa@zarabota.nl")</f>
        <v>ink.kremaborko.2288aa@zarabota.nl</v>
      </c>
      <c r="X259" s="6" t="str">
        <f>IFERROR(__xludf.DUMMYFUNCTION("""COMPUTED_VALUE"""),"ver.kremaborko.2288aa@zarabota.nl")</f>
        <v>ver.kremaborko.2288aa@zarabota.nl</v>
      </c>
      <c r="Y259" s="6" t="str">
        <f>IFERROR(__xludf.DUMMYFUNCTION("""COMPUTED_VALUE"""),"Hr.")</f>
        <v>Hr.</v>
      </c>
      <c r="Z259" s="6" t="str">
        <f>IFERROR(__xludf.DUMMYFUNCTION("""COMPUTED_VALUE"""),"Pavlin Gochev")</f>
        <v>Pavlin Gochev</v>
      </c>
      <c r="AA259" s="6" t="str">
        <f>IFERROR(__xludf.DUMMYFUNCTION("""COMPUTED_VALUE"""),"Zlatanov")</f>
        <v>Zlatanov</v>
      </c>
      <c r="AB259" s="6" t="str">
        <f>IFERROR(__xludf.DUMMYFUNCTION("""COMPUTED_VALUE"""),"P.G.")</f>
        <v>P.G.</v>
      </c>
      <c r="AC259" s="6">
        <f>IFERROR(__xludf.DUMMYFUNCTION("""COMPUTED_VALUE"""),6.72970594E8)</f>
        <v>672970594</v>
      </c>
      <c r="AD259" s="9">
        <f>IFERROR(__xludf.DUMMYFUNCTION("""COMPUTED_VALUE"""),34134.0)</f>
        <v>34134</v>
      </c>
      <c r="AE259" s="6" t="str">
        <f>IFERROR(__xludf.DUMMYFUNCTION("""COMPUTED_VALUE"""),"bg")</f>
        <v>bg</v>
      </c>
      <c r="AF259" s="6" t="str">
        <f>IFERROR(__xludf.DUMMYFUNCTION("""COMPUTED_VALUE"""),"Chirpan")</f>
        <v>Chirpan</v>
      </c>
      <c r="AG259" s="6" t="str">
        <f>IFERROR(__xludf.DUMMYFUNCTION("""COMPUTED_VALUE"""),"Hr. P.G. Zlatanov")</f>
        <v>Hr. P.G. Zlatanov</v>
      </c>
      <c r="AH259" s="6" t="str">
        <f>IFERROR(__xludf.DUMMYFUNCTION("""COMPUTED_VALUE"""),"NL55INGB0650852346")</f>
        <v>NL55INGB0650852346</v>
      </c>
      <c r="AI259" s="9">
        <f>IFERROR(__xludf.DUMMYFUNCTION("""COMPUTED_VALUE"""),43550.0)</f>
        <v>43550</v>
      </c>
      <c r="AJ259" s="6" t="str">
        <f>IFERROR(__xludf.DUMMYFUNCTION("""COMPUTED_VALUE"""),"ID Kaart")</f>
        <v>ID Kaart</v>
      </c>
      <c r="AK259" s="6">
        <f>IFERROR(__xludf.DUMMYFUNCTION("""COMPUTED_VALUE"""),6.47764315E8)</f>
        <v>647764315</v>
      </c>
      <c r="AL259" s="9">
        <f>IFERROR(__xludf.DUMMYFUNCTION("""COMPUTED_VALUE"""),46973.0)</f>
        <v>46973</v>
      </c>
      <c r="AM259" s="6" t="str">
        <f>IFERROR(__xludf.DUMMYFUNCTION("""COMPUTED_VALUE"""),"Bulgarije")</f>
        <v>Bulgarije</v>
      </c>
      <c r="AN259" s="6" t="str">
        <f>IFERROR(__xludf.DUMMYFUNCTION("""COMPUTED_VALUE"""),"Pavlin Gochev Zlatanov")</f>
        <v>Pavlin Gochev Zlatanov</v>
      </c>
      <c r="AO259" s="6"/>
    </row>
    <row r="260">
      <c r="A260" s="6" t="str">
        <f>IFERROR(__xludf.DUMMYFUNCTION("""COMPUTED_VALUE"""),"Kriandr Services VOF")</f>
        <v>Kriandr Services VOF</v>
      </c>
      <c r="B260" s="6" t="str">
        <f>IFERROR(__xludf.DUMMYFUNCTION("""COMPUTED_VALUE"""),"Kriandr Services VOF")</f>
        <v>Kriandr Services VOF</v>
      </c>
      <c r="C260" s="6">
        <f>IFERROR(__xludf.DUMMYFUNCTION("""COMPUTED_VALUE"""),380.0)</f>
        <v>380</v>
      </c>
      <c r="D260" s="7" t="str">
        <f>IFERROR(__xludf.DUMMYFUNCTION("""COMPUTED_VALUE"""),"Andriy Mykhaylowych Galenda")</f>
        <v>Andriy Mykhaylowych Galenda</v>
      </c>
      <c r="E260" s="7" t="str">
        <f>IFERROR(__xludf.DUMMYFUNCTION("""COMPUTED_VALUE"""),"SBI-code: 43999 - Overige gespecialiseerde werkzaamheden in de bouw (rest)")</f>
        <v>SBI-code: 43999 - Overige gespecialiseerde werkzaamheden in de bouw (rest)</v>
      </c>
      <c r="F260" s="7" t="str">
        <f>IFERROR(__xludf.DUMMYFUNCTION("""COMPUTED_VALUE"""),"+31611583335")</f>
        <v>+31611583335</v>
      </c>
      <c r="G260" s="6" t="str">
        <f>IFERROR(__xludf.DUMMYFUNCTION("""COMPUTED_VALUE"""),"kriandr88@gmail.com")</f>
        <v>kriandr88@gmail.com</v>
      </c>
      <c r="H260" s="6" t="str">
        <f>IFERROR(__xludf.DUMMYFUNCTION("""COMPUTED_VALUE"""),"Werkzijde 27")</f>
        <v>Werkzijde 27</v>
      </c>
      <c r="I260" s="6" t="str">
        <f>IFERROR(__xludf.DUMMYFUNCTION("""COMPUTED_VALUE"""),"2543CA")</f>
        <v>2543CA</v>
      </c>
      <c r="J260" s="6" t="str">
        <f>IFERROR(__xludf.DUMMYFUNCTION("""COMPUTED_VALUE"""),"s-Gravenhage")</f>
        <v>s-Gravenhage</v>
      </c>
      <c r="K260" s="6" t="str">
        <f>IFERROR(__xludf.DUMMYFUNCTION("""COMPUTED_VALUE"""),"Nederland")</f>
        <v>Nederland</v>
      </c>
      <c r="L260" s="6" t="str">
        <f>IFERROR(__xludf.DUMMYFUNCTION("""COMPUTED_VALUE"""),"Галенда")</f>
        <v>Галенда</v>
      </c>
      <c r="M260" s="8">
        <f>IFERROR(__xludf.DUMMYFUNCTION("""COMPUTED_VALUE"""),45474.0)</f>
        <v>45474</v>
      </c>
      <c r="N260" s="6" t="str">
        <f>IFERROR(__xludf.DUMMYFUNCTION("""COMPUTED_VALUE"""),"NL866847947B01")</f>
        <v>NL866847947B01</v>
      </c>
      <c r="O260" s="6">
        <f>IFERROR(__xludf.DUMMYFUNCTION("""COMPUTED_VALUE"""),9.4649553E7)</f>
        <v>94649553</v>
      </c>
      <c r="P260" s="6" t="str">
        <f>IFERROR(__xludf.DUMMYFUNCTION("""COMPUTED_VALUE"""),"NL85INGB0004259409")</f>
        <v>NL85INGB0004259409</v>
      </c>
      <c r="Q260" s="9">
        <f>IFERROR(__xludf.DUMMYFUNCTION("""COMPUTED_VALUE"""),41004.0)</f>
        <v>41004</v>
      </c>
      <c r="R260" s="6"/>
      <c r="S260" s="6" t="str">
        <f>IFERROR(__xludf.DUMMYFUNCTION("""COMPUTED_VALUE"""),"NL866847947B01")</f>
        <v>NL866847947B01</v>
      </c>
      <c r="T260" s="6">
        <f>IFERROR(__xludf.DUMMYFUNCTION("""COMPUTED_VALUE"""),8.66847947E8)</f>
        <v>866847947</v>
      </c>
      <c r="U260" s="7" t="str">
        <f>IFERROR(__xludf.DUMMYFUNCTION("""COMPUTED_VALUE"""),"Eenmanszaak")</f>
        <v>Eenmanszaak</v>
      </c>
      <c r="V260" s="7" t="str">
        <f>IFERROR(__xludf.DUMMYFUNCTION("""COMPUTED_VALUE"""),"000024749176")</f>
        <v>000024749176</v>
      </c>
      <c r="W260" s="6" t="str">
        <f>IFERROR(__xludf.DUMMYFUNCTION("""COMPUTED_VALUE"""),"ink.kriandrserviceszzp.2288aa@zarabota.nl")</f>
        <v>ink.kriandrserviceszzp.2288aa@zarabota.nl</v>
      </c>
      <c r="X260" s="6" t="str">
        <f>IFERROR(__xludf.DUMMYFUNCTION("""COMPUTED_VALUE"""),"ver.kriandrserviceszzp.2288aa@zarabota.nl")</f>
        <v>ver.kriandrserviceszzp.2288aa@zarabota.nl</v>
      </c>
      <c r="Y260" s="6" t="str">
        <f>IFERROR(__xludf.DUMMYFUNCTION("""COMPUTED_VALUE"""),"Hr.")</f>
        <v>Hr.</v>
      </c>
      <c r="Z260" s="6" t="str">
        <f>IFERROR(__xludf.DUMMYFUNCTION("""COMPUTED_VALUE"""),"Andriy Mykhaylowych")</f>
        <v>Andriy Mykhaylowych</v>
      </c>
      <c r="AA260" s="6" t="str">
        <f>IFERROR(__xludf.DUMMYFUNCTION("""COMPUTED_VALUE"""),"Galenda")</f>
        <v>Galenda</v>
      </c>
      <c r="AB260" s="6" t="str">
        <f>IFERROR(__xludf.DUMMYFUNCTION("""COMPUTED_VALUE"""),"A.M.")</f>
        <v>A.M.</v>
      </c>
      <c r="AC260" s="6" t="str">
        <f>IFERROR(__xludf.DUMMYFUNCTION("""COMPUTED_VALUE"""),"NL866847947B01")</f>
        <v>NL866847947B01</v>
      </c>
      <c r="AD260" s="9">
        <f>IFERROR(__xludf.DUMMYFUNCTION("""COMPUTED_VALUE"""),25550.0)</f>
        <v>25550</v>
      </c>
      <c r="AE260" s="6" t="str">
        <f>IFERROR(__xludf.DUMMYFUNCTION("""COMPUTED_VALUE"""),"bg")</f>
        <v>bg</v>
      </c>
      <c r="AF260" s="6"/>
      <c r="AG260" s="6" t="str">
        <f>IFERROR(__xludf.DUMMYFUNCTION("""COMPUTED_VALUE"""),"Hr. A.M. Galenda")</f>
        <v>Hr. A.M. Galenda</v>
      </c>
      <c r="AH260" s="6"/>
      <c r="AI260" s="6"/>
      <c r="AJ260" s="6"/>
      <c r="AK260" s="6"/>
      <c r="AL260" s="6"/>
      <c r="AM260" s="6"/>
      <c r="AN260" s="6" t="str">
        <f>IFERROR(__xludf.DUMMYFUNCTION("""COMPUTED_VALUE"""),"Andriy Mykhaylowych Galenda")</f>
        <v>Andriy Mykhaylowych Galenda</v>
      </c>
      <c r="AO260" s="6">
        <f>IFERROR(__xludf.DUMMYFUNCTION("""COMPUTED_VALUE"""),380.0)</f>
        <v>380</v>
      </c>
    </row>
    <row r="261">
      <c r="A261" s="6" t="str">
        <f>IFERROR(__xludf.DUMMYFUNCTION("""COMPUTED_VALUE"""),"Krushkov98")</f>
        <v>Krushkov98</v>
      </c>
      <c r="B261" s="6" t="str">
        <f>IFERROR(__xludf.DUMMYFUNCTION("""COMPUTED_VALUE"""),"Krushkov98")</f>
        <v>Krushkov98</v>
      </c>
      <c r="C261" s="6">
        <f>IFERROR(__xludf.DUMMYFUNCTION("""COMPUTED_VALUE"""),1713.0)</f>
        <v>1713</v>
      </c>
      <c r="D261" s="7" t="str">
        <f>IFERROR(__xludf.DUMMYFUNCTION("""COMPUTED_VALUE"""),"Velizar Vaklinov Krushkov")</f>
        <v>Velizar Vaklinov Krushkov</v>
      </c>
      <c r="E261" s="7" t="str">
        <f>IFERROR(__xludf.DUMMYFUNCTION("""COMPUTED_VALUE"""),"SBI-code: 4120 - Algemene burgerlijke en utiliteitsbouw")</f>
        <v>SBI-code: 4120 - Algemene burgerlijke en utiliteitsbouw</v>
      </c>
      <c r="F261" s="7" t="str">
        <f>IFERROR(__xludf.DUMMYFUNCTION("""COMPUTED_VALUE"""),"0682795406")</f>
        <v>0682795406</v>
      </c>
      <c r="G261" s="6" t="str">
        <f>IFERROR(__xludf.DUMMYFUNCTION("""COMPUTED_VALUE"""),"velizarkrushkov@gmail.com")</f>
        <v>velizarkrushkov@gmail.com</v>
      </c>
      <c r="H261" s="6" t="str">
        <f>IFERROR(__xludf.DUMMYFUNCTION("""COMPUTED_VALUE"""),"Van Zeggelenlaan 346")</f>
        <v>Van Zeggelenlaan 346</v>
      </c>
      <c r="I261" s="6" t="str">
        <f>IFERROR(__xludf.DUMMYFUNCTION("""COMPUTED_VALUE"""),"2524BB")</f>
        <v>2524BB</v>
      </c>
      <c r="J261" s="6" t="str">
        <f>IFERROR(__xludf.DUMMYFUNCTION("""COMPUTED_VALUE"""),"s-Gravenhage")</f>
        <v>s-Gravenhage</v>
      </c>
      <c r="K261" s="6" t="str">
        <f>IFERROR(__xludf.DUMMYFUNCTION("""COMPUTED_VALUE"""),"Nederland")</f>
        <v>Nederland</v>
      </c>
      <c r="L261" s="6" t="str">
        <f>IFERROR(__xludf.DUMMYFUNCTION("""COMPUTED_VALUE"""),"Крушков")</f>
        <v>Крушков</v>
      </c>
      <c r="M261" s="8">
        <f>IFERROR(__xludf.DUMMYFUNCTION("""COMPUTED_VALUE"""),45803.0)</f>
        <v>45803</v>
      </c>
      <c r="N261" s="6" t="str">
        <f>IFERROR(__xludf.DUMMYFUNCTION("""COMPUTED_VALUE"""),"NL543314868B01")</f>
        <v>NL543314868B01</v>
      </c>
      <c r="O261" s="6">
        <f>IFERROR(__xludf.DUMMYFUNCTION("""COMPUTED_VALUE"""),9.7360163E7)</f>
        <v>97360163</v>
      </c>
      <c r="P261" s="6" t="str">
        <f>IFERROR(__xludf.DUMMYFUNCTION("""COMPUTED_VALUE"""),"NL28INGB0114546622")</f>
        <v>NL28INGB0114546622</v>
      </c>
      <c r="Q261" s="9">
        <f>IFERROR(__xludf.DUMMYFUNCTION("""COMPUTED_VALUE"""),45803.0)</f>
        <v>45803</v>
      </c>
      <c r="R261" s="6"/>
      <c r="S261" s="6" t="str">
        <f>IFERROR(__xludf.DUMMYFUNCTION("""COMPUTED_VALUE"""),"NL005266012B68")</f>
        <v>NL005266012B68</v>
      </c>
      <c r="T261" s="6">
        <f>IFERROR(__xludf.DUMMYFUNCTION("""COMPUTED_VALUE"""),5.43314868E8)</f>
        <v>543314868</v>
      </c>
      <c r="U261" s="7" t="str">
        <f>IFERROR(__xludf.DUMMYFUNCTION("""COMPUTED_VALUE"""),"Eenmanszaak")</f>
        <v>Eenmanszaak</v>
      </c>
      <c r="V261" s="7" t="str">
        <f>IFERROR(__xludf.DUMMYFUNCTION("""COMPUTED_VALUE"""),"000062607790")</f>
        <v>000062607790</v>
      </c>
      <c r="W261" s="6" t="str">
        <f>IFERROR(__xludf.DUMMYFUNCTION("""COMPUTED_VALUE"""),"ink.krushkov98.2288aa@zarabota.nl")</f>
        <v>ink.krushkov98.2288aa@zarabota.nl</v>
      </c>
      <c r="X261" s="6" t="str">
        <f>IFERROR(__xludf.DUMMYFUNCTION("""COMPUTED_VALUE"""),"ver.krushkov98.2288aa@zarabota.nl")</f>
        <v>ver.krushkov98.2288aa@zarabota.nl</v>
      </c>
      <c r="Y261" s="6" t="str">
        <f>IFERROR(__xludf.DUMMYFUNCTION("""COMPUTED_VALUE"""),"Hr.")</f>
        <v>Hr.</v>
      </c>
      <c r="Z261" s="6" t="str">
        <f>IFERROR(__xludf.DUMMYFUNCTION("""COMPUTED_VALUE"""),"Velizar Vaklinov")</f>
        <v>Velizar Vaklinov</v>
      </c>
      <c r="AA261" s="6" t="str">
        <f>IFERROR(__xludf.DUMMYFUNCTION("""COMPUTED_VALUE"""),"Krushkov")</f>
        <v>Krushkov</v>
      </c>
      <c r="AB261" s="6" t="str">
        <f>IFERROR(__xludf.DUMMYFUNCTION("""COMPUTED_VALUE"""),"V.V.")</f>
        <v>V.V.</v>
      </c>
      <c r="AC261" s="6">
        <f>IFERROR(__xludf.DUMMYFUNCTION("""COMPUTED_VALUE"""),5.43314868E8)</f>
        <v>543314868</v>
      </c>
      <c r="AD261" s="9">
        <f>IFERROR(__xludf.DUMMYFUNCTION("""COMPUTED_VALUE"""),35934.0)</f>
        <v>35934</v>
      </c>
      <c r="AE261" s="6" t="str">
        <f>IFERROR(__xludf.DUMMYFUNCTION("""COMPUTED_VALUE"""),"bg")</f>
        <v>bg</v>
      </c>
      <c r="AF261" s="6" t="str">
        <f>IFERROR(__xludf.DUMMYFUNCTION("""COMPUTED_VALUE"""),"Smolyan")</f>
        <v>Smolyan</v>
      </c>
      <c r="AG261" s="6" t="str">
        <f>IFERROR(__xludf.DUMMYFUNCTION("""COMPUTED_VALUE"""),"Hr. V.V. Krushkov")</f>
        <v>Hr. V.V. Krushkov</v>
      </c>
      <c r="AH261" s="6" t="str">
        <f>IFERROR(__xludf.DUMMYFUNCTION("""COMPUTED_VALUE"""),"NL36INGB0628044593")</f>
        <v>NL36INGB0628044593</v>
      </c>
      <c r="AI261" s="6"/>
      <c r="AJ261" s="6" t="str">
        <f>IFERROR(__xludf.DUMMYFUNCTION("""COMPUTED_VALUE"""),"ID Kaart")</f>
        <v>ID Kaart</v>
      </c>
      <c r="AK261" s="6">
        <f>IFERROR(__xludf.DUMMYFUNCTION("""COMPUTED_VALUE"""),6.47317663E8)</f>
        <v>647317663</v>
      </c>
      <c r="AL261" s="9">
        <f>IFERROR(__xludf.DUMMYFUNCTION("""COMPUTED_VALUE"""),46715.0)</f>
        <v>46715</v>
      </c>
      <c r="AM261" s="6" t="str">
        <f>IFERROR(__xludf.DUMMYFUNCTION("""COMPUTED_VALUE"""),"Bulgarije")</f>
        <v>Bulgarije</v>
      </c>
      <c r="AN261" s="6" t="str">
        <f>IFERROR(__xludf.DUMMYFUNCTION("""COMPUTED_VALUE"""),"Velizar Vaklinov Krushkov")</f>
        <v>Velizar Vaklinov Krushkov</v>
      </c>
      <c r="AO261" s="6">
        <f>IFERROR(__xludf.DUMMYFUNCTION("""COMPUTED_VALUE"""),1713.0)</f>
        <v>1713</v>
      </c>
    </row>
    <row r="262">
      <c r="A262" s="6" t="str">
        <f>IFERROR(__xludf.DUMMYFUNCTION("""COMPUTED_VALUE"""),"KTM Bouw")</f>
        <v>KTM Bouw</v>
      </c>
      <c r="B262" s="6" t="str">
        <f>IFERROR(__xludf.DUMMYFUNCTION("""COMPUTED_VALUE"""),"KTM Bouw")</f>
        <v>KTM Bouw</v>
      </c>
      <c r="C262" s="6">
        <f>IFERROR(__xludf.DUMMYFUNCTION("""COMPUTED_VALUE"""),684.0)</f>
        <v>684</v>
      </c>
      <c r="D262" s="7" t="str">
        <f>IFERROR(__xludf.DUMMYFUNCTION("""COMPUTED_VALUE"""),"Taras Kalytiak")</f>
        <v>Taras Kalytiak</v>
      </c>
      <c r="E262" s="7" t="str">
        <f>IFERROR(__xludf.DUMMYFUNCTION("""COMPUTED_VALUE"""),"SBI-code: 4120 - Algemene burgerlijke en utiliteitsbouw")</f>
        <v>SBI-code: 4120 - Algemene burgerlijke en utiliteitsbouw</v>
      </c>
      <c r="F262" s="7" t="str">
        <f>IFERROR(__xludf.DUMMYFUNCTION("""COMPUTED_VALUE"""),"0684389962")</f>
        <v>0684389962</v>
      </c>
      <c r="G262" s="6" t="str">
        <f>IFERROR(__xludf.DUMMYFUNCTION("""COMPUTED_VALUE"""),"tkalyatyak@gmail.com")</f>
        <v>tkalyatyak@gmail.com</v>
      </c>
      <c r="H262" s="6" t="str">
        <f>IFERROR(__xludf.DUMMYFUNCTION("""COMPUTED_VALUE"""),"Houtrustweg 396")</f>
        <v>Houtrustweg 396</v>
      </c>
      <c r="I262" s="6" t="str">
        <f>IFERROR(__xludf.DUMMYFUNCTION("""COMPUTED_VALUE"""),"2583EX")</f>
        <v>2583EX</v>
      </c>
      <c r="J262" s="6" t="str">
        <f>IFERROR(__xludf.DUMMYFUNCTION("""COMPUTED_VALUE"""),"s-Gravenhage")</f>
        <v>s-Gravenhage</v>
      </c>
      <c r="K262" s="6" t="str">
        <f>IFERROR(__xludf.DUMMYFUNCTION("""COMPUTED_VALUE"""),"Nederland")</f>
        <v>Nederland</v>
      </c>
      <c r="L262" s="6" t="str">
        <f>IFERROR(__xludf.DUMMYFUNCTION("""COMPUTED_VALUE"""),"Тарас")</f>
        <v>Тарас</v>
      </c>
      <c r="M262" s="8">
        <f>IFERROR(__xludf.DUMMYFUNCTION("""COMPUTED_VALUE"""),43473.0)</f>
        <v>43473</v>
      </c>
      <c r="N262" s="6" t="str">
        <f>IFERROR(__xludf.DUMMYFUNCTION("""COMPUTED_VALUE"""),"NL483624639B01")</f>
        <v>NL483624639B01</v>
      </c>
      <c r="O262" s="6">
        <f>IFERROR(__xludf.DUMMYFUNCTION("""COMPUTED_VALUE"""),7.388739E7)</f>
        <v>73887390</v>
      </c>
      <c r="P262" s="6" t="str">
        <f>IFERROR(__xludf.DUMMYFUNCTION("""COMPUTED_VALUE"""),"NL47ABNA0148179533")</f>
        <v>NL47ABNA0148179533</v>
      </c>
      <c r="Q262" s="9">
        <f>IFERROR(__xludf.DUMMYFUNCTION("""COMPUTED_VALUE"""),43473.0)</f>
        <v>43473</v>
      </c>
      <c r="R262" s="6"/>
      <c r="S262" s="6" t="str">
        <f>IFERROR(__xludf.DUMMYFUNCTION("""COMPUTED_VALUE"""),"NL002490129B83")</f>
        <v>NL002490129B83</v>
      </c>
      <c r="T262" s="6">
        <f>IFERROR(__xludf.DUMMYFUNCTION("""COMPUTED_VALUE"""),4.83624639E8)</f>
        <v>483624639</v>
      </c>
      <c r="U262" s="7" t="str">
        <f>IFERROR(__xludf.DUMMYFUNCTION("""COMPUTED_VALUE"""),"Eenmanszaak")</f>
        <v>Eenmanszaak</v>
      </c>
      <c r="V262" s="7" t="str">
        <f>IFERROR(__xludf.DUMMYFUNCTION("""COMPUTED_VALUE"""),"000041885864")</f>
        <v>000041885864</v>
      </c>
      <c r="W262" s="6" t="str">
        <f>IFERROR(__xludf.DUMMYFUNCTION("""COMPUTED_VALUE"""),"ink.ktmbouw.2288aa@zarabota.nl")</f>
        <v>ink.ktmbouw.2288aa@zarabota.nl</v>
      </c>
      <c r="X262" s="6" t="str">
        <f>IFERROR(__xludf.DUMMYFUNCTION("""COMPUTED_VALUE"""),"ver.ktmbouw.2288aa@zarabota.nl")</f>
        <v>ver.ktmbouw.2288aa@zarabota.nl</v>
      </c>
      <c r="Y262" s="6" t="str">
        <f>IFERROR(__xludf.DUMMYFUNCTION("""COMPUTED_VALUE"""),"Hr.")</f>
        <v>Hr.</v>
      </c>
      <c r="Z262" s="6" t="str">
        <f>IFERROR(__xludf.DUMMYFUNCTION("""COMPUTED_VALUE"""),"Taras")</f>
        <v>Taras</v>
      </c>
      <c r="AA262" s="6" t="str">
        <f>IFERROR(__xludf.DUMMYFUNCTION("""COMPUTED_VALUE"""),"Kalytiak")</f>
        <v>Kalytiak</v>
      </c>
      <c r="AB262" s="6" t="str">
        <f>IFERROR(__xludf.DUMMYFUNCTION("""COMPUTED_VALUE"""),"T.")</f>
        <v>T.</v>
      </c>
      <c r="AC262" s="6">
        <f>IFERROR(__xludf.DUMMYFUNCTION("""COMPUTED_VALUE"""),4.83624639E8)</f>
        <v>483624639</v>
      </c>
      <c r="AD262" s="9">
        <f>IFERROR(__xludf.DUMMYFUNCTION("""COMPUTED_VALUE"""),30203.0)</f>
        <v>30203</v>
      </c>
      <c r="AE262" s="6" t="str">
        <f>IFERROR(__xludf.DUMMYFUNCTION("""COMPUTED_VALUE"""),"bg")</f>
        <v>bg</v>
      </c>
      <c r="AF262" s="6" t="str">
        <f>IFERROR(__xludf.DUMMYFUNCTION("""COMPUTED_VALUE"""),"Onbekend")</f>
        <v>Onbekend</v>
      </c>
      <c r="AG262" s="6" t="str">
        <f>IFERROR(__xludf.DUMMYFUNCTION("""COMPUTED_VALUE"""),"Hr. T. Kalytiak")</f>
        <v>Hr. T. Kalytiak</v>
      </c>
      <c r="AH262" s="6" t="str">
        <f>IFERROR(__xludf.DUMMYFUNCTION("""COMPUTED_VALUE"""),"NL32INGB0794864295")</f>
        <v>NL32INGB0794864295</v>
      </c>
      <c r="AI262" s="6"/>
      <c r="AJ262" s="6" t="str">
        <f>IFERROR(__xludf.DUMMYFUNCTION("""COMPUTED_VALUE"""),"Verblijf Kaart")</f>
        <v>Verblijf Kaart</v>
      </c>
      <c r="AK262" s="6" t="str">
        <f>IFERROR(__xludf.DUMMYFUNCTION("""COMPUTED_VALUE"""),"NLD89547681")</f>
        <v>NLD89547681</v>
      </c>
      <c r="AL262" s="9">
        <f>IFERROR(__xludf.DUMMYFUNCTION("""COMPUTED_VALUE"""),43455.0)</f>
        <v>43455</v>
      </c>
      <c r="AM262" s="6"/>
      <c r="AN262" s="6" t="str">
        <f>IFERROR(__xludf.DUMMYFUNCTION("""COMPUTED_VALUE"""),"Taras Kalytiak")</f>
        <v>Taras Kalytiak</v>
      </c>
      <c r="AO262" s="6"/>
    </row>
    <row r="263">
      <c r="A263" s="6" t="str">
        <f>IFERROR(__xludf.DUMMYFUNCTION("""COMPUTED_VALUE"""),"Kumanov ZZP")</f>
        <v>Kumanov ZZP</v>
      </c>
      <c r="B263" s="6" t="str">
        <f>IFERROR(__xludf.DUMMYFUNCTION("""COMPUTED_VALUE"""),"Kumanov ZZP")</f>
        <v>Kumanov ZZP</v>
      </c>
      <c r="C263" s="6">
        <f>IFERROR(__xludf.DUMMYFUNCTION("""COMPUTED_VALUE"""),876.0)</f>
        <v>876</v>
      </c>
      <c r="D263" s="7" t="str">
        <f>IFERROR(__xludf.DUMMYFUNCTION("""COMPUTED_VALUE"""),"Ivan Valchev Kumanov")</f>
        <v>Ivan Valchev Kumanov</v>
      </c>
      <c r="E263" s="7" t="str">
        <f>IFERROR(__xludf.DUMMYFUNCTION("""COMPUTED_VALUE"""),"SBI-code: 4120 - Algemene burgerlijke en utiliteitsbouw")</f>
        <v>SBI-code: 4120 - Algemene burgerlijke en utiliteitsbouw</v>
      </c>
      <c r="F263" s="7" t="str">
        <f>IFERROR(__xludf.DUMMYFUNCTION("""COMPUTED_VALUE"""),"0685476167")</f>
        <v>0685476167</v>
      </c>
      <c r="G263" s="6" t="str">
        <f>IFERROR(__xludf.DUMMYFUNCTION("""COMPUTED_VALUE"""),"anitosheva86@gmail.com")</f>
        <v>anitosheva86@gmail.com</v>
      </c>
      <c r="H263" s="6" t="str">
        <f>IFERROR(__xludf.DUMMYFUNCTION("""COMPUTED_VALUE"""),"Vreeswijkstraat 441")</f>
        <v>Vreeswijkstraat 441</v>
      </c>
      <c r="I263" s="6" t="str">
        <f>IFERROR(__xludf.DUMMYFUNCTION("""COMPUTED_VALUE"""),"2546AM")</f>
        <v>2546AM</v>
      </c>
      <c r="J263" s="6" t="str">
        <f>IFERROR(__xludf.DUMMYFUNCTION("""COMPUTED_VALUE"""),"s-Gravenhage")</f>
        <v>s-Gravenhage</v>
      </c>
      <c r="K263" s="6" t="str">
        <f>IFERROR(__xludf.DUMMYFUNCTION("""COMPUTED_VALUE"""),"Nederland")</f>
        <v>Nederland</v>
      </c>
      <c r="L263" s="6" t="str">
        <f>IFERROR(__xludf.DUMMYFUNCTION("""COMPUTED_VALUE"""),"Куманов")</f>
        <v>Куманов</v>
      </c>
      <c r="M263" s="8">
        <f>IFERROR(__xludf.DUMMYFUNCTION("""COMPUTED_VALUE"""),45397.0)</f>
        <v>45397</v>
      </c>
      <c r="N263" s="6" t="str">
        <f>IFERROR(__xludf.DUMMYFUNCTION("""COMPUTED_VALUE"""),"NL589515937B02")</f>
        <v>NL589515937B02</v>
      </c>
      <c r="O263" s="6">
        <f>IFERROR(__xludf.DUMMYFUNCTION("""COMPUTED_VALUE"""),9.3862326E7)</f>
        <v>93862326</v>
      </c>
      <c r="P263" s="6" t="str">
        <f>IFERROR(__xludf.DUMMYFUNCTION("""COMPUTED_VALUE"""),"NL83INGB0007564817")</f>
        <v>NL83INGB0007564817</v>
      </c>
      <c r="Q263" s="9">
        <f>IFERROR(__xludf.DUMMYFUNCTION("""COMPUTED_VALUE"""),43768.0)</f>
        <v>43768</v>
      </c>
      <c r="R263" s="6"/>
      <c r="S263" s="6" t="str">
        <f>IFERROR(__xludf.DUMMYFUNCTION("""COMPUTED_VALUE"""),"NL005048673B17")</f>
        <v>NL005048673B17</v>
      </c>
      <c r="T263" s="6">
        <f>IFERROR(__xludf.DUMMYFUNCTION("""COMPUTED_VALUE"""),5.89515937E8)</f>
        <v>589515937</v>
      </c>
      <c r="U263" s="7" t="str">
        <f>IFERROR(__xludf.DUMMYFUNCTION("""COMPUTED_VALUE"""),"Vennootschap Onder Firma")</f>
        <v>Vennootschap Onder Firma</v>
      </c>
      <c r="V263" s="7" t="str">
        <f>IFERROR(__xludf.DUMMYFUNCTION("""COMPUTED_VALUE"""),"000034449795")</f>
        <v>000034449795</v>
      </c>
      <c r="W263" s="6" t="str">
        <f>IFERROR(__xludf.DUMMYFUNCTION("""COMPUTED_VALUE"""),"ink.kumanovvof.2288aa@zarabota.nl")</f>
        <v>ink.kumanovvof.2288aa@zarabota.nl</v>
      </c>
      <c r="X263" s="6" t="str">
        <f>IFERROR(__xludf.DUMMYFUNCTION("""COMPUTED_VALUE"""),"ver.kumanovvof.2288aa@zarabota.nl")</f>
        <v>ver.kumanovvof.2288aa@zarabota.nl</v>
      </c>
      <c r="Y263" s="6" t="str">
        <f>IFERROR(__xludf.DUMMYFUNCTION("""COMPUTED_VALUE"""),"Hr.")</f>
        <v>Hr.</v>
      </c>
      <c r="Z263" s="6" t="str">
        <f>IFERROR(__xludf.DUMMYFUNCTION("""COMPUTED_VALUE"""),"Ivan Valchev")</f>
        <v>Ivan Valchev</v>
      </c>
      <c r="AA263" s="6" t="str">
        <f>IFERROR(__xludf.DUMMYFUNCTION("""COMPUTED_VALUE"""),"Kumanov")</f>
        <v>Kumanov</v>
      </c>
      <c r="AB263" s="6" t="str">
        <f>IFERROR(__xludf.DUMMYFUNCTION("""COMPUTED_VALUE"""),"I.V.")</f>
        <v>I.V.</v>
      </c>
      <c r="AC263" s="6">
        <f>IFERROR(__xludf.DUMMYFUNCTION("""COMPUTED_VALUE"""),5.89515937E8)</f>
        <v>589515937</v>
      </c>
      <c r="AD263" s="9">
        <f>IFERROR(__xludf.DUMMYFUNCTION("""COMPUTED_VALUE"""),29242.0)</f>
        <v>29242</v>
      </c>
      <c r="AE263" s="6" t="str">
        <f>IFERROR(__xludf.DUMMYFUNCTION("""COMPUTED_VALUE"""),"bg")</f>
        <v>bg</v>
      </c>
      <c r="AF263" s="6" t="str">
        <f>IFERROR(__xludf.DUMMYFUNCTION("""COMPUTED_VALUE"""),"Ivaylovgrad")</f>
        <v>Ivaylovgrad</v>
      </c>
      <c r="AG263" s="6" t="str">
        <f>IFERROR(__xludf.DUMMYFUNCTION("""COMPUTED_VALUE"""),"Hr. I.V. Kumanov")</f>
        <v>Hr. I.V. Kumanov</v>
      </c>
      <c r="AH263" s="6" t="str">
        <f>IFERROR(__xludf.DUMMYFUNCTION("""COMPUTED_VALUE"""),"NL40INGB0757588506")</f>
        <v>NL40INGB0757588506</v>
      </c>
      <c r="AI263" s="6"/>
      <c r="AJ263" s="6" t="str">
        <f>IFERROR(__xludf.DUMMYFUNCTION("""COMPUTED_VALUE"""),"ID Kaart")</f>
        <v>ID Kaart</v>
      </c>
      <c r="AK263" s="6">
        <f>IFERROR(__xludf.DUMMYFUNCTION("""COMPUTED_VALUE"""),6.42368138E8)</f>
        <v>642368138</v>
      </c>
      <c r="AL263" s="9">
        <f>IFERROR(__xludf.DUMMYFUNCTION("""COMPUTED_VALUE"""),44266.0)</f>
        <v>44266</v>
      </c>
      <c r="AM263" s="6"/>
      <c r="AN263" s="6" t="str">
        <f>IFERROR(__xludf.DUMMYFUNCTION("""COMPUTED_VALUE"""),"Ivan Valchev Kumanov")</f>
        <v>Ivan Valchev Kumanov</v>
      </c>
      <c r="AO263" s="6"/>
    </row>
    <row r="264">
      <c r="A264" s="6" t="str">
        <f>IFERROR(__xludf.DUMMYFUNCTION("""COMPUTED_VALUE"""),"KVL Bouw B.V.")</f>
        <v>KVL Bouw B.V.</v>
      </c>
      <c r="B264" s="6" t="str">
        <f>IFERROR(__xludf.DUMMYFUNCTION("""COMPUTED_VALUE"""),"KVL Bouw B.V.")</f>
        <v>KVL Bouw B.V.</v>
      </c>
      <c r="C264" s="6">
        <f>IFERROR(__xludf.DUMMYFUNCTION("""COMPUTED_VALUE"""),1741.0)</f>
        <v>1741</v>
      </c>
      <c r="D264" s="7" t="str">
        <f>IFERROR(__xludf.DUMMYFUNCTION("""COMPUTED_VALUE"""),"Mykola Vasilovich Lanko")</f>
        <v>Mykola Vasilovich Lanko</v>
      </c>
      <c r="E264" s="7" t="str">
        <f>IFERROR(__xludf.DUMMYFUNCTION("""COMPUTED_VALUE"""),"SBI-code: 4120 - Algemene burgerlijke en utiliteitsbouw")</f>
        <v>SBI-code: 4120 - Algemene burgerlijke en utiliteitsbouw</v>
      </c>
      <c r="F264" s="7" t="str">
        <f>IFERROR(__xludf.DUMMYFUNCTION("""COMPUTED_VALUE"""),"+31617168484")</f>
        <v>+31617168484</v>
      </c>
      <c r="G264" s="6"/>
      <c r="H264" s="6" t="str">
        <f>IFERROR(__xludf.DUMMYFUNCTION("""COMPUTED_VALUE"""),"Janssoniusstraat 11")</f>
        <v>Janssoniusstraat 11</v>
      </c>
      <c r="I264" s="6" t="str">
        <f>IFERROR(__xludf.DUMMYFUNCTION("""COMPUTED_VALUE"""),"2523HA")</f>
        <v>2523HA</v>
      </c>
      <c r="J264" s="6" t="str">
        <f>IFERROR(__xludf.DUMMYFUNCTION("""COMPUTED_VALUE"""),"s-Gravenhage")</f>
        <v>s-Gravenhage</v>
      </c>
      <c r="K264" s="6" t="str">
        <f>IFERROR(__xludf.DUMMYFUNCTION("""COMPUTED_VALUE"""),"Nederland")</f>
        <v>Nederland</v>
      </c>
      <c r="L264" s="6" t="str">
        <f>IFERROR(__xludf.DUMMYFUNCTION("""COMPUTED_VALUE"""),"Ланько")</f>
        <v>Ланько</v>
      </c>
      <c r="M264" s="8">
        <f>IFERROR(__xludf.DUMMYFUNCTION("""COMPUTED_VALUE"""),45939.0)</f>
        <v>45939</v>
      </c>
      <c r="N264" s="6" t="str">
        <f>IFERROR(__xludf.DUMMYFUNCTION("""COMPUTED_VALUE"""),"NL868533543B01")</f>
        <v>NL868533543B01</v>
      </c>
      <c r="O264" s="6">
        <f>IFERROR(__xludf.DUMMYFUNCTION("""COMPUTED_VALUE"""),9.8527509E7)</f>
        <v>98527509</v>
      </c>
      <c r="P264" s="6" t="str">
        <f>IFERROR(__xludf.DUMMYFUNCTION("""COMPUTED_VALUE"""),"NL49REVO0424390809")</f>
        <v>NL49REVO0424390809</v>
      </c>
      <c r="Q264" s="9">
        <f>IFERROR(__xludf.DUMMYFUNCTION("""COMPUTED_VALUE"""),45939.0)</f>
        <v>45939</v>
      </c>
      <c r="R264" s="6"/>
      <c r="S264" s="6" t="str">
        <f>IFERROR(__xludf.DUMMYFUNCTION("""COMPUTED_VALUE"""),"NL868533543B01")</f>
        <v>NL868533543B01</v>
      </c>
      <c r="T264" s="6">
        <f>IFERROR(__xludf.DUMMYFUNCTION("""COMPUTED_VALUE"""),8.68533543E8)</f>
        <v>868533543</v>
      </c>
      <c r="U264" s="7" t="str">
        <f>IFERROR(__xludf.DUMMYFUNCTION("""COMPUTED_VALUE"""),"Besloten Vennootschap")</f>
        <v>Besloten Vennootschap</v>
      </c>
      <c r="V264" s="7" t="str">
        <f>IFERROR(__xludf.DUMMYFUNCTION("""COMPUTED_VALUE"""),"000063684861")</f>
        <v>000063684861</v>
      </c>
      <c r="W264" s="6" t="str">
        <f>IFERROR(__xludf.DUMMYFUNCTION("""COMPUTED_VALUE"""),"ink.kvlbouw.2288aa@zarabota.nl")</f>
        <v>ink.kvlbouw.2288aa@zarabota.nl</v>
      </c>
      <c r="X264" s="6" t="str">
        <f>IFERROR(__xludf.DUMMYFUNCTION("""COMPUTED_VALUE"""),"ver.kvlbouw.2288aa@zarabota.nl")</f>
        <v>ver.kvlbouw.2288aa@zarabota.nl</v>
      </c>
      <c r="Y264" s="6" t="str">
        <f>IFERROR(__xludf.DUMMYFUNCTION("""COMPUTED_VALUE"""),"Hr.")</f>
        <v>Hr.</v>
      </c>
      <c r="Z264" s="6" t="str">
        <f>IFERROR(__xludf.DUMMYFUNCTION("""COMPUTED_VALUE"""),"Mykola Vasylovitsj")</f>
        <v>Mykola Vasylovitsj</v>
      </c>
      <c r="AA264" s="6" t="str">
        <f>IFERROR(__xludf.DUMMYFUNCTION("""COMPUTED_VALUE"""),"Lanko")</f>
        <v>Lanko</v>
      </c>
      <c r="AB264" s="6" t="str">
        <f>IFERROR(__xludf.DUMMYFUNCTION("""COMPUTED_VALUE"""),"M.V.")</f>
        <v>M.V.</v>
      </c>
      <c r="AC264" s="6">
        <f>IFERROR(__xludf.DUMMYFUNCTION("""COMPUTED_VALUE"""),3.98636928E8)</f>
        <v>398636928</v>
      </c>
      <c r="AD264" s="9">
        <f>IFERROR(__xludf.DUMMYFUNCTION("""COMPUTED_VALUE"""),28790.0)</f>
        <v>28790</v>
      </c>
      <c r="AE264" s="6" t="str">
        <f>IFERROR(__xludf.DUMMYFUNCTION("""COMPUTED_VALUE"""),"uk")</f>
        <v>uk</v>
      </c>
      <c r="AF264" s="6" t="str">
        <f>IFERROR(__xludf.DUMMYFUNCTION("""COMPUTED_VALUE"""),"Lviv")</f>
        <v>Lviv</v>
      </c>
      <c r="AG264" s="6" t="str">
        <f>IFERROR(__xludf.DUMMYFUNCTION("""COMPUTED_VALUE"""),"Hr. M.V. Lanko")</f>
        <v>Hr. M.V. Lanko</v>
      </c>
      <c r="AH264" s="6"/>
      <c r="AI264" s="6"/>
      <c r="AJ264" s="6"/>
      <c r="AK264" s="6"/>
      <c r="AL264" s="6"/>
      <c r="AM264" s="6"/>
      <c r="AN264" s="6" t="str">
        <f>IFERROR(__xludf.DUMMYFUNCTION("""COMPUTED_VALUE"""),"Mykola Vasylovitsj Lanko")</f>
        <v>Mykola Vasylovitsj Lanko</v>
      </c>
      <c r="AO264" s="6">
        <f>IFERROR(__xludf.DUMMYFUNCTION("""COMPUTED_VALUE"""),1741.0)</f>
        <v>1741</v>
      </c>
    </row>
    <row r="265">
      <c r="A265" s="6" t="str">
        <f>IFERROR(__xludf.DUMMYFUNCTION("""COMPUTED_VALUE"""),"Latu Bouw")</f>
        <v>Latu Bouw</v>
      </c>
      <c r="B265" s="6" t="str">
        <f>IFERROR(__xludf.DUMMYFUNCTION("""COMPUTED_VALUE"""),"Latu Bouw")</f>
        <v>Latu Bouw</v>
      </c>
      <c r="C265" s="6">
        <f>IFERROR(__xludf.DUMMYFUNCTION("""COMPUTED_VALUE"""),1770.0)</f>
        <v>1770</v>
      </c>
      <c r="D265" s="7" t="str">
        <f>IFERROR(__xludf.DUMMYFUNCTION("""COMPUTED_VALUE"""),"Ion Latu")</f>
        <v>Ion Latu</v>
      </c>
      <c r="E265" s="7" t="str">
        <f>IFERROR(__xludf.DUMMYFUNCTION("""COMPUTED_VALUE"""),"SBI-code: 4331 - Stukadoren")</f>
        <v>SBI-code: 4331 - Stukadoren</v>
      </c>
      <c r="F265" s="7" t="str">
        <f>IFERROR(__xludf.DUMMYFUNCTION("""COMPUTED_VALUE"""),"+393292069302")</f>
        <v>+393292069302</v>
      </c>
      <c r="G265" s="6" t="str">
        <f>IFERROR(__xludf.DUMMYFUNCTION("""COMPUTED_VALUE"""),"latuion1974@gmail.com")</f>
        <v>latuion1974@gmail.com</v>
      </c>
      <c r="H265" s="6" t="str">
        <f>IFERROR(__xludf.DUMMYFUNCTION("""COMPUTED_VALUE"""),"Nieuwe Maasstraat 98")</f>
        <v>Nieuwe Maasstraat 98</v>
      </c>
      <c r="I265" s="6" t="str">
        <f>IFERROR(__xludf.DUMMYFUNCTION("""COMPUTED_VALUE"""),"3114TP")</f>
        <v>3114TP</v>
      </c>
      <c r="J265" s="6" t="str">
        <f>IFERROR(__xludf.DUMMYFUNCTION("""COMPUTED_VALUE"""),"Schiedam")</f>
        <v>Schiedam</v>
      </c>
      <c r="K265" s="6" t="str">
        <f>IFERROR(__xludf.DUMMYFUNCTION("""COMPUTED_VALUE"""),"Nederland")</f>
        <v>Nederland</v>
      </c>
      <c r="L265" s="6" t="str">
        <f>IFERROR(__xludf.DUMMYFUNCTION("""COMPUTED_VALUE"""),"Лату")</f>
        <v>Лату</v>
      </c>
      <c r="M265" s="8">
        <f>IFERROR(__xludf.DUMMYFUNCTION("""COMPUTED_VALUE"""),46058.0)</f>
        <v>46058</v>
      </c>
      <c r="N265" s="6" t="str">
        <f>IFERROR(__xludf.DUMMYFUNCTION("""COMPUTED_VALUE"""),"NL412085483B01")</f>
        <v>NL412085483B01</v>
      </c>
      <c r="O265" s="6">
        <f>IFERROR(__xludf.DUMMYFUNCTION("""COMPUTED_VALUE"""),9.9781182E7)</f>
        <v>99781182</v>
      </c>
      <c r="P265" s="6" t="str">
        <f>IFERROR(__xludf.DUMMYFUNCTION("""COMPUTED_VALUE"""),"NL87INGB0115936637")</f>
        <v>NL87INGB0115936637</v>
      </c>
      <c r="Q265" s="9">
        <f>IFERROR(__xludf.DUMMYFUNCTION("""COMPUTED_VALUE"""),46058.0)</f>
        <v>46058</v>
      </c>
      <c r="R265" s="6"/>
      <c r="S265" s="6" t="str">
        <f>IFERROR(__xludf.DUMMYFUNCTION("""COMPUTED_VALUE"""),"NL005409797B80")</f>
        <v>NL005409797B80</v>
      </c>
      <c r="T265" s="6">
        <f>IFERROR(__xludf.DUMMYFUNCTION("""COMPUTED_VALUE"""),4.12085483E8)</f>
        <v>412085483</v>
      </c>
      <c r="U265" s="7" t="str">
        <f>IFERROR(__xludf.DUMMYFUNCTION("""COMPUTED_VALUE"""),"Eenmanszaak")</f>
        <v>Eenmanszaak</v>
      </c>
      <c r="V265" s="6"/>
      <c r="W265" s="6" t="str">
        <f>IFERROR(__xludf.DUMMYFUNCTION("""COMPUTED_VALUE"""),"ink.latubouw.2288aa@zarabota.nl")</f>
        <v>ink.latubouw.2288aa@zarabota.nl</v>
      </c>
      <c r="X265" s="6" t="str">
        <f>IFERROR(__xludf.DUMMYFUNCTION("""COMPUTED_VALUE"""),"ver.latubouw.2288aa@zarabota.nl")</f>
        <v>ver.latubouw.2288aa@zarabota.nl</v>
      </c>
      <c r="Y265" s="6" t="str">
        <f>IFERROR(__xludf.DUMMYFUNCTION("""COMPUTED_VALUE"""),"Hr.")</f>
        <v>Hr.</v>
      </c>
      <c r="Z265" s="6" t="str">
        <f>IFERROR(__xludf.DUMMYFUNCTION("""COMPUTED_VALUE"""),"Ion")</f>
        <v>Ion</v>
      </c>
      <c r="AA265" s="6" t="str">
        <f>IFERROR(__xludf.DUMMYFUNCTION("""COMPUTED_VALUE"""),"Latu")</f>
        <v>Latu</v>
      </c>
      <c r="AB265" s="6" t="str">
        <f>IFERROR(__xludf.DUMMYFUNCTION("""COMPUTED_VALUE"""),"I.")</f>
        <v>I.</v>
      </c>
      <c r="AC265" s="6">
        <f>IFERROR(__xludf.DUMMYFUNCTION("""COMPUTED_VALUE"""),4.12085483E8)</f>
        <v>412085483</v>
      </c>
      <c r="AD265" s="9">
        <f>IFERROR(__xludf.DUMMYFUNCTION("""COMPUTED_VALUE"""),27223.0)</f>
        <v>27223</v>
      </c>
      <c r="AE265" s="6" t="str">
        <f>IFERROR(__xludf.DUMMYFUNCTION("""COMPUTED_VALUE"""),"bg")</f>
        <v>bg</v>
      </c>
      <c r="AF265" s="6" t="str">
        <f>IFERROR(__xludf.DUMMYFUNCTION("""COMPUTED_VALUE"""),"Telenesti")</f>
        <v>Telenesti</v>
      </c>
      <c r="AG265" s="6" t="str">
        <f>IFERROR(__xludf.DUMMYFUNCTION("""COMPUTED_VALUE"""),"Hr. I. Latu")</f>
        <v>Hr. I. Latu</v>
      </c>
      <c r="AH265" s="6"/>
      <c r="AI265" s="6"/>
      <c r="AJ265" s="6" t="str">
        <f>IFERROR(__xludf.DUMMYFUNCTION("""COMPUTED_VALUE"""),"ID Kaart")</f>
        <v>ID Kaart</v>
      </c>
      <c r="AK265" s="6" t="str">
        <f>IFERROR(__xludf.DUMMYFUNCTION("""COMPUTED_VALUE"""),"CA58024PA")</f>
        <v>CA58024PA</v>
      </c>
      <c r="AL265" s="9">
        <f>IFERROR(__xludf.DUMMYFUNCTION("""COMPUTED_VALUE"""),48408.0)</f>
        <v>48408</v>
      </c>
      <c r="AM265" s="6" t="str">
        <f>IFERROR(__xludf.DUMMYFUNCTION("""COMPUTED_VALUE"""),"Sovjet-Unie")</f>
        <v>Sovjet-Unie</v>
      </c>
      <c r="AN265" s="6" t="str">
        <f>IFERROR(__xludf.DUMMYFUNCTION("""COMPUTED_VALUE"""),"Ion Latu")</f>
        <v>Ion Latu</v>
      </c>
      <c r="AO265" s="6">
        <f>IFERROR(__xludf.DUMMYFUNCTION("""COMPUTED_VALUE"""),1770.0)</f>
        <v>1770</v>
      </c>
    </row>
    <row r="266">
      <c r="A266" s="6" t="str">
        <f>IFERROR(__xludf.DUMMYFUNCTION("""COMPUTED_VALUE"""),"Lavendel Schoonmaakbedrijf")</f>
        <v>Lavendel Schoonmaakbedrijf</v>
      </c>
      <c r="B266" s="6" t="str">
        <f>IFERROR(__xludf.DUMMYFUNCTION("""COMPUTED_VALUE"""),"Lavendel Schoonmaakbedrijf")</f>
        <v>Lavendel Schoonmaakbedrijf</v>
      </c>
      <c r="C266" s="6">
        <f>IFERROR(__xludf.DUMMYFUNCTION("""COMPUTED_VALUE"""),988.0)</f>
        <v>988</v>
      </c>
      <c r="D266" s="7" t="str">
        <f>IFERROR(__xludf.DUMMYFUNCTION("""COMPUTED_VALUE"""),"Seyde Mustafova Hyuseinova")</f>
        <v>Seyde Mustafova Hyuseinova</v>
      </c>
      <c r="E266" s="7" t="str">
        <f>IFERROR(__xludf.DUMMYFUNCTION("""COMPUTED_VALUE"""),"SBI-code: 8121 - Interieurreiniging van gebouwen")</f>
        <v>SBI-code: 8121 - Interieurreiniging van gebouwen</v>
      </c>
      <c r="F266" s="7" t="str">
        <f>IFERROR(__xludf.DUMMYFUNCTION("""COMPUTED_VALUE"""),"0638926821")</f>
        <v>0638926821</v>
      </c>
      <c r="G266" s="6" t="str">
        <f>IFERROR(__xludf.DUMMYFUNCTION("""COMPUTED_VALUE"""),"seydehyuseinova@yahoo.co.uk")</f>
        <v>seydehyuseinova@yahoo.co.uk</v>
      </c>
      <c r="H266" s="6" t="str">
        <f>IFERROR(__xludf.DUMMYFUNCTION("""COMPUTED_VALUE"""),"Oranjelaan 12")</f>
        <v>Oranjelaan 12</v>
      </c>
      <c r="I266" s="6" t="str">
        <f>IFERROR(__xludf.DUMMYFUNCTION("""COMPUTED_VALUE"""),"1735 HR")</f>
        <v>1735 HR</v>
      </c>
      <c r="J266" s="6" t="str">
        <f>IFERROR(__xludf.DUMMYFUNCTION("""COMPUTED_VALUE"""),"t Veld")</f>
        <v>t Veld</v>
      </c>
      <c r="K266" s="6" t="str">
        <f>IFERROR(__xludf.DUMMYFUNCTION("""COMPUTED_VALUE"""),"Nederland")</f>
        <v>Nederland</v>
      </c>
      <c r="L266" s="6" t="str">
        <f>IFERROR(__xludf.DUMMYFUNCTION("""COMPUTED_VALUE"""),"Хюсеинова")</f>
        <v>Хюсеинова</v>
      </c>
      <c r="M266" s="8">
        <f>IFERROR(__xludf.DUMMYFUNCTION("""COMPUTED_VALUE"""),43997.0)</f>
        <v>43997</v>
      </c>
      <c r="N266" s="6" t="str">
        <f>IFERROR(__xludf.DUMMYFUNCTION("""COMPUTED_VALUE"""),"NL680253646B01")</f>
        <v>NL680253646B01</v>
      </c>
      <c r="O266" s="6">
        <f>IFERROR(__xludf.DUMMYFUNCTION("""COMPUTED_VALUE"""),7.8287391E7)</f>
        <v>78287391</v>
      </c>
      <c r="P266" s="6" t="str">
        <f>IFERROR(__xludf.DUMMYFUNCTION("""COMPUTED_VALUE"""),"NL10INGB0009573837")</f>
        <v>NL10INGB0009573837</v>
      </c>
      <c r="Q266" s="9">
        <f>IFERROR(__xludf.DUMMYFUNCTION("""COMPUTED_VALUE"""),43997.0)</f>
        <v>43997</v>
      </c>
      <c r="R266" s="6"/>
      <c r="S266" s="6" t="str">
        <f>IFERROR(__xludf.DUMMYFUNCTION("""COMPUTED_VALUE"""),"NL003312995B45")</f>
        <v>NL003312995B45</v>
      </c>
      <c r="T266" s="6">
        <f>IFERROR(__xludf.DUMMYFUNCTION("""COMPUTED_VALUE"""),6.80253646E8)</f>
        <v>680253646</v>
      </c>
      <c r="U266" s="7" t="str">
        <f>IFERROR(__xludf.DUMMYFUNCTION("""COMPUTED_VALUE"""),"Eenmanszaak")</f>
        <v>Eenmanszaak</v>
      </c>
      <c r="V266" s="7" t="str">
        <f>IFERROR(__xludf.DUMMYFUNCTION("""COMPUTED_VALUE"""),"000045927995")</f>
        <v>000045927995</v>
      </c>
      <c r="W266" s="6" t="str">
        <f>IFERROR(__xludf.DUMMYFUNCTION("""COMPUTED_VALUE"""),"ink.lavendel.2288aa@zarabota.nl")</f>
        <v>ink.lavendel.2288aa@zarabota.nl</v>
      </c>
      <c r="X266" s="6" t="str">
        <f>IFERROR(__xludf.DUMMYFUNCTION("""COMPUTED_VALUE"""),"ver.lavendel.2288aa@zarabota.nl")</f>
        <v>ver.lavendel.2288aa@zarabota.nl</v>
      </c>
      <c r="Y266" s="6" t="str">
        <f>IFERROR(__xludf.DUMMYFUNCTION("""COMPUTED_VALUE"""),"Mw.")</f>
        <v>Mw.</v>
      </c>
      <c r="Z266" s="6" t="str">
        <f>IFERROR(__xludf.DUMMYFUNCTION("""COMPUTED_VALUE"""),"Seyde Mustafova")</f>
        <v>Seyde Mustafova</v>
      </c>
      <c r="AA266" s="6" t="str">
        <f>IFERROR(__xludf.DUMMYFUNCTION("""COMPUTED_VALUE"""),"Hyuseinova")</f>
        <v>Hyuseinova</v>
      </c>
      <c r="AB266" s="6" t="str">
        <f>IFERROR(__xludf.DUMMYFUNCTION("""COMPUTED_VALUE"""),"S.M.")</f>
        <v>S.M.</v>
      </c>
      <c r="AC266" s="6">
        <f>IFERROR(__xludf.DUMMYFUNCTION("""COMPUTED_VALUE"""),6.80253646E8)</f>
        <v>680253646</v>
      </c>
      <c r="AD266" s="9">
        <f>IFERROR(__xludf.DUMMYFUNCTION("""COMPUTED_VALUE"""),31075.0)</f>
        <v>31075</v>
      </c>
      <c r="AE266" s="6" t="str">
        <f>IFERROR(__xludf.DUMMYFUNCTION("""COMPUTED_VALUE"""),"bg")</f>
        <v>bg</v>
      </c>
      <c r="AF266" s="6" t="str">
        <f>IFERROR(__xludf.DUMMYFUNCTION("""COMPUTED_VALUE"""),"Ruse")</f>
        <v>Ruse</v>
      </c>
      <c r="AG266" s="6" t="str">
        <f>IFERROR(__xludf.DUMMYFUNCTION("""COMPUTED_VALUE"""),"Mw. S.M. Hyuseinova")</f>
        <v>Mw. S.M. Hyuseinova</v>
      </c>
      <c r="AH266" s="6"/>
      <c r="AI266" s="9">
        <f>IFERROR(__xludf.DUMMYFUNCTION("""COMPUTED_VALUE"""),43623.0)</f>
        <v>43623</v>
      </c>
      <c r="AJ266" s="6"/>
      <c r="AK266" s="6"/>
      <c r="AL266" s="6"/>
      <c r="AM266" s="6" t="str">
        <f>IFERROR(__xludf.DUMMYFUNCTION("""COMPUTED_VALUE"""),"Bulgarije")</f>
        <v>Bulgarije</v>
      </c>
      <c r="AN266" s="6" t="str">
        <f>IFERROR(__xludf.DUMMYFUNCTION("""COMPUTED_VALUE"""),"Seyde Mustafova Hyuseinova")</f>
        <v>Seyde Mustafova Hyuseinova</v>
      </c>
      <c r="AO266" s="6"/>
    </row>
    <row r="267">
      <c r="A267" s="6" t="str">
        <f>IFERROR(__xludf.DUMMYFUNCTION("""COMPUTED_VALUE"""),"LBSH Service")</f>
        <v>LBSH Service</v>
      </c>
      <c r="B267" s="6" t="str">
        <f>IFERROR(__xludf.DUMMYFUNCTION("""COMPUTED_VALUE"""),"LBSH Service")</f>
        <v>LBSH Service</v>
      </c>
      <c r="C267" s="6">
        <f>IFERROR(__xludf.DUMMYFUNCTION("""COMPUTED_VALUE"""),525.0)</f>
        <v>525</v>
      </c>
      <c r="D267" s="7" t="str">
        <f>IFERROR(__xludf.DUMMYFUNCTION("""COMPUTED_VALUE"""),"Lyuben Borisov Shiboykov")</f>
        <v>Lyuben Borisov Shiboykov</v>
      </c>
      <c r="E267" s="7" t="str">
        <f>IFERROR(__xludf.DUMMYFUNCTION("""COMPUTED_VALUE"""),"SBI-code: 4120 - Algemene burgerlijke en utiliteitsbouw")</f>
        <v>SBI-code: 4120 - Algemene burgerlijke en utiliteitsbouw</v>
      </c>
      <c r="F267" s="7" t="str">
        <f>IFERROR(__xludf.DUMMYFUNCTION("""COMPUTED_VALUE"""),"+359878548781")</f>
        <v>+359878548781</v>
      </c>
      <c r="G267" s="6" t="str">
        <f>IFERROR(__xludf.DUMMYFUNCTION("""COMPUTED_VALUE"""),"liubenbsh@gmail.com")</f>
        <v>liubenbsh@gmail.com</v>
      </c>
      <c r="H267" s="6" t="str">
        <f>IFERROR(__xludf.DUMMYFUNCTION("""COMPUTED_VALUE"""),"Springersdiep 21")</f>
        <v>Springersdiep 21</v>
      </c>
      <c r="I267" s="6" t="str">
        <f>IFERROR(__xludf.DUMMYFUNCTION("""COMPUTED_VALUE"""),"2904ET")</f>
        <v>2904ET</v>
      </c>
      <c r="J267" s="6" t="str">
        <f>IFERROR(__xludf.DUMMYFUNCTION("""COMPUTED_VALUE"""),"Capelle aan den IJssel")</f>
        <v>Capelle aan den IJssel</v>
      </c>
      <c r="K267" s="6" t="str">
        <f>IFERROR(__xludf.DUMMYFUNCTION("""COMPUTED_VALUE"""),"Nederland")</f>
        <v>Nederland</v>
      </c>
      <c r="L267" s="6" t="str">
        <f>IFERROR(__xludf.DUMMYFUNCTION("""COMPUTED_VALUE"""),"Шибойков")</f>
        <v>Шибойков</v>
      </c>
      <c r="M267" s="8">
        <f>IFERROR(__xludf.DUMMYFUNCTION("""COMPUTED_VALUE"""),43175.0)</f>
        <v>43175</v>
      </c>
      <c r="N267" s="6" t="str">
        <f>IFERROR(__xludf.DUMMYFUNCTION("""COMPUTED_VALUE"""),"NL438696803B01")</f>
        <v>NL438696803B01</v>
      </c>
      <c r="O267" s="6">
        <f>IFERROR(__xludf.DUMMYFUNCTION("""COMPUTED_VALUE"""),6.9851247E7)</f>
        <v>69851247</v>
      </c>
      <c r="P267" s="6" t="str">
        <f>IFERROR(__xludf.DUMMYFUNCTION("""COMPUTED_VALUE"""),"NL45ABNA0254592546")</f>
        <v>NL45ABNA0254592546</v>
      </c>
      <c r="Q267" s="9">
        <f>IFERROR(__xludf.DUMMYFUNCTION("""COMPUTED_VALUE"""),43025.0)</f>
        <v>43025</v>
      </c>
      <c r="R267" s="6"/>
      <c r="S267" s="6" t="str">
        <f>IFERROR(__xludf.DUMMYFUNCTION("""COMPUTED_VALUE"""),"NL002484003B24")</f>
        <v>NL002484003B24</v>
      </c>
      <c r="T267" s="6">
        <f>IFERROR(__xludf.DUMMYFUNCTION("""COMPUTED_VALUE"""),4.38696803E8)</f>
        <v>438696803</v>
      </c>
      <c r="U267" s="7" t="str">
        <f>IFERROR(__xludf.DUMMYFUNCTION("""COMPUTED_VALUE"""),"Eenmanszaak")</f>
        <v>Eenmanszaak</v>
      </c>
      <c r="V267" s="7" t="str">
        <f>IFERROR(__xludf.DUMMYFUNCTION("""COMPUTED_VALUE"""),"000038172399")</f>
        <v>000038172399</v>
      </c>
      <c r="W267" s="6" t="str">
        <f>IFERROR(__xludf.DUMMYFUNCTION("""COMPUTED_VALUE"""),"ink.lbshservice.2288aa@zarabota.nl")</f>
        <v>ink.lbshservice.2288aa@zarabota.nl</v>
      </c>
      <c r="X267" s="6" t="str">
        <f>IFERROR(__xludf.DUMMYFUNCTION("""COMPUTED_VALUE"""),"ver.lbshservice.2288aa@zarabota.nl")</f>
        <v>ver.lbshservice.2288aa@zarabota.nl</v>
      </c>
      <c r="Y267" s="6" t="str">
        <f>IFERROR(__xludf.DUMMYFUNCTION("""COMPUTED_VALUE"""),"Hr.")</f>
        <v>Hr.</v>
      </c>
      <c r="Z267" s="6" t="str">
        <f>IFERROR(__xludf.DUMMYFUNCTION("""COMPUTED_VALUE"""),"Lyuben Borisov")</f>
        <v>Lyuben Borisov</v>
      </c>
      <c r="AA267" s="6" t="str">
        <f>IFERROR(__xludf.DUMMYFUNCTION("""COMPUTED_VALUE"""),"Shiboykov")</f>
        <v>Shiboykov</v>
      </c>
      <c r="AB267" s="6" t="str">
        <f>IFERROR(__xludf.DUMMYFUNCTION("""COMPUTED_VALUE"""),"L.B.")</f>
        <v>L.B.</v>
      </c>
      <c r="AC267" s="6">
        <f>IFERROR(__xludf.DUMMYFUNCTION("""COMPUTED_VALUE"""),4.38696803E8)</f>
        <v>438696803</v>
      </c>
      <c r="AD267" s="9">
        <f>IFERROR(__xludf.DUMMYFUNCTION("""COMPUTED_VALUE"""),30832.0)</f>
        <v>30832</v>
      </c>
      <c r="AE267" s="6" t="str">
        <f>IFERROR(__xludf.DUMMYFUNCTION("""COMPUTED_VALUE"""),"bg")</f>
        <v>bg</v>
      </c>
      <c r="AF267" s="6"/>
      <c r="AG267" s="6" t="str">
        <f>IFERROR(__xludf.DUMMYFUNCTION("""COMPUTED_VALUE"""),"Hr. L.B. Shiboykov")</f>
        <v>Hr. L.B. Shiboykov</v>
      </c>
      <c r="AH267" s="6"/>
      <c r="AI267" s="6"/>
      <c r="AJ267" s="6"/>
      <c r="AK267" s="6"/>
      <c r="AL267" s="6"/>
      <c r="AM267" s="6"/>
      <c r="AN267" s="6" t="str">
        <f>IFERROR(__xludf.DUMMYFUNCTION("""COMPUTED_VALUE"""),"Lyuben Borisov Shiboykov")</f>
        <v>Lyuben Borisov Shiboykov</v>
      </c>
      <c r="AO267" s="6"/>
    </row>
    <row r="268">
      <c r="A268" s="6" t="str">
        <f>IFERROR(__xludf.DUMMYFUNCTION("""COMPUTED_VALUE"""),"Lin 82")</f>
        <v>Lin 82</v>
      </c>
      <c r="B268" s="6" t="str">
        <f>IFERROR(__xludf.DUMMYFUNCTION("""COMPUTED_VALUE"""),"Lin 82")</f>
        <v>Lin 82</v>
      </c>
      <c r="C268" s="6">
        <f>IFERROR(__xludf.DUMMYFUNCTION("""COMPUTED_VALUE"""),1186.0)</f>
        <v>1186</v>
      </c>
      <c r="D268" s="7" t="str">
        <f>IFERROR(__xludf.DUMMYFUNCTION("""COMPUTED_VALUE"""),"Veselin Hristov Kidikov")</f>
        <v>Veselin Hristov Kidikov</v>
      </c>
      <c r="E268" s="7" t="str">
        <f>IFERROR(__xludf.DUMMYFUNCTION("""COMPUTED_VALUE"""),"SBI-code: 4120 - Algemene burgerlijke en utiliteitsbouw")</f>
        <v>SBI-code: 4120 - Algemene burgerlijke en utiliteitsbouw</v>
      </c>
      <c r="F268" s="7" t="str">
        <f>IFERROR(__xludf.DUMMYFUNCTION("""COMPUTED_VALUE"""),"0687674384")</f>
        <v>0687674384</v>
      </c>
      <c r="G268" s="6" t="str">
        <f>IFERROR(__xludf.DUMMYFUNCTION("""COMPUTED_VALUE"""),"veselin_kidikov79@abv.bg")</f>
        <v>veselin_kidikov79@abv.bg</v>
      </c>
      <c r="H268" s="6" t="str">
        <f>IFERROR(__xludf.DUMMYFUNCTION("""COMPUTED_VALUE"""),"Janssoniusstraat 35-A")</f>
        <v>Janssoniusstraat 35-A</v>
      </c>
      <c r="I268" s="6" t="str">
        <f>IFERROR(__xludf.DUMMYFUNCTION("""COMPUTED_VALUE"""),"2523 HA")</f>
        <v>2523 HA</v>
      </c>
      <c r="J268" s="6" t="str">
        <f>IFERROR(__xludf.DUMMYFUNCTION("""COMPUTED_VALUE"""),"Den Haag")</f>
        <v>Den Haag</v>
      </c>
      <c r="K268" s="6" t="str">
        <f>IFERROR(__xludf.DUMMYFUNCTION("""COMPUTED_VALUE"""),"Nederland")</f>
        <v>Nederland</v>
      </c>
      <c r="L268" s="6" t="str">
        <f>IFERROR(__xludf.DUMMYFUNCTION("""COMPUTED_VALUE"""),"Кидиков")</f>
        <v>Кидиков</v>
      </c>
      <c r="M268" s="8">
        <f>IFERROR(__xludf.DUMMYFUNCTION("""COMPUTED_VALUE"""),44317.0)</f>
        <v>44317</v>
      </c>
      <c r="N268" s="6" t="str">
        <f>IFERROR(__xludf.DUMMYFUNCTION("""COMPUTED_VALUE"""),"NL306352370B01")</f>
        <v>NL306352370B01</v>
      </c>
      <c r="O268" s="6">
        <f>IFERROR(__xludf.DUMMYFUNCTION("""COMPUTED_VALUE"""),8.2779619E7)</f>
        <v>82779619</v>
      </c>
      <c r="P268" s="6" t="str">
        <f>IFERROR(__xludf.DUMMYFUNCTION("""COMPUTED_VALUE"""),"NL80INGB0007182109")</f>
        <v>NL80INGB0007182109</v>
      </c>
      <c r="Q268" s="9">
        <f>IFERROR(__xludf.DUMMYFUNCTION("""COMPUTED_VALUE"""),44317.0)</f>
        <v>44317</v>
      </c>
      <c r="R268" s="6"/>
      <c r="S268" s="6" t="str">
        <f>IFERROR(__xludf.DUMMYFUNCTION("""COMPUTED_VALUE"""),"NL003727426B10")</f>
        <v>NL003727426B10</v>
      </c>
      <c r="T268" s="6">
        <f>IFERROR(__xludf.DUMMYFUNCTION("""COMPUTED_VALUE"""),3.0635237E8)</f>
        <v>306352370</v>
      </c>
      <c r="U268" s="7" t="str">
        <f>IFERROR(__xludf.DUMMYFUNCTION("""COMPUTED_VALUE"""),"Eenmanszaak")</f>
        <v>Eenmanszaak</v>
      </c>
      <c r="V268" s="7" t="str">
        <f>IFERROR(__xludf.DUMMYFUNCTION("""COMPUTED_VALUE"""),"000048993824")</f>
        <v>000048993824</v>
      </c>
      <c r="W268" s="6" t="str">
        <f>IFERROR(__xludf.DUMMYFUNCTION("""COMPUTED_VALUE"""),"ink.lin82.2288aa@zarabota.nl")</f>
        <v>ink.lin82.2288aa@zarabota.nl</v>
      </c>
      <c r="X268" s="6" t="str">
        <f>IFERROR(__xludf.DUMMYFUNCTION("""COMPUTED_VALUE"""),"ver.lin82.2288aa@zarabota.nl")</f>
        <v>ver.lin82.2288aa@zarabota.nl</v>
      </c>
      <c r="Y268" s="6" t="str">
        <f>IFERROR(__xludf.DUMMYFUNCTION("""COMPUTED_VALUE"""),"Hr.")</f>
        <v>Hr.</v>
      </c>
      <c r="Z268" s="6" t="str">
        <f>IFERROR(__xludf.DUMMYFUNCTION("""COMPUTED_VALUE"""),"Veselin Hristov")</f>
        <v>Veselin Hristov</v>
      </c>
      <c r="AA268" s="6" t="str">
        <f>IFERROR(__xludf.DUMMYFUNCTION("""COMPUTED_VALUE"""),"Kidikov")</f>
        <v>Kidikov</v>
      </c>
      <c r="AB268" s="6" t="str">
        <f>IFERROR(__xludf.DUMMYFUNCTION("""COMPUTED_VALUE"""),"V.H.")</f>
        <v>V.H.</v>
      </c>
      <c r="AC268" s="6">
        <f>IFERROR(__xludf.DUMMYFUNCTION("""COMPUTED_VALUE"""),3.0635237E8)</f>
        <v>306352370</v>
      </c>
      <c r="AD268" s="9">
        <f>IFERROR(__xludf.DUMMYFUNCTION("""COMPUTED_VALUE"""),28930.0)</f>
        <v>28930</v>
      </c>
      <c r="AE268" s="6" t="str">
        <f>IFERROR(__xludf.DUMMYFUNCTION("""COMPUTED_VALUE"""),"bg")</f>
        <v>bg</v>
      </c>
      <c r="AF268" s="6" t="str">
        <f>IFERROR(__xludf.DUMMYFUNCTION("""COMPUTED_VALUE"""),"Rudozem")</f>
        <v>Rudozem</v>
      </c>
      <c r="AG268" s="6" t="str">
        <f>IFERROR(__xludf.DUMMYFUNCTION("""COMPUTED_VALUE""")," V.H. Kidikov")</f>
        <v> V.H. Kidikov</v>
      </c>
      <c r="AH268" s="6" t="str">
        <f>IFERROR(__xludf.DUMMYFUNCTION("""COMPUTED_VALUE"""),"NL11BUNQ2043035207")</f>
        <v>NL11BUNQ2043035207</v>
      </c>
      <c r="AI268" s="9">
        <f>IFERROR(__xludf.DUMMYFUNCTION("""COMPUTED_VALUE"""),44151.0)</f>
        <v>44151</v>
      </c>
      <c r="AJ268" s="6" t="str">
        <f>IFERROR(__xludf.DUMMYFUNCTION("""COMPUTED_VALUE"""),"ID Kaart")</f>
        <v>ID Kaart</v>
      </c>
      <c r="AK268" s="6">
        <f>IFERROR(__xludf.DUMMYFUNCTION("""COMPUTED_VALUE"""),6.50337455E8)</f>
        <v>650337455</v>
      </c>
      <c r="AL268" s="9">
        <f>IFERROR(__xludf.DUMMYFUNCTION("""COMPUTED_VALUE"""),28926.0)</f>
        <v>28926</v>
      </c>
      <c r="AM268" s="6" t="str">
        <f>IFERROR(__xludf.DUMMYFUNCTION("""COMPUTED_VALUE"""),"Bulgarije")</f>
        <v>Bulgarije</v>
      </c>
      <c r="AN268" s="6" t="str">
        <f>IFERROR(__xludf.DUMMYFUNCTION("""COMPUTED_VALUE"""),"Veselin Hristov Kidikov")</f>
        <v>Veselin Hristov Kidikov</v>
      </c>
      <c r="AO268" s="6">
        <f>IFERROR(__xludf.DUMMYFUNCTION("""COMPUTED_VALUE"""),1186.0)</f>
        <v>1186</v>
      </c>
    </row>
    <row r="269">
      <c r="A269" s="6" t="str">
        <f>IFERROR(__xludf.DUMMYFUNCTION("""COMPUTED_VALUE"""),"LinVer Style")</f>
        <v>LinVer Style</v>
      </c>
      <c r="B269" s="6" t="str">
        <f>IFERROR(__xludf.DUMMYFUNCTION("""COMPUTED_VALUE"""),"LinVer Style (KOR per 01-04-2025)")</f>
        <v>LinVer Style (KOR per 01-04-2025)</v>
      </c>
      <c r="C269" s="6">
        <f>IFERROR(__xludf.DUMMYFUNCTION("""COMPUTED_VALUE"""),1678.0)</f>
        <v>1678</v>
      </c>
      <c r="D269" s="7" t="str">
        <f>IFERROR(__xludf.DUMMYFUNCTION("""COMPUTED_VALUE"""),"Virdzhiniya Velkova Raycheva")</f>
        <v>Virdzhiniya Velkova Raycheva</v>
      </c>
      <c r="E269" s="7" t="str">
        <f>IFERROR(__xludf.DUMMYFUNCTION("""COMPUTED_VALUE"""),"SBI-code: 96022 - Schoonheidsverzorging")</f>
        <v>SBI-code: 96022 - Schoonheidsverzorging</v>
      </c>
      <c r="F269" s="7" t="str">
        <f>IFERROR(__xludf.DUMMYFUNCTION("""COMPUTED_VALUE"""),"0648217247")</f>
        <v>0648217247</v>
      </c>
      <c r="G269" s="6" t="str">
        <f>IFERROR(__xludf.DUMMYFUNCTION("""COMPUTED_VALUE"""),"v_raycheva@yahoo.com")</f>
        <v>v_raycheva@yahoo.com</v>
      </c>
      <c r="H269" s="6" t="str">
        <f>IFERROR(__xludf.DUMMYFUNCTION("""COMPUTED_VALUE"""),"Hengelolaan 398")</f>
        <v>Hengelolaan 398</v>
      </c>
      <c r="I269" s="6" t="str">
        <f>IFERROR(__xludf.DUMMYFUNCTION("""COMPUTED_VALUE"""),"2545JZ")</f>
        <v>2545JZ</v>
      </c>
      <c r="J269" s="6" t="str">
        <f>IFERROR(__xludf.DUMMYFUNCTION("""COMPUTED_VALUE"""),"s-Gravenhage")</f>
        <v>s-Gravenhage</v>
      </c>
      <c r="K269" s="6" t="str">
        <f>IFERROR(__xludf.DUMMYFUNCTION("""COMPUTED_VALUE"""),"Nederland")</f>
        <v>Nederland</v>
      </c>
      <c r="L269" s="6" t="str">
        <f>IFERROR(__xludf.DUMMYFUNCTION("""COMPUTED_VALUE"""),"Райчева")</f>
        <v>Райчева</v>
      </c>
      <c r="M269" s="8">
        <f>IFERROR(__xludf.DUMMYFUNCTION("""COMPUTED_VALUE"""),45566.0)</f>
        <v>45566</v>
      </c>
      <c r="N269" s="6" t="str">
        <f>IFERROR(__xludf.DUMMYFUNCTION("""COMPUTED_VALUE"""),"NL579851576B02")</f>
        <v>NL579851576B02</v>
      </c>
      <c r="O269" s="6">
        <f>IFERROR(__xludf.DUMMYFUNCTION("""COMPUTED_VALUE"""),9.5433651E7)</f>
        <v>95433651</v>
      </c>
      <c r="P269" s="6" t="str">
        <f>IFERROR(__xludf.DUMMYFUNCTION("""COMPUTED_VALUE"""),"NL83INGB0108152847")</f>
        <v>NL83INGB0108152847</v>
      </c>
      <c r="Q269" s="9">
        <f>IFERROR(__xludf.DUMMYFUNCTION("""COMPUTED_VALUE"""),45566.0)</f>
        <v>45566</v>
      </c>
      <c r="R269" s="6"/>
      <c r="S269" s="6" t="str">
        <f>IFERROR(__xludf.DUMMYFUNCTION("""COMPUTED_VALUE"""),"NL005153020B48")</f>
        <v>NL005153020B48</v>
      </c>
      <c r="T269" s="6">
        <f>IFERROR(__xludf.DUMMYFUNCTION("""COMPUTED_VALUE"""),5.79851576E8)</f>
        <v>579851576</v>
      </c>
      <c r="U269" s="7" t="str">
        <f>IFERROR(__xludf.DUMMYFUNCTION("""COMPUTED_VALUE"""),"Eenmanszaak")</f>
        <v>Eenmanszaak</v>
      </c>
      <c r="V269" s="7" t="str">
        <f>IFERROR(__xludf.DUMMYFUNCTION("""COMPUTED_VALUE"""),"000060845856")</f>
        <v>000060845856</v>
      </c>
      <c r="W269" s="6" t="str">
        <f>IFERROR(__xludf.DUMMYFUNCTION("""COMPUTED_VALUE"""),"ink.linver.2288aa@zarabota.nl")</f>
        <v>ink.linver.2288aa@zarabota.nl</v>
      </c>
      <c r="X269" s="6" t="str">
        <f>IFERROR(__xludf.DUMMYFUNCTION("""COMPUTED_VALUE"""),"ver.linver.2288aa@zarabota.nl")</f>
        <v>ver.linver.2288aa@zarabota.nl</v>
      </c>
      <c r="Y269" s="6" t="str">
        <f>IFERROR(__xludf.DUMMYFUNCTION("""COMPUTED_VALUE"""),"Mw.")</f>
        <v>Mw.</v>
      </c>
      <c r="Z269" s="6" t="str">
        <f>IFERROR(__xludf.DUMMYFUNCTION("""COMPUTED_VALUE"""),"Virdzhiniya Velkova")</f>
        <v>Virdzhiniya Velkova</v>
      </c>
      <c r="AA269" s="6" t="str">
        <f>IFERROR(__xludf.DUMMYFUNCTION("""COMPUTED_VALUE"""),"Raycheva")</f>
        <v>Raycheva</v>
      </c>
      <c r="AB269" s="6" t="str">
        <f>IFERROR(__xludf.DUMMYFUNCTION("""COMPUTED_VALUE"""),"V.V.")</f>
        <v>V.V.</v>
      </c>
      <c r="AC269" s="6">
        <f>IFERROR(__xludf.DUMMYFUNCTION("""COMPUTED_VALUE"""),5.79851576E8)</f>
        <v>579851576</v>
      </c>
      <c r="AD269" s="9">
        <f>IFERROR(__xludf.DUMMYFUNCTION("""COMPUTED_VALUE"""),29677.0)</f>
        <v>29677</v>
      </c>
      <c r="AE269" s="6" t="str">
        <f>IFERROR(__xludf.DUMMYFUNCTION("""COMPUTED_VALUE"""),"bg")</f>
        <v>bg</v>
      </c>
      <c r="AF269" s="6" t="str">
        <f>IFERROR(__xludf.DUMMYFUNCTION("""COMPUTED_VALUE"""),"Ardino")</f>
        <v>Ardino</v>
      </c>
      <c r="AG269" s="6" t="str">
        <f>IFERROR(__xludf.DUMMYFUNCTION("""COMPUTED_VALUE"""),"Mw. V.V. Raycheva")</f>
        <v>Mw. V.V. Raycheva</v>
      </c>
      <c r="AH269" s="6"/>
      <c r="AI269" s="6"/>
      <c r="AJ269" s="6" t="str">
        <f>IFERROR(__xludf.DUMMYFUNCTION("""COMPUTED_VALUE"""),"ID Kaart")</f>
        <v>ID Kaart</v>
      </c>
      <c r="AK269" s="6">
        <f>IFERROR(__xludf.DUMMYFUNCTION("""COMPUTED_VALUE"""),6.42318866E8)</f>
        <v>642318866</v>
      </c>
      <c r="AL269" s="9">
        <f>IFERROR(__xludf.DUMMYFUNCTION("""COMPUTED_VALUE"""),44348.0)</f>
        <v>44348</v>
      </c>
      <c r="AM269" s="6" t="str">
        <f>IFERROR(__xludf.DUMMYFUNCTION("""COMPUTED_VALUE"""),"Bulgarije")</f>
        <v>Bulgarije</v>
      </c>
      <c r="AN269" s="6" t="str">
        <f>IFERROR(__xludf.DUMMYFUNCTION("""COMPUTED_VALUE"""),"Virdzhiniya Velkova Raycheva")</f>
        <v>Virdzhiniya Velkova Raycheva</v>
      </c>
      <c r="AO269" s="6">
        <f>IFERROR(__xludf.DUMMYFUNCTION("""COMPUTED_VALUE"""),1678.0)</f>
        <v>1678</v>
      </c>
    </row>
    <row r="270">
      <c r="A270" s="6" t="str">
        <f>IFERROR(__xludf.DUMMYFUNCTION("""COMPUTED_VALUE"""),"LiShou")</f>
        <v>LiShou</v>
      </c>
      <c r="B270" s="6" t="str">
        <f>IFERROR(__xludf.DUMMYFUNCTION("""COMPUTED_VALUE"""),"LiShou")</f>
        <v>LiShou</v>
      </c>
      <c r="C270" s="6">
        <f>IFERROR(__xludf.DUMMYFUNCTION("""COMPUTED_VALUE"""),507.0)</f>
        <v>507</v>
      </c>
      <c r="D270" s="7" t="str">
        <f>IFERROR(__xludf.DUMMYFUNCTION("""COMPUTED_VALUE"""),"Elitsa Olegova Sharankova")</f>
        <v>Elitsa Olegova Sharankova</v>
      </c>
      <c r="E270" s="7" t="str">
        <f>IFERROR(__xludf.DUMMYFUNCTION("""COMPUTED_VALUE"""),"SBI-code: 4120 - Algemene burgerlijke en utiliteitsbouw")</f>
        <v>SBI-code: 4120 - Algemene burgerlijke en utiliteitsbouw</v>
      </c>
      <c r="F270" s="7" t="str">
        <f>IFERROR(__xludf.DUMMYFUNCTION("""COMPUTED_VALUE"""),"0684164100")</f>
        <v>0684164100</v>
      </c>
      <c r="G270" s="6" t="str">
        <f>IFERROR(__xludf.DUMMYFUNCTION("""COMPUTED_VALUE"""),"li_shau@abv.bg")</f>
        <v>li_shau@abv.bg</v>
      </c>
      <c r="H270" s="6" t="str">
        <f>IFERROR(__xludf.DUMMYFUNCTION("""COMPUTED_VALUE"""),"Molenstraat 46")</f>
        <v>Molenstraat 46</v>
      </c>
      <c r="I270" s="6" t="str">
        <f>IFERROR(__xludf.DUMMYFUNCTION("""COMPUTED_VALUE"""),"4693BK")</f>
        <v>4693BK</v>
      </c>
      <c r="J270" s="6" t="str">
        <f>IFERROR(__xludf.DUMMYFUNCTION("""COMPUTED_VALUE"""),"Poortvliet")</f>
        <v>Poortvliet</v>
      </c>
      <c r="K270" s="6" t="str">
        <f>IFERROR(__xludf.DUMMYFUNCTION("""COMPUTED_VALUE"""),"Nederland")</f>
        <v>Nederland</v>
      </c>
      <c r="L270" s="6" t="str">
        <f>IFERROR(__xludf.DUMMYFUNCTION("""COMPUTED_VALUE"""),"Шаранкова")</f>
        <v>Шаранкова</v>
      </c>
      <c r="M270" s="8">
        <f>IFERROR(__xludf.DUMMYFUNCTION("""COMPUTED_VALUE"""),43132.0)</f>
        <v>43132</v>
      </c>
      <c r="N270" s="6" t="str">
        <f>IFERROR(__xludf.DUMMYFUNCTION("""COMPUTED_VALUE"""),"NL643597931B01")</f>
        <v>NL643597931B01</v>
      </c>
      <c r="O270" s="6">
        <f>IFERROR(__xludf.DUMMYFUNCTION("""COMPUTED_VALUE"""),7.1044205E7)</f>
        <v>71044205</v>
      </c>
      <c r="P270" s="6" t="str">
        <f>IFERROR(__xludf.DUMMYFUNCTION("""COMPUTED_VALUE"""),"NL93INGB0008296696")</f>
        <v>NL93INGB0008296696</v>
      </c>
      <c r="Q270" s="9">
        <f>IFERROR(__xludf.DUMMYFUNCTION("""COMPUTED_VALUE"""),43132.0)</f>
        <v>43132</v>
      </c>
      <c r="R270" s="6"/>
      <c r="S270" s="6" t="str">
        <f>IFERROR(__xludf.DUMMYFUNCTION("""COMPUTED_VALUE"""),"NL002511872B45")</f>
        <v>NL002511872B45</v>
      </c>
      <c r="T270" s="6">
        <f>IFERROR(__xludf.DUMMYFUNCTION("""COMPUTED_VALUE"""),6.43597931E8)</f>
        <v>643597931</v>
      </c>
      <c r="U270" s="7" t="str">
        <f>IFERROR(__xludf.DUMMYFUNCTION("""COMPUTED_VALUE"""),"Eenmanszaak")</f>
        <v>Eenmanszaak</v>
      </c>
      <c r="V270" s="7" t="str">
        <f>IFERROR(__xludf.DUMMYFUNCTION("""COMPUTED_VALUE"""),"000039262839")</f>
        <v>000039262839</v>
      </c>
      <c r="W270" s="6" t="str">
        <f>IFERROR(__xludf.DUMMYFUNCTION("""COMPUTED_VALUE"""),"ink.lishou.2288aa@zarabota.nl")</f>
        <v>ink.lishou.2288aa@zarabota.nl</v>
      </c>
      <c r="X270" s="6" t="str">
        <f>IFERROR(__xludf.DUMMYFUNCTION("""COMPUTED_VALUE"""),"ver.lishou.2288aa@zarabota.nl")</f>
        <v>ver.lishou.2288aa@zarabota.nl</v>
      </c>
      <c r="Y270" s="6" t="str">
        <f>IFERROR(__xludf.DUMMYFUNCTION("""COMPUTED_VALUE"""),"Mw.")</f>
        <v>Mw.</v>
      </c>
      <c r="Z270" s="6" t="str">
        <f>IFERROR(__xludf.DUMMYFUNCTION("""COMPUTED_VALUE"""),"Elitsa Olegova")</f>
        <v>Elitsa Olegova</v>
      </c>
      <c r="AA270" s="6" t="str">
        <f>IFERROR(__xludf.DUMMYFUNCTION("""COMPUTED_VALUE"""),"Sharankova")</f>
        <v>Sharankova</v>
      </c>
      <c r="AB270" s="6" t="str">
        <f>IFERROR(__xludf.DUMMYFUNCTION("""COMPUTED_VALUE"""),"E.O.")</f>
        <v>E.O.</v>
      </c>
      <c r="AC270" s="6">
        <f>IFERROR(__xludf.DUMMYFUNCTION("""COMPUTED_VALUE"""),6.43597931E8)</f>
        <v>643597931</v>
      </c>
      <c r="AD270" s="9">
        <f>IFERROR(__xludf.DUMMYFUNCTION("""COMPUTED_VALUE"""),31433.0)</f>
        <v>31433</v>
      </c>
      <c r="AE270" s="6" t="str">
        <f>IFERROR(__xludf.DUMMYFUNCTION("""COMPUTED_VALUE"""),"bg")</f>
        <v>bg</v>
      </c>
      <c r="AF270" s="6" t="str">
        <f>IFERROR(__xludf.DUMMYFUNCTION("""COMPUTED_VALUE"""),"Asenovgrad")</f>
        <v>Asenovgrad</v>
      </c>
      <c r="AG270" s="6" t="str">
        <f>IFERROR(__xludf.DUMMYFUNCTION("""COMPUTED_VALUE"""),"Mw. E.O. Sharankova")</f>
        <v>Mw. E.O. Sharankova</v>
      </c>
      <c r="AH270" s="6" t="str">
        <f>IFERROR(__xludf.DUMMYFUNCTION("""COMPUTED_VALUE"""),"NL79INGB0702152013")</f>
        <v>NL79INGB0702152013</v>
      </c>
      <c r="AI270" s="6"/>
      <c r="AJ270" s="6" t="str">
        <f>IFERROR(__xludf.DUMMYFUNCTION("""COMPUTED_VALUE"""),"ID Kaart")</f>
        <v>ID Kaart</v>
      </c>
      <c r="AK270" s="6">
        <f>IFERROR(__xludf.DUMMYFUNCTION("""COMPUTED_VALUE"""),6.46203169E8)</f>
        <v>646203169</v>
      </c>
      <c r="AL270" s="9">
        <f>IFERROR(__xludf.DUMMYFUNCTION("""COMPUTED_VALUE"""),46001.0)</f>
        <v>46001</v>
      </c>
      <c r="AM270" s="6"/>
      <c r="AN270" s="6" t="str">
        <f>IFERROR(__xludf.DUMMYFUNCTION("""COMPUTED_VALUE"""),"Elitsa Olegova Sharankova")</f>
        <v>Elitsa Olegova Sharankova</v>
      </c>
      <c r="AO270" s="6"/>
    </row>
    <row r="271">
      <c r="A271" s="6" t="str">
        <f>IFERROR(__xludf.DUMMYFUNCTION("""COMPUTED_VALUE"""),"Lobo MM Bouw")</f>
        <v>Lobo MM Bouw</v>
      </c>
      <c r="B271" s="6" t="str">
        <f>IFERROR(__xludf.DUMMYFUNCTION("""COMPUTED_VALUE"""),"Lobo MM Bouw")</f>
        <v>Lobo MM Bouw</v>
      </c>
      <c r="C271" s="6">
        <f>IFERROR(__xludf.DUMMYFUNCTION("""COMPUTED_VALUE"""),1261.0)</f>
        <v>1261</v>
      </c>
      <c r="D271" s="7" t="str">
        <f>IFERROR(__xludf.DUMMYFUNCTION("""COMPUTED_VALUE"""),"Lyuben Zhelev Dimitrov")</f>
        <v>Lyuben Zhelev Dimitrov</v>
      </c>
      <c r="E271" s="7" t="str">
        <f>IFERROR(__xludf.DUMMYFUNCTION("""COMPUTED_VALUE"""),"SBI-code: 4120 - Algemene burgerlijke en utiliteitsbouw")</f>
        <v>SBI-code: 4120 - Algemene burgerlijke en utiliteitsbouw</v>
      </c>
      <c r="F271" s="7" t="str">
        <f>IFERROR(__xludf.DUMMYFUNCTION("""COMPUTED_VALUE"""),"0657676373")</f>
        <v>0657676373</v>
      </c>
      <c r="G271" s="6" t="str">
        <f>IFERROR(__xludf.DUMMYFUNCTION("""COMPUTED_VALUE"""),"luben.dimitrov7@gmail.com")</f>
        <v>luben.dimitrov7@gmail.com</v>
      </c>
      <c r="H271" s="6" t="str">
        <f>IFERROR(__xludf.DUMMYFUNCTION("""COMPUTED_VALUE"""),"Goeverneurlaan 147")</f>
        <v>Goeverneurlaan 147</v>
      </c>
      <c r="I271" s="6" t="str">
        <f>IFERROR(__xludf.DUMMYFUNCTION("""COMPUTED_VALUE"""),"2523BD")</f>
        <v>2523BD</v>
      </c>
      <c r="J271" s="6" t="str">
        <f>IFERROR(__xludf.DUMMYFUNCTION("""COMPUTED_VALUE"""),"s-Gravenhage")</f>
        <v>s-Gravenhage</v>
      </c>
      <c r="K271" s="6" t="str">
        <f>IFERROR(__xludf.DUMMYFUNCTION("""COMPUTED_VALUE"""),"Nederland")</f>
        <v>Nederland</v>
      </c>
      <c r="L271" s="6" t="str">
        <f>IFERROR(__xludf.DUMMYFUNCTION("""COMPUTED_VALUE"""),"Димитров")</f>
        <v>Димитров</v>
      </c>
      <c r="M271" s="8">
        <f>IFERROR(__xludf.DUMMYFUNCTION("""COMPUTED_VALUE"""),44562.0)</f>
        <v>44562</v>
      </c>
      <c r="N271" s="6" t="str">
        <f>IFERROR(__xludf.DUMMYFUNCTION("""COMPUTED_VALUE"""),"NL341737902B01")</f>
        <v>NL341737902B01</v>
      </c>
      <c r="O271" s="6">
        <f>IFERROR(__xludf.DUMMYFUNCTION("""COMPUTED_VALUE"""),7.7427068E7)</f>
        <v>77427068</v>
      </c>
      <c r="P271" s="6" t="str">
        <f>IFERROR(__xludf.DUMMYFUNCTION("""COMPUTED_VALUE"""),"NL79INGB0007852979")</f>
        <v>NL79INGB0007852979</v>
      </c>
      <c r="Q271" s="9">
        <f>IFERROR(__xludf.DUMMYFUNCTION("""COMPUTED_VALUE"""),43873.0)</f>
        <v>43873</v>
      </c>
      <c r="R271" s="6"/>
      <c r="S271" s="6" t="str">
        <f>IFERROR(__xludf.DUMMYFUNCTION("""COMPUTED_VALUE"""),"NL003192698B04")</f>
        <v>NL003192698B04</v>
      </c>
      <c r="T271" s="6">
        <f>IFERROR(__xludf.DUMMYFUNCTION("""COMPUTED_VALUE"""),3.41737902E8)</f>
        <v>341737902</v>
      </c>
      <c r="U271" s="7" t="str">
        <f>IFERROR(__xludf.DUMMYFUNCTION("""COMPUTED_VALUE"""),"Eenmanszaak")</f>
        <v>Eenmanszaak</v>
      </c>
      <c r="V271" s="7" t="str">
        <f>IFERROR(__xludf.DUMMYFUNCTION("""COMPUTED_VALUE"""),"000045129169")</f>
        <v>000045129169</v>
      </c>
      <c r="W271" s="6" t="str">
        <f>IFERROR(__xludf.DUMMYFUNCTION("""COMPUTED_VALUE"""),"ink.lobommbouw.2288aa@zarabota.nl")</f>
        <v>ink.lobommbouw.2288aa@zarabota.nl</v>
      </c>
      <c r="X271" s="6" t="str">
        <f>IFERROR(__xludf.DUMMYFUNCTION("""COMPUTED_VALUE"""),"ver.lobommbouw.2288aa@zarabota.nl")</f>
        <v>ver.lobommbouw.2288aa@zarabota.nl</v>
      </c>
      <c r="Y271" s="6" t="str">
        <f>IFERROR(__xludf.DUMMYFUNCTION("""COMPUTED_VALUE"""),"Hr.")</f>
        <v>Hr.</v>
      </c>
      <c r="Z271" s="6" t="str">
        <f>IFERROR(__xludf.DUMMYFUNCTION("""COMPUTED_VALUE"""),"Lyuben Zhelev")</f>
        <v>Lyuben Zhelev</v>
      </c>
      <c r="AA271" s="6" t="str">
        <f>IFERROR(__xludf.DUMMYFUNCTION("""COMPUTED_VALUE"""),"Dimitrov")</f>
        <v>Dimitrov</v>
      </c>
      <c r="AB271" s="6" t="str">
        <f>IFERROR(__xludf.DUMMYFUNCTION("""COMPUTED_VALUE"""),"L.Z.")</f>
        <v>L.Z.</v>
      </c>
      <c r="AC271" s="6">
        <f>IFERROR(__xludf.DUMMYFUNCTION("""COMPUTED_VALUE"""),3.41737902E8)</f>
        <v>341737902</v>
      </c>
      <c r="AD271" s="9">
        <f>IFERROR(__xludf.DUMMYFUNCTION("""COMPUTED_VALUE"""),26757.0)</f>
        <v>26757</v>
      </c>
      <c r="AE271" s="6" t="str">
        <f>IFERROR(__xludf.DUMMYFUNCTION("""COMPUTED_VALUE"""),"bg")</f>
        <v>bg</v>
      </c>
      <c r="AF271" s="6" t="str">
        <f>IFERROR(__xludf.DUMMYFUNCTION("""COMPUTED_VALUE"""),"Madan")</f>
        <v>Madan</v>
      </c>
      <c r="AG271" s="6" t="str">
        <f>IFERROR(__xludf.DUMMYFUNCTION("""COMPUTED_VALUE"""),"Hr. L.Z. Dimitrov")</f>
        <v>Hr. L.Z. Dimitrov</v>
      </c>
      <c r="AH271" s="6"/>
      <c r="AI271" s="6"/>
      <c r="AJ271" s="6" t="str">
        <f>IFERROR(__xludf.DUMMYFUNCTION("""COMPUTED_VALUE"""),"ID Kaart")</f>
        <v>ID Kaart</v>
      </c>
      <c r="AK271" s="6">
        <f>IFERROR(__xludf.DUMMYFUNCTION("""COMPUTED_VALUE"""),6.48692562E8)</f>
        <v>648692562</v>
      </c>
      <c r="AL271" s="9">
        <f>IFERROR(__xludf.DUMMYFUNCTION("""COMPUTED_VALUE"""),47475.0)</f>
        <v>47475</v>
      </c>
      <c r="AM271" s="6" t="str">
        <f>IFERROR(__xludf.DUMMYFUNCTION("""COMPUTED_VALUE"""),"Bulgarije")</f>
        <v>Bulgarije</v>
      </c>
      <c r="AN271" s="6" t="str">
        <f>IFERROR(__xludf.DUMMYFUNCTION("""COMPUTED_VALUE"""),"Lyuben Zhelev Dimitrov")</f>
        <v>Lyuben Zhelev Dimitrov</v>
      </c>
      <c r="AO271" s="6">
        <f>IFERROR(__xludf.DUMMYFUNCTION("""COMPUTED_VALUE"""),1261.0)</f>
        <v>1261</v>
      </c>
    </row>
    <row r="272">
      <c r="A272" s="6" t="str">
        <f>IFERROR(__xludf.DUMMYFUNCTION("""COMPUTED_VALUE"""),"Logistic Balkanika")</f>
        <v>Logistic Balkanika</v>
      </c>
      <c r="B272" s="6" t="str">
        <f>IFERROR(__xludf.DUMMYFUNCTION("""COMPUTED_VALUE"""),"Asenovi Services VOF (1753)")</f>
        <v>Asenovi Services VOF (1753)</v>
      </c>
      <c r="C272" s="6">
        <f>IFERROR(__xludf.DUMMYFUNCTION("""COMPUTED_VALUE"""),9953.0)</f>
        <v>9953</v>
      </c>
      <c r="D272" s="7" t="str">
        <f>IFERROR(__xludf.DUMMYFUNCTION("""COMPUTED_VALUE"""),"Rusi Demirev Asenov")</f>
        <v>Rusi Demirev Asenov</v>
      </c>
      <c r="E272" s="7" t="str">
        <f>IFERROR(__xludf.DUMMYFUNCTION("""COMPUTED_VALUE"""),"SBI-code: 53202 - Koeriers")</f>
        <v>SBI-code: 53202 - Koeriers</v>
      </c>
      <c r="F272" s="7" t="str">
        <f>IFERROR(__xludf.DUMMYFUNCTION("""COMPUTED_VALUE"""),"0687765670")</f>
        <v>0687765670</v>
      </c>
      <c r="G272" s="6" t="str">
        <f>IFERROR(__xludf.DUMMYFUNCTION("""COMPUTED_VALUE"""),"asenovrusi4@gmail.com")</f>
        <v>asenovrusi4@gmail.com</v>
      </c>
      <c r="H272" s="6" t="str">
        <f>IFERROR(__xludf.DUMMYFUNCTION("""COMPUTED_VALUE"""),"Maartensdijklaan 28")</f>
        <v>Maartensdijklaan 28</v>
      </c>
      <c r="I272" s="6" t="str">
        <f>IFERROR(__xludf.DUMMYFUNCTION("""COMPUTED_VALUE"""),"2541XR")</f>
        <v>2541XR</v>
      </c>
      <c r="J272" s="6" t="str">
        <f>IFERROR(__xludf.DUMMYFUNCTION("""COMPUTED_VALUE"""),"s-Gravenhage")</f>
        <v>s-Gravenhage</v>
      </c>
      <c r="K272" s="6" t="str">
        <f>IFERROR(__xludf.DUMMYFUNCTION("""COMPUTED_VALUE"""),"Nederland")</f>
        <v>Nederland</v>
      </c>
      <c r="L272" s="6" t="str">
        <f>IFERROR(__xludf.DUMMYFUNCTION("""COMPUTED_VALUE"""),"Асенов")</f>
        <v>Асенов</v>
      </c>
      <c r="M272" s="8">
        <f>IFERROR(__xludf.DUMMYFUNCTION("""COMPUTED_VALUE"""),45658.0)</f>
        <v>45658</v>
      </c>
      <c r="N272" s="6" t="str">
        <f>IFERROR(__xludf.DUMMYFUNCTION("""COMPUTED_VALUE"""),"NL868720471B01")</f>
        <v>NL868720471B01</v>
      </c>
      <c r="O272" s="6">
        <f>IFERROR(__xludf.DUMMYFUNCTION("""COMPUTED_VALUE"""),9.8958089E7)</f>
        <v>98958089</v>
      </c>
      <c r="P272" s="6" t="str">
        <f>IFERROR(__xludf.DUMMYFUNCTION("""COMPUTED_VALUE"""),"NL24INGB0100776671")</f>
        <v>NL24INGB0100776671</v>
      </c>
      <c r="Q272" s="9">
        <f>IFERROR(__xludf.DUMMYFUNCTION("""COMPUTED_VALUE"""),45988.0)</f>
        <v>45988</v>
      </c>
      <c r="R272" s="6"/>
      <c r="S272" s="6" t="str">
        <f>IFERROR(__xludf.DUMMYFUNCTION("""COMPUTED_VALUE"""),"NL868720471B01")</f>
        <v>NL868720471B01</v>
      </c>
      <c r="T272" s="6">
        <f>IFERROR(__xludf.DUMMYFUNCTION("""COMPUTED_VALUE"""),8.68720471E8)</f>
        <v>868720471</v>
      </c>
      <c r="U272" s="7" t="str">
        <f>IFERROR(__xludf.DUMMYFUNCTION("""COMPUTED_VALUE"""),"Vennootschap Onder Firma")</f>
        <v>Vennootschap Onder Firma</v>
      </c>
      <c r="V272" s="7" t="str">
        <f>IFERROR(__xludf.DUMMYFUNCTION("""COMPUTED_VALUE"""),"000050727958")</f>
        <v>000050727958</v>
      </c>
      <c r="W272" s="6" t="str">
        <f>IFERROR(__xludf.DUMMYFUNCTION("""COMPUTED_VALUE"""),"ink.balkanika.2288aa@zarabota.nl")</f>
        <v>ink.balkanika.2288aa@zarabota.nl</v>
      </c>
      <c r="X272" s="6" t="str">
        <f>IFERROR(__xludf.DUMMYFUNCTION("""COMPUTED_VALUE"""),"ver.balkanika.2288aa@zarabota.nl")</f>
        <v>ver.balkanika.2288aa@zarabota.nl</v>
      </c>
      <c r="Y272" s="6" t="str">
        <f>IFERROR(__xludf.DUMMYFUNCTION("""COMPUTED_VALUE"""),"Hr.")</f>
        <v>Hr.</v>
      </c>
      <c r="Z272" s="6" t="str">
        <f>IFERROR(__xludf.DUMMYFUNCTION("""COMPUTED_VALUE"""),"Rusi Demirev")</f>
        <v>Rusi Demirev</v>
      </c>
      <c r="AA272" s="6" t="str">
        <f>IFERROR(__xludf.DUMMYFUNCTION("""COMPUTED_VALUE"""),"Asenov")</f>
        <v>Asenov</v>
      </c>
      <c r="AB272" s="6" t="str">
        <f>IFERROR(__xludf.DUMMYFUNCTION("""COMPUTED_VALUE"""),"R.D.")</f>
        <v>R.D.</v>
      </c>
      <c r="AC272" s="6">
        <f>IFERROR(__xludf.DUMMYFUNCTION("""COMPUTED_VALUE"""),3.73651119E8)</f>
        <v>373651119</v>
      </c>
      <c r="AD272" s="9">
        <f>IFERROR(__xludf.DUMMYFUNCTION("""COMPUTED_VALUE"""),29945.0)</f>
        <v>29945</v>
      </c>
      <c r="AE272" s="6" t="str">
        <f>IFERROR(__xludf.DUMMYFUNCTION("""COMPUTED_VALUE"""),"bg")</f>
        <v>bg</v>
      </c>
      <c r="AF272" s="6" t="str">
        <f>IFERROR(__xludf.DUMMYFUNCTION("""COMPUTED_VALUE"""),"Haskovo")</f>
        <v>Haskovo</v>
      </c>
      <c r="AG272" s="6" t="str">
        <f>IFERROR(__xludf.DUMMYFUNCTION("""COMPUTED_VALUE"""),"Hr. R.D. Asenov")</f>
        <v>Hr. R.D. Asenov</v>
      </c>
      <c r="AH272" s="6"/>
      <c r="AI272" s="6"/>
      <c r="AJ272" s="6" t="str">
        <f>IFERROR(__xludf.DUMMYFUNCTION("""COMPUTED_VALUE"""),"ID Kaart")</f>
        <v>ID Kaart</v>
      </c>
      <c r="AK272" s="6" t="str">
        <f>IFERROR(__xludf.DUMMYFUNCTION("""COMPUTED_VALUE"""),"AA1899546")</f>
        <v>AA1899546</v>
      </c>
      <c r="AL272" s="9">
        <f>IFERROR(__xludf.DUMMYFUNCTION("""COMPUTED_VALUE"""),49189.0)</f>
        <v>49189</v>
      </c>
      <c r="AM272" s="6" t="str">
        <f>IFERROR(__xludf.DUMMYFUNCTION("""COMPUTED_VALUE"""),"Bulgarije")</f>
        <v>Bulgarije</v>
      </c>
      <c r="AN272" s="6" t="str">
        <f>IFERROR(__xludf.DUMMYFUNCTION("""COMPUTED_VALUE"""),"Rusi Demirev Asenov")</f>
        <v>Rusi Demirev Asenov</v>
      </c>
      <c r="AO272" s="6">
        <f>IFERROR(__xludf.DUMMYFUNCTION("""COMPUTED_VALUE"""),9953.0)</f>
        <v>9953</v>
      </c>
    </row>
    <row r="273">
      <c r="A273" s="6" t="str">
        <f>IFERROR(__xludf.DUMMYFUNCTION("""COMPUTED_VALUE"""),"Logtrans B.V. en MSI Transport B.V. Fiscale Eenheid BV")</f>
        <v>Logtrans B.V. en MSI Transport B.V. Fiscale Eenheid BV</v>
      </c>
      <c r="B273" s="6" t="str">
        <f>IFERROR(__xludf.DUMMYFUNCTION("""COMPUTED_VALUE"""),"Logtrans B.V. en MSI Transport B.V. Fiscale Eenheid BV")</f>
        <v>Logtrans B.V. en MSI Transport B.V. Fiscale Eenheid BV</v>
      </c>
      <c r="C273" s="6">
        <f>IFERROR(__xludf.DUMMYFUNCTION("""COMPUTED_VALUE"""),210.0)</f>
        <v>210</v>
      </c>
      <c r="D273" s="7" t="str">
        <f>IFERROR(__xludf.DUMMYFUNCTION("""COMPUTED_VALUE"""),"Muzafer Ismailov Saliev")</f>
        <v>Muzafer Ismailov Saliev</v>
      </c>
      <c r="E273" s="7" t="str">
        <f>IFERROR(__xludf.DUMMYFUNCTION("""COMPUTED_VALUE"""),"SBI-code: 4120 - Algemene burgerlijke en utiliteitsbouw")</f>
        <v>SBI-code: 4120 - Algemene burgerlijke en utiliteitsbouw</v>
      </c>
      <c r="F273" s="7" t="str">
        <f>IFERROR(__xludf.DUMMYFUNCTION("""COMPUTED_VALUE"""),"0655414343")</f>
        <v>0655414343</v>
      </c>
      <c r="G273" s="6" t="str">
        <f>IFERROR(__xludf.DUMMYFUNCTION("""COMPUTED_VALUE"""),"logtransmsife@zzp-nl.nl")</f>
        <v>logtransmsife@zzp-nl.nl</v>
      </c>
      <c r="H273" s="6" t="str">
        <f>IFERROR(__xludf.DUMMYFUNCTION("""COMPUTED_VALUE"""),"Middenstede 3")</f>
        <v>Middenstede 3</v>
      </c>
      <c r="I273" s="6" t="str">
        <f>IFERROR(__xludf.DUMMYFUNCTION("""COMPUTED_VALUE"""),"2543TD")</f>
        <v>2543TD</v>
      </c>
      <c r="J273" s="6" t="str">
        <f>IFERROR(__xludf.DUMMYFUNCTION("""COMPUTED_VALUE"""),"`s-Gravenhage")</f>
        <v>`s-Gravenhage</v>
      </c>
      <c r="K273" s="6" t="str">
        <f>IFERROR(__xludf.DUMMYFUNCTION("""COMPUTED_VALUE"""),"Nederland")</f>
        <v>Nederland</v>
      </c>
      <c r="L273" s="6" t="str">
        <f>IFERROR(__xludf.DUMMYFUNCTION("""COMPUTED_VALUE"""),"Салиев")</f>
        <v>Салиев</v>
      </c>
      <c r="M273" s="8">
        <f>IFERROR(__xludf.DUMMYFUNCTION("""COMPUTED_VALUE"""),43175.0)</f>
        <v>43175</v>
      </c>
      <c r="N273" s="6" t="str">
        <f>IFERROR(__xludf.DUMMYFUNCTION("""COMPUTED_VALUE"""),"NL825609951B01")</f>
        <v>NL825609951B01</v>
      </c>
      <c r="O273" s="6"/>
      <c r="P273" s="6" t="str">
        <f>IFERROR(__xludf.DUMMYFUNCTION("""COMPUTED_VALUE"""),"NL15INGB0006817395")</f>
        <v>NL15INGB0006817395</v>
      </c>
      <c r="Q273" s="9">
        <f>IFERROR(__xludf.DUMMYFUNCTION("""COMPUTED_VALUE"""),39492.0)</f>
        <v>39492</v>
      </c>
      <c r="R273" s="6"/>
      <c r="S273" s="6" t="str">
        <f>IFERROR(__xludf.DUMMYFUNCTION("""COMPUTED_VALUE"""),"NL825609951B01")</f>
        <v>NL825609951B01</v>
      </c>
      <c r="T273" s="6">
        <f>IFERROR(__xludf.DUMMYFUNCTION("""COMPUTED_VALUE"""),8.25609951E8)</f>
        <v>825609951</v>
      </c>
      <c r="U273" s="7" t="str">
        <f>IFERROR(__xludf.DUMMYFUNCTION("""COMPUTED_VALUE"""),"Besloten Vennootschap")</f>
        <v>Besloten Vennootschap</v>
      </c>
      <c r="V273" s="6"/>
      <c r="W273" s="6" t="str">
        <f>IFERROR(__xludf.DUMMYFUNCTION("""COMPUTED_VALUE"""),"ink.logtransenmsitransportfiscaleeenheidbv@zarabot")</f>
        <v>ink.logtransenmsitransportfiscaleeenheidbv@zarabot</v>
      </c>
      <c r="X273" s="6" t="str">
        <f>IFERROR(__xludf.DUMMYFUNCTION("""COMPUTED_VALUE"""),"ver.logtransenmsitransportfiscaleeenheidbv@zarabot")</f>
        <v>ver.logtransenmsitransportfiscaleeenheidbv@zarabot</v>
      </c>
      <c r="Y273" s="6" t="str">
        <f>IFERROR(__xludf.DUMMYFUNCTION("""COMPUTED_VALUE"""),"Hr.")</f>
        <v>Hr.</v>
      </c>
      <c r="Z273" s="6" t="str">
        <f>IFERROR(__xludf.DUMMYFUNCTION("""COMPUTED_VALUE"""),"Muzafer Ismailov")</f>
        <v>Muzafer Ismailov</v>
      </c>
      <c r="AA273" s="6" t="str">
        <f>IFERROR(__xludf.DUMMYFUNCTION("""COMPUTED_VALUE"""),"Saliev")</f>
        <v>Saliev</v>
      </c>
      <c r="AB273" s="6" t="str">
        <f>IFERROR(__xludf.DUMMYFUNCTION("""COMPUTED_VALUE"""),"M.I.")</f>
        <v>M.I.</v>
      </c>
      <c r="AC273" s="6">
        <f>IFERROR(__xludf.DUMMYFUNCTION("""COMPUTED_VALUE"""),2.64234686E8)</f>
        <v>264234686</v>
      </c>
      <c r="AD273" s="9">
        <f>IFERROR(__xludf.DUMMYFUNCTION("""COMPUTED_VALUE"""),26120.0)</f>
        <v>26120</v>
      </c>
      <c r="AE273" s="6" t="str">
        <f>IFERROR(__xludf.DUMMYFUNCTION("""COMPUTED_VALUE"""),"bg")</f>
        <v>bg</v>
      </c>
      <c r="AF273" s="6" t="str">
        <f>IFERROR(__xludf.DUMMYFUNCTION("""COMPUTED_VALUE"""),"Kubrat")</f>
        <v>Kubrat</v>
      </c>
      <c r="AG273" s="6" t="str">
        <f>IFERROR(__xludf.DUMMYFUNCTION("""COMPUTED_VALUE"""),"Hr. M.I. Saliev")</f>
        <v>Hr. M.I. Saliev</v>
      </c>
      <c r="AH273" s="6"/>
      <c r="AI273" s="6"/>
      <c r="AJ273" s="6"/>
      <c r="AK273" s="6"/>
      <c r="AL273" s="6"/>
      <c r="AM273" s="6"/>
      <c r="AN273" s="6" t="str">
        <f>IFERROR(__xludf.DUMMYFUNCTION("""COMPUTED_VALUE"""),"Muzafer Ismailov Saliev")</f>
        <v>Muzafer Ismailov Saliev</v>
      </c>
      <c r="AO273" s="6"/>
    </row>
    <row r="274">
      <c r="A274" s="6" t="str">
        <f>IFERROR(__xludf.DUMMYFUNCTION("""COMPUTED_VALUE"""),"Logtrans BV")</f>
        <v>Logtrans BV</v>
      </c>
      <c r="B274" s="6" t="str">
        <f>IFERROR(__xludf.DUMMYFUNCTION("""COMPUTED_VALUE"""),"Logtrans BV")</f>
        <v>Logtrans BV</v>
      </c>
      <c r="C274" s="6">
        <f>IFERROR(__xludf.DUMMYFUNCTION("""COMPUTED_VALUE"""),210.0)</f>
        <v>210</v>
      </c>
      <c r="D274" s="7" t="str">
        <f>IFERROR(__xludf.DUMMYFUNCTION("""COMPUTED_VALUE"""),"Muzafer Ismailov Saliev")</f>
        <v>Muzafer Ismailov Saliev</v>
      </c>
      <c r="E274" s="7" t="str">
        <f>IFERROR(__xludf.DUMMYFUNCTION("""COMPUTED_VALUE"""),"SBI-code: 4120 - Algemene burgerlijke en utiliteitsbouw")</f>
        <v>SBI-code: 4120 - Algemene burgerlijke en utiliteitsbouw</v>
      </c>
      <c r="F274" s="7" t="str">
        <f>IFERROR(__xludf.DUMMYFUNCTION("""COMPUTED_VALUE"""),"0628994466")</f>
        <v>0628994466</v>
      </c>
      <c r="G274" s="6" t="str">
        <f>IFERROR(__xludf.DUMMYFUNCTION("""COMPUTED_VALUE"""),"info@logtransbv.nl")</f>
        <v>info@logtransbv.nl</v>
      </c>
      <c r="H274" s="6" t="str">
        <f>IFERROR(__xludf.DUMMYFUNCTION("""COMPUTED_VALUE"""),"Zuideinde 2")</f>
        <v>Zuideinde 2</v>
      </c>
      <c r="I274" s="6" t="str">
        <f>IFERROR(__xludf.DUMMYFUNCTION("""COMPUTED_VALUE"""),"2991LK")</f>
        <v>2991LK</v>
      </c>
      <c r="J274" s="6" t="str">
        <f>IFERROR(__xludf.DUMMYFUNCTION("""COMPUTED_VALUE"""),"Barendrecht")</f>
        <v>Barendrecht</v>
      </c>
      <c r="K274" s="6" t="str">
        <f>IFERROR(__xludf.DUMMYFUNCTION("""COMPUTED_VALUE"""),"Nederland")</f>
        <v>Nederland</v>
      </c>
      <c r="L274" s="6" t="str">
        <f>IFERROR(__xludf.DUMMYFUNCTION("""COMPUTED_VALUE"""),"Салиев")</f>
        <v>Салиев</v>
      </c>
      <c r="M274" s="8">
        <f>IFERROR(__xludf.DUMMYFUNCTION("""COMPUTED_VALUE"""),43175.0)</f>
        <v>43175</v>
      </c>
      <c r="N274" s="6" t="str">
        <f>IFERROR(__xludf.DUMMYFUNCTION("""COMPUTED_VALUE"""),"NL854986583B01")</f>
        <v>NL854986583B01</v>
      </c>
      <c r="O274" s="6">
        <f>IFERROR(__xludf.DUMMYFUNCTION("""COMPUTED_VALUE"""),6.2858173E7)</f>
        <v>62858173</v>
      </c>
      <c r="P274" s="6" t="str">
        <f>IFERROR(__xludf.DUMMYFUNCTION("""COMPUTED_VALUE"""),"NL15INGB0006817395")</f>
        <v>NL15INGB0006817395</v>
      </c>
      <c r="Q274" s="9">
        <f>IFERROR(__xludf.DUMMYFUNCTION("""COMPUTED_VALUE"""),39492.0)</f>
        <v>39492</v>
      </c>
      <c r="R274" s="6"/>
      <c r="S274" s="6" t="str">
        <f>IFERROR(__xludf.DUMMYFUNCTION("""COMPUTED_VALUE"""),"NL854986583B01")</f>
        <v>NL854986583B01</v>
      </c>
      <c r="T274" s="6">
        <f>IFERROR(__xludf.DUMMYFUNCTION("""COMPUTED_VALUE"""),8.54986583E8)</f>
        <v>854986583</v>
      </c>
      <c r="U274" s="7" t="str">
        <f>IFERROR(__xludf.DUMMYFUNCTION("""COMPUTED_VALUE"""),"Besloten Vennootschap")</f>
        <v>Besloten Vennootschap</v>
      </c>
      <c r="V274" s="7" t="str">
        <f>IFERROR(__xludf.DUMMYFUNCTION("""COMPUTED_VALUE"""),"000004730186")</f>
        <v>000004730186</v>
      </c>
      <c r="W274" s="6" t="str">
        <f>IFERROR(__xludf.DUMMYFUNCTION("""COMPUTED_VALUE"""),"ink.logtransbv.2288aa@zarabota.nl")</f>
        <v>ink.logtransbv.2288aa@zarabota.nl</v>
      </c>
      <c r="X274" s="6" t="str">
        <f>IFERROR(__xludf.DUMMYFUNCTION("""COMPUTED_VALUE"""),"ver.logtransbv.2288aa@zarabota.nl")</f>
        <v>ver.logtransbv.2288aa@zarabota.nl</v>
      </c>
      <c r="Y274" s="6" t="str">
        <f>IFERROR(__xludf.DUMMYFUNCTION("""COMPUTED_VALUE"""),"Hr.")</f>
        <v>Hr.</v>
      </c>
      <c r="Z274" s="6" t="str">
        <f>IFERROR(__xludf.DUMMYFUNCTION("""COMPUTED_VALUE"""),"Muzafer Ismailov")</f>
        <v>Muzafer Ismailov</v>
      </c>
      <c r="AA274" s="6" t="str">
        <f>IFERROR(__xludf.DUMMYFUNCTION("""COMPUTED_VALUE"""),"Saliev")</f>
        <v>Saliev</v>
      </c>
      <c r="AB274" s="6" t="str">
        <f>IFERROR(__xludf.DUMMYFUNCTION("""COMPUTED_VALUE"""),"M.I.")</f>
        <v>M.I.</v>
      </c>
      <c r="AC274" s="6">
        <f>IFERROR(__xludf.DUMMYFUNCTION("""COMPUTED_VALUE"""),2.64234686E8)</f>
        <v>264234686</v>
      </c>
      <c r="AD274" s="9">
        <f>IFERROR(__xludf.DUMMYFUNCTION("""COMPUTED_VALUE"""),26120.0)</f>
        <v>26120</v>
      </c>
      <c r="AE274" s="6" t="str">
        <f>IFERROR(__xludf.DUMMYFUNCTION("""COMPUTED_VALUE"""),"bg")</f>
        <v>bg</v>
      </c>
      <c r="AF274" s="6" t="str">
        <f>IFERROR(__xludf.DUMMYFUNCTION("""COMPUTED_VALUE"""),"Kubrat")</f>
        <v>Kubrat</v>
      </c>
      <c r="AG274" s="6" t="str">
        <f>IFERROR(__xludf.DUMMYFUNCTION("""COMPUTED_VALUE"""),"Hr. M.I. Saliev")</f>
        <v>Hr. M.I. Saliev</v>
      </c>
      <c r="AH274" s="6"/>
      <c r="AI274" s="6"/>
      <c r="AJ274" s="6"/>
      <c r="AK274" s="6"/>
      <c r="AL274" s="6"/>
      <c r="AM274" s="6"/>
      <c r="AN274" s="6" t="str">
        <f>IFERROR(__xludf.DUMMYFUNCTION("""COMPUTED_VALUE"""),"Muzafer Ismailov Saliev")</f>
        <v>Muzafer Ismailov Saliev</v>
      </c>
      <c r="AO274" s="6"/>
    </row>
    <row r="275">
      <c r="A275" s="6" t="str">
        <f>IFERROR(__xludf.DUMMYFUNCTION("""COMPUTED_VALUE"""),"Loonbedrijf Rumqna")</f>
        <v>Loonbedrijf Rumqna</v>
      </c>
      <c r="B275" s="6" t="str">
        <f>IFERROR(__xludf.DUMMYFUNCTION("""COMPUTED_VALUE"""),"Loonbedrijf Rumqna")</f>
        <v>Loonbedrijf Rumqna</v>
      </c>
      <c r="C275" s="6">
        <f>IFERROR(__xludf.DUMMYFUNCTION("""COMPUTED_VALUE"""),1210.0)</f>
        <v>1210</v>
      </c>
      <c r="D275" s="7" t="str">
        <f>IFERROR(__xludf.DUMMYFUNCTION("""COMPUTED_VALUE"""),"Bozhidar Yuliyanov Emilov")</f>
        <v>Bozhidar Yuliyanov Emilov</v>
      </c>
      <c r="E275" s="7" t="str">
        <f>IFERROR(__xludf.DUMMYFUNCTION("""COMPUTED_VALUE"""),"SBI-code: 0161 - Dienstverlening voor de akker- en/of tuinbouw")</f>
        <v>SBI-code: 0161 - Dienstverlening voor de akker- en/of tuinbouw</v>
      </c>
      <c r="F275" s="7" t="str">
        <f>IFERROR(__xludf.DUMMYFUNCTION("""COMPUTED_VALUE"""),"+310617650214")</f>
        <v>+310617650214</v>
      </c>
      <c r="G275" s="6" t="str">
        <f>IFERROR(__xludf.DUMMYFUNCTION("""COMPUTED_VALUE"""),"_slavchevtihomir1@gmail.com")</f>
        <v>_slavchevtihomir1@gmail.com</v>
      </c>
      <c r="H275" s="6" t="str">
        <f>IFERROR(__xludf.DUMMYFUNCTION("""COMPUTED_VALUE"""),"Dautzenbergstraat 57")</f>
        <v>Dautzenbergstraat 57</v>
      </c>
      <c r="I275" s="6" t="str">
        <f>IFERROR(__xludf.DUMMYFUNCTION("""COMPUTED_VALUE"""),"2523KC")</f>
        <v>2523KC</v>
      </c>
      <c r="J275" s="6" t="str">
        <f>IFERROR(__xludf.DUMMYFUNCTION("""COMPUTED_VALUE"""),"s-Gravenhage")</f>
        <v>s-Gravenhage</v>
      </c>
      <c r="K275" s="6" t="str">
        <f>IFERROR(__xludf.DUMMYFUNCTION("""COMPUTED_VALUE"""),"Nederland")</f>
        <v>Nederland</v>
      </c>
      <c r="L275" s="6" t="str">
        <f>IFERROR(__xludf.DUMMYFUNCTION("""COMPUTED_VALUE"""),"Емилов")</f>
        <v>Емилов</v>
      </c>
      <c r="M275" s="8">
        <f>IFERROR(__xludf.DUMMYFUNCTION("""COMPUTED_VALUE"""),44256.0)</f>
        <v>44256</v>
      </c>
      <c r="N275" s="6" t="str">
        <f>IFERROR(__xludf.DUMMYFUNCTION("""COMPUTED_VALUE"""),"NL526674118B01")</f>
        <v>NL526674118B01</v>
      </c>
      <c r="O275" s="6">
        <f>IFERROR(__xludf.DUMMYFUNCTION("""COMPUTED_VALUE"""),8.203177E7)</f>
        <v>82031770</v>
      </c>
      <c r="P275" s="6" t="str">
        <f>IFERROR(__xludf.DUMMYFUNCTION("""COMPUTED_VALUE"""),"NL87INGB0008516509")</f>
        <v>NL87INGB0008516509</v>
      </c>
      <c r="Q275" s="9">
        <f>IFERROR(__xludf.DUMMYFUNCTION("""COMPUTED_VALUE"""),44256.0)</f>
        <v>44256</v>
      </c>
      <c r="R275" s="6"/>
      <c r="S275" s="6" t="str">
        <f>IFERROR(__xludf.DUMMYFUNCTION("""COMPUTED_VALUE"""),"NL003631429B04")</f>
        <v>NL003631429B04</v>
      </c>
      <c r="T275" s="6">
        <f>IFERROR(__xludf.DUMMYFUNCTION("""COMPUTED_VALUE"""),5.26674118E8)</f>
        <v>526674118</v>
      </c>
      <c r="U275" s="7" t="str">
        <f>IFERROR(__xludf.DUMMYFUNCTION("""COMPUTED_VALUE"""),"Eenmanszaak")</f>
        <v>Eenmanszaak</v>
      </c>
      <c r="V275" s="7" t="str">
        <f>IFERROR(__xludf.DUMMYFUNCTION("""COMPUTED_VALUE"""),"000048287660")</f>
        <v>000048287660</v>
      </c>
      <c r="W275" s="6" t="str">
        <f>IFERROR(__xludf.DUMMYFUNCTION("""COMPUTED_VALUE"""),"ink.rumqnaloon.2288aa@zarabota.nl")</f>
        <v>ink.rumqnaloon.2288aa@zarabota.nl</v>
      </c>
      <c r="X275" s="6" t="str">
        <f>IFERROR(__xludf.DUMMYFUNCTION("""COMPUTED_VALUE"""),"ver.rumqnaloon.2288aa@zarabota.nl")</f>
        <v>ver.rumqnaloon.2288aa@zarabota.nl</v>
      </c>
      <c r="Y275" s="6" t="str">
        <f>IFERROR(__xludf.DUMMYFUNCTION("""COMPUTED_VALUE"""),"Hr.")</f>
        <v>Hr.</v>
      </c>
      <c r="Z275" s="6" t="str">
        <f>IFERROR(__xludf.DUMMYFUNCTION("""COMPUTED_VALUE"""),"Bozhidar Yuliyanov")</f>
        <v>Bozhidar Yuliyanov</v>
      </c>
      <c r="AA275" s="6" t="str">
        <f>IFERROR(__xludf.DUMMYFUNCTION("""COMPUTED_VALUE"""),"Emilov")</f>
        <v>Emilov</v>
      </c>
      <c r="AB275" s="6" t="str">
        <f>IFERROR(__xludf.DUMMYFUNCTION("""COMPUTED_VALUE"""),"B.Y.")</f>
        <v>B.Y.</v>
      </c>
      <c r="AC275" s="6">
        <f>IFERROR(__xludf.DUMMYFUNCTION("""COMPUTED_VALUE"""),5.26674118E8)</f>
        <v>526674118</v>
      </c>
      <c r="AD275" s="9">
        <f>IFERROR(__xludf.DUMMYFUNCTION("""COMPUTED_VALUE"""),33993.0)</f>
        <v>33993</v>
      </c>
      <c r="AE275" s="6" t="str">
        <f>IFERROR(__xludf.DUMMYFUNCTION("""COMPUTED_VALUE"""),"bg")</f>
        <v>bg</v>
      </c>
      <c r="AF275" s="6" t="str">
        <f>IFERROR(__xludf.DUMMYFUNCTION("""COMPUTED_VALUE"""),"Haskovo")</f>
        <v>Haskovo</v>
      </c>
      <c r="AG275" s="6" t="str">
        <f>IFERROR(__xludf.DUMMYFUNCTION("""COMPUTED_VALUE"""),"Hr. B.Y. Emilov")</f>
        <v>Hr. B.Y. Emilov</v>
      </c>
      <c r="AH275" s="6" t="str">
        <f>IFERROR(__xludf.DUMMYFUNCTION("""COMPUTED_VALUE"""),"NL79INGB0663778328")</f>
        <v>NL79INGB0663778328</v>
      </c>
      <c r="AI275" s="9">
        <f>IFERROR(__xludf.DUMMYFUNCTION("""COMPUTED_VALUE"""),43669.0)</f>
        <v>43669</v>
      </c>
      <c r="AJ275" s="6" t="str">
        <f>IFERROR(__xludf.DUMMYFUNCTION("""COMPUTED_VALUE"""),"ID Kaart")</f>
        <v>ID Kaart</v>
      </c>
      <c r="AK275" s="6">
        <f>IFERROR(__xludf.DUMMYFUNCTION("""COMPUTED_VALUE"""),6.46714201E8)</f>
        <v>646714201</v>
      </c>
      <c r="AL275" s="9">
        <f>IFERROR(__xludf.DUMMYFUNCTION("""COMPUTED_VALUE"""),46314.0)</f>
        <v>46314</v>
      </c>
      <c r="AM275" s="6" t="str">
        <f>IFERROR(__xludf.DUMMYFUNCTION("""COMPUTED_VALUE"""),"Bulgarije")</f>
        <v>Bulgarije</v>
      </c>
      <c r="AN275" s="6" t="str">
        <f>IFERROR(__xludf.DUMMYFUNCTION("""COMPUTED_VALUE"""),"Bozhidar Yuliyanov Emilov")</f>
        <v>Bozhidar Yuliyanov Emilov</v>
      </c>
      <c r="AO275" s="6">
        <f>IFERROR(__xludf.DUMMYFUNCTION("""COMPUTED_VALUE"""),1210.0)</f>
        <v>1210</v>
      </c>
    </row>
    <row r="276">
      <c r="A276" s="6" t="str">
        <f>IFERROR(__xludf.DUMMYFUNCTION("""COMPUTED_VALUE"""),"Loonbedrijf Rumqna VOF")</f>
        <v>Loonbedrijf Rumqna VOF</v>
      </c>
      <c r="B276" s="6" t="str">
        <f>IFERROR(__xludf.DUMMYFUNCTION("""COMPUTED_VALUE"""),"Loonbedrijf Rumqna VOF")</f>
        <v>Loonbedrijf Rumqna VOF</v>
      </c>
      <c r="C276" s="6">
        <f>IFERROR(__xludf.DUMMYFUNCTION("""COMPUTED_VALUE"""),1778.0)</f>
        <v>1778</v>
      </c>
      <c r="D276" s="7" t="str">
        <f>IFERROR(__xludf.DUMMYFUNCTION("""COMPUTED_VALUE"""),"Bozhidar Yuliyanov Emilov")</f>
        <v>Bozhidar Yuliyanov Emilov</v>
      </c>
      <c r="E276" s="7" t="str">
        <f>IFERROR(__xludf.DUMMYFUNCTION("""COMPUTED_VALUE"""),"SBI-code: 0161 - Dienstverlening voor de akker- en/of tuinbouw")</f>
        <v>SBI-code: 0161 - Dienstverlening voor de akker- en/of tuinbouw</v>
      </c>
      <c r="F276" s="7" t="str">
        <f>IFERROR(__xludf.DUMMYFUNCTION("""COMPUTED_VALUE"""),"0617650214")</f>
        <v>0617650214</v>
      </c>
      <c r="G276" s="6" t="str">
        <f>IFERROR(__xludf.DUMMYFUNCTION("""COMPUTED_VALUE"""),"slavchevtihomir1@gmail.com")</f>
        <v>slavchevtihomir1@gmail.com</v>
      </c>
      <c r="H276" s="6" t="str">
        <f>IFERROR(__xludf.DUMMYFUNCTION("""COMPUTED_VALUE"""),"Dautzenbergstraat 57")</f>
        <v>Dautzenbergstraat 57</v>
      </c>
      <c r="I276" s="6" t="str">
        <f>IFERROR(__xludf.DUMMYFUNCTION("""COMPUTED_VALUE"""),"2523KC")</f>
        <v>2523KC</v>
      </c>
      <c r="J276" s="6" t="str">
        <f>IFERROR(__xludf.DUMMYFUNCTION("""COMPUTED_VALUE"""),"s-Gravenhage")</f>
        <v>s-Gravenhage</v>
      </c>
      <c r="K276" s="6" t="str">
        <f>IFERROR(__xludf.DUMMYFUNCTION("""COMPUTED_VALUE"""),"Nederland")</f>
        <v>Nederland</v>
      </c>
      <c r="L276" s="6" t="str">
        <f>IFERROR(__xludf.DUMMYFUNCTION("""COMPUTED_VALUE"""),"Емилов")</f>
        <v>Емилов</v>
      </c>
      <c r="M276" s="8">
        <f>IFERROR(__xludf.DUMMYFUNCTION("""COMPUTED_VALUE"""),46082.0)</f>
        <v>46082</v>
      </c>
      <c r="N276" s="6" t="str">
        <f>IFERROR(__xludf.DUMMYFUNCTION("""COMPUTED_VALUE"""),"N")</f>
        <v>N</v>
      </c>
      <c r="O276" s="6"/>
      <c r="P276" s="6" t="str">
        <f>IFERROR(__xludf.DUMMYFUNCTION("""COMPUTED_VALUE"""),"NL87INGB0008516509")</f>
        <v>NL87INGB0008516509</v>
      </c>
      <c r="Q276" s="9">
        <f>IFERROR(__xludf.DUMMYFUNCTION("""COMPUTED_VALUE"""),46082.0)</f>
        <v>46082</v>
      </c>
      <c r="R276" s="6"/>
      <c r="S276" s="6" t="str">
        <f>IFERROR(__xludf.DUMMYFUNCTION("""COMPUTED_VALUE"""),"N")</f>
        <v>N</v>
      </c>
      <c r="T276" s="6"/>
      <c r="U276" s="7" t="str">
        <f>IFERROR(__xludf.DUMMYFUNCTION("""COMPUTED_VALUE"""),"Vennootschap Onder Firma")</f>
        <v>Vennootschap Onder Firma</v>
      </c>
      <c r="V276" s="6"/>
      <c r="W276" s="6" t="str">
        <f>IFERROR(__xludf.DUMMYFUNCTION("""COMPUTED_VALUE"""),"ink.rumqnaloon.2288aa@zarabota.nl")</f>
        <v>ink.rumqnaloon.2288aa@zarabota.nl</v>
      </c>
      <c r="X276" s="6" t="str">
        <f>IFERROR(__xludf.DUMMYFUNCTION("""COMPUTED_VALUE"""),"ver.rumqnaloon.2288aa@zarabota.nl")</f>
        <v>ver.rumqnaloon.2288aa@zarabota.nl</v>
      </c>
      <c r="Y276" s="6" t="str">
        <f>IFERROR(__xludf.DUMMYFUNCTION("""COMPUTED_VALUE"""),"Hr.")</f>
        <v>Hr.</v>
      </c>
      <c r="Z276" s="6" t="str">
        <f>IFERROR(__xludf.DUMMYFUNCTION("""COMPUTED_VALUE"""),"Bozhidar Yuliyanov")</f>
        <v>Bozhidar Yuliyanov</v>
      </c>
      <c r="AA276" s="6" t="str">
        <f>IFERROR(__xludf.DUMMYFUNCTION("""COMPUTED_VALUE"""),"Emilov")</f>
        <v>Emilov</v>
      </c>
      <c r="AB276" s="6" t="str">
        <f>IFERROR(__xludf.DUMMYFUNCTION("""COMPUTED_VALUE"""),"B.Y.")</f>
        <v>B.Y.</v>
      </c>
      <c r="AC276" s="6">
        <f>IFERROR(__xludf.DUMMYFUNCTION("""COMPUTED_VALUE"""),5.26674118E8)</f>
        <v>526674118</v>
      </c>
      <c r="AD276" s="9">
        <f>IFERROR(__xludf.DUMMYFUNCTION("""COMPUTED_VALUE"""),33993.0)</f>
        <v>33993</v>
      </c>
      <c r="AE276" s="6" t="str">
        <f>IFERROR(__xludf.DUMMYFUNCTION("""COMPUTED_VALUE"""),"bg")</f>
        <v>bg</v>
      </c>
      <c r="AF276" s="6" t="str">
        <f>IFERROR(__xludf.DUMMYFUNCTION("""COMPUTED_VALUE"""),"Haskovo")</f>
        <v>Haskovo</v>
      </c>
      <c r="AG276" s="6" t="str">
        <f>IFERROR(__xludf.DUMMYFUNCTION("""COMPUTED_VALUE"""),"Hr. B.Y. Emilov")</f>
        <v>Hr. B.Y. Emilov</v>
      </c>
      <c r="AH276" s="6" t="str">
        <f>IFERROR(__xludf.DUMMYFUNCTION("""COMPUTED_VALUE"""),"NL79INGB0663778328")</f>
        <v>NL79INGB0663778328</v>
      </c>
      <c r="AI276" s="9">
        <f>IFERROR(__xludf.DUMMYFUNCTION("""COMPUTED_VALUE"""),43669.0)</f>
        <v>43669</v>
      </c>
      <c r="AJ276" s="6" t="str">
        <f>IFERROR(__xludf.DUMMYFUNCTION("""COMPUTED_VALUE"""),"ID Kaart")</f>
        <v>ID Kaart</v>
      </c>
      <c r="AK276" s="6">
        <f>IFERROR(__xludf.DUMMYFUNCTION("""COMPUTED_VALUE"""),6.46714201E8)</f>
        <v>646714201</v>
      </c>
      <c r="AL276" s="9">
        <f>IFERROR(__xludf.DUMMYFUNCTION("""COMPUTED_VALUE"""),46314.0)</f>
        <v>46314</v>
      </c>
      <c r="AM276" s="6" t="str">
        <f>IFERROR(__xludf.DUMMYFUNCTION("""COMPUTED_VALUE"""),"Bulgarije")</f>
        <v>Bulgarije</v>
      </c>
      <c r="AN276" s="6" t="str">
        <f>IFERROR(__xludf.DUMMYFUNCTION("""COMPUTED_VALUE"""),"Bozhidar Yuliyanov Emilov")</f>
        <v>Bozhidar Yuliyanov Emilov</v>
      </c>
      <c r="AO276" s="6">
        <f>IFERROR(__xludf.DUMMYFUNCTION("""COMPUTED_VALUE"""),1210.0)</f>
        <v>1210</v>
      </c>
    </row>
    <row r="277">
      <c r="A277" s="6" t="str">
        <f>IFERROR(__xludf.DUMMYFUNCTION("""COMPUTED_VALUE"""),"Loonbedrijf Vasilka")</f>
        <v>Loonbedrijf Vasilka</v>
      </c>
      <c r="B277" s="6" t="str">
        <f>IFERROR(__xludf.DUMMYFUNCTION("""COMPUTED_VALUE"""),"Loonbedrijf Vasilka - KvK Uitschrijving 06-03-2026")</f>
        <v>Loonbedrijf Vasilka - KvK Uitschrijving 06-03-2026</v>
      </c>
      <c r="C277" s="6">
        <f>IFERROR(__xludf.DUMMYFUNCTION("""COMPUTED_VALUE"""),1211.0)</f>
        <v>1211</v>
      </c>
      <c r="D277" s="7" t="str">
        <f>IFERROR(__xludf.DUMMYFUNCTION("""COMPUTED_VALUE"""),"Ana Kamenova Petrova")</f>
        <v>Ana Kamenova Petrova</v>
      </c>
      <c r="E277" s="7" t="str">
        <f>IFERROR(__xludf.DUMMYFUNCTION("""COMPUTED_VALUE"""),"SBI-code: 0161 - Dienstverlening voor de akker- en/of tuinbouw")</f>
        <v>SBI-code: 0161 - Dienstverlening voor de akker- en/of tuinbouw</v>
      </c>
      <c r="F277" s="7" t="str">
        <f>IFERROR(__xludf.DUMMYFUNCTION("""COMPUTED_VALUE"""),"0682133481")</f>
        <v>0682133481</v>
      </c>
      <c r="G277" s="6" t="str">
        <f>IFERROR(__xludf.DUMMYFUNCTION("""COMPUTED_VALUE"""),"emilovaana1@gmail.com")</f>
        <v>emilovaana1@gmail.com</v>
      </c>
      <c r="H277" s="6" t="str">
        <f>IFERROR(__xludf.DUMMYFUNCTION("""COMPUTED_VALUE"""),"Dautzenbergstraat 57")</f>
        <v>Dautzenbergstraat 57</v>
      </c>
      <c r="I277" s="6" t="str">
        <f>IFERROR(__xludf.DUMMYFUNCTION("""COMPUTED_VALUE"""),"2523KC")</f>
        <v>2523KC</v>
      </c>
      <c r="J277" s="6" t="str">
        <f>IFERROR(__xludf.DUMMYFUNCTION("""COMPUTED_VALUE"""),"s-Gravenhage")</f>
        <v>s-Gravenhage</v>
      </c>
      <c r="K277" s="6" t="str">
        <f>IFERROR(__xludf.DUMMYFUNCTION("""COMPUTED_VALUE"""),"Nederland")</f>
        <v>Nederland</v>
      </c>
      <c r="L277" s="6" t="str">
        <f>IFERROR(__xludf.DUMMYFUNCTION("""COMPUTED_VALUE"""),"Петрова")</f>
        <v>Петрова</v>
      </c>
      <c r="M277" s="8">
        <f>IFERROR(__xludf.DUMMYFUNCTION("""COMPUTED_VALUE"""),44287.0)</f>
        <v>44287</v>
      </c>
      <c r="N277" s="6" t="str">
        <f>IFERROR(__xludf.DUMMYFUNCTION("""COMPUTED_VALUE"""),"NL498069904B01")</f>
        <v>NL498069904B01</v>
      </c>
      <c r="O277" s="6">
        <f>IFERROR(__xludf.DUMMYFUNCTION("""COMPUTED_VALUE"""),8.2460183E7)</f>
        <v>82460183</v>
      </c>
      <c r="P277" s="6" t="str">
        <f>IFERROR(__xludf.DUMMYFUNCTION("""COMPUTED_VALUE"""),"NL68INGB0006704794")</f>
        <v>NL68INGB0006704794</v>
      </c>
      <c r="Q277" s="9">
        <f>IFERROR(__xludf.DUMMYFUNCTION("""COMPUTED_VALUE"""),44287.0)</f>
        <v>44287</v>
      </c>
      <c r="R277" s="6"/>
      <c r="S277" s="6" t="str">
        <f>IFERROR(__xludf.DUMMYFUNCTION("""COMPUTED_VALUE"""),"NL003684680B22")</f>
        <v>NL003684680B22</v>
      </c>
      <c r="T277" s="6">
        <f>IFERROR(__xludf.DUMMYFUNCTION("""COMPUTED_VALUE"""),4.98069904E8)</f>
        <v>498069904</v>
      </c>
      <c r="U277" s="7" t="str">
        <f>IFERROR(__xludf.DUMMYFUNCTION("""COMPUTED_VALUE"""),"Eenmanszaak")</f>
        <v>Eenmanszaak</v>
      </c>
      <c r="V277" s="7" t="str">
        <f>IFERROR(__xludf.DUMMYFUNCTION("""COMPUTED_VALUE"""),"000048690864")</f>
        <v>000048690864</v>
      </c>
      <c r="W277" s="6" t="str">
        <f>IFERROR(__xludf.DUMMYFUNCTION("""COMPUTED_VALUE"""),"ink.vasilkaloon.2288aa@zarabota.nl")</f>
        <v>ink.vasilkaloon.2288aa@zarabota.nl</v>
      </c>
      <c r="X277" s="6" t="str">
        <f>IFERROR(__xludf.DUMMYFUNCTION("""COMPUTED_VALUE"""),"ver.vasilkaloon.2288aa@zarabota.nl")</f>
        <v>ver.vasilkaloon.2288aa@zarabota.nl</v>
      </c>
      <c r="Y277" s="6" t="str">
        <f>IFERROR(__xludf.DUMMYFUNCTION("""COMPUTED_VALUE"""),"Mw.")</f>
        <v>Mw.</v>
      </c>
      <c r="Z277" s="6" t="str">
        <f>IFERROR(__xludf.DUMMYFUNCTION("""COMPUTED_VALUE"""),"Ana Kamenova")</f>
        <v>Ana Kamenova</v>
      </c>
      <c r="AA277" s="6" t="str">
        <f>IFERROR(__xludf.DUMMYFUNCTION("""COMPUTED_VALUE"""),"Petrova")</f>
        <v>Petrova</v>
      </c>
      <c r="AB277" s="6" t="str">
        <f>IFERROR(__xludf.DUMMYFUNCTION("""COMPUTED_VALUE"""),"A.K.")</f>
        <v>A.K.</v>
      </c>
      <c r="AC277" s="6">
        <f>IFERROR(__xludf.DUMMYFUNCTION("""COMPUTED_VALUE"""),4.98069904E8)</f>
        <v>498069904</v>
      </c>
      <c r="AD277" s="9">
        <f>IFERROR(__xludf.DUMMYFUNCTION("""COMPUTED_VALUE"""),34803.0)</f>
        <v>34803</v>
      </c>
      <c r="AE277" s="6" t="str">
        <f>IFERROR(__xludf.DUMMYFUNCTION("""COMPUTED_VALUE"""),"bg")</f>
        <v>bg</v>
      </c>
      <c r="AF277" s="6" t="str">
        <f>IFERROR(__xludf.DUMMYFUNCTION("""COMPUTED_VALUE"""),"Svilengrad")</f>
        <v>Svilengrad</v>
      </c>
      <c r="AG277" s="6" t="str">
        <f>IFERROR(__xludf.DUMMYFUNCTION("""COMPUTED_VALUE"""),"Mw. A.K. Petrova")</f>
        <v>Mw. A.K. Petrova</v>
      </c>
      <c r="AH277" s="6" t="str">
        <f>IFERROR(__xludf.DUMMYFUNCTION("""COMPUTED_VALUE"""),"NL19INGB0663778050")</f>
        <v>NL19INGB0663778050</v>
      </c>
      <c r="AI277" s="9">
        <f>IFERROR(__xludf.DUMMYFUNCTION("""COMPUTED_VALUE"""),43193.0)</f>
        <v>43193</v>
      </c>
      <c r="AJ277" s="6" t="str">
        <f>IFERROR(__xludf.DUMMYFUNCTION("""COMPUTED_VALUE"""),"ID Kaart")</f>
        <v>ID Kaart</v>
      </c>
      <c r="AK277" s="6">
        <f>IFERROR(__xludf.DUMMYFUNCTION("""COMPUTED_VALUE"""),6.44856558E8)</f>
        <v>644856558</v>
      </c>
      <c r="AL277" s="9">
        <f>IFERROR(__xludf.DUMMYFUNCTION("""COMPUTED_VALUE"""),45192.0)</f>
        <v>45192</v>
      </c>
      <c r="AM277" s="6" t="str">
        <f>IFERROR(__xludf.DUMMYFUNCTION("""COMPUTED_VALUE"""),"Bulgarije")</f>
        <v>Bulgarije</v>
      </c>
      <c r="AN277" s="6" t="str">
        <f>IFERROR(__xludf.DUMMYFUNCTION("""COMPUTED_VALUE"""),"Ana Kamenova Petrova")</f>
        <v>Ana Kamenova Petrova</v>
      </c>
      <c r="AO277" s="6">
        <f>IFERROR(__xludf.DUMMYFUNCTION("""COMPUTED_VALUE"""),1211.0)</f>
        <v>1211</v>
      </c>
    </row>
    <row r="278">
      <c r="A278" s="10" t="str">
        <f>IFERROR(__xludf.DUMMYFUNCTION("""COMPUTED_VALUE"""),"LoonShop.nl")</f>
        <v>LoonShop.nl</v>
      </c>
      <c r="B278" s="10" t="str">
        <f>IFERROR(__xludf.DUMMYFUNCTION("""COMPUTED_VALUE"""),"LoonShop.nl")</f>
        <v>LoonShop.nl</v>
      </c>
      <c r="C278" s="6">
        <f>IFERROR(__xludf.DUMMYFUNCTION("""COMPUTED_VALUE"""),614.0)</f>
        <v>614</v>
      </c>
      <c r="D278" s="7" t="str">
        <f>IFERROR(__xludf.DUMMYFUNCTION("""COMPUTED_VALUE"""),"Boratech B.V.")</f>
        <v>Boratech B.V.</v>
      </c>
      <c r="E278" s="7" t="str">
        <f>IFERROR(__xludf.DUMMYFUNCTION("""COMPUTED_VALUE"""),"SBI-code: 4120 - Algemene burgerlijke en utiliteitsbouw")</f>
        <v>SBI-code: 4120 - Algemene burgerlijke en utiliteitsbouw</v>
      </c>
      <c r="F278" s="7" t="str">
        <f>IFERROR(__xludf.DUMMYFUNCTION("""COMPUTED_VALUE"""),"+31707505651")</f>
        <v>+31707505651</v>
      </c>
      <c r="G278" s="6" t="str">
        <f>IFERROR(__xludf.DUMMYFUNCTION("""COMPUTED_VALUE"""),"contact@loonshop.nl")</f>
        <v>contact@loonshop.nl</v>
      </c>
      <c r="H278" s="6" t="str">
        <f>IFERROR(__xludf.DUMMYFUNCTION("""COMPUTED_VALUE"""),"Veraartlaan 4")</f>
        <v>Veraartlaan 4</v>
      </c>
      <c r="I278" s="6" t="str">
        <f>IFERROR(__xludf.DUMMYFUNCTION("""COMPUTED_VALUE"""),"2288GM")</f>
        <v>2288GM</v>
      </c>
      <c r="J278" s="6" t="str">
        <f>IFERROR(__xludf.DUMMYFUNCTION("""COMPUTED_VALUE"""),"Rijswijk")</f>
        <v>Rijswijk</v>
      </c>
      <c r="K278" s="6" t="str">
        <f>IFERROR(__xludf.DUMMYFUNCTION("""COMPUTED_VALUE"""),"Nederland")</f>
        <v>Nederland</v>
      </c>
      <c r="L278" s="6" t="str">
        <f>IFERROR(__xludf.DUMMYFUNCTION("""COMPUTED_VALUE"""),"Рангелов")</f>
        <v>Рангелов</v>
      </c>
      <c r="M278" s="8">
        <f>IFERROR(__xludf.DUMMYFUNCTION("""COMPUTED_VALUE"""),44703.0)</f>
        <v>44703</v>
      </c>
      <c r="N278" s="6" t="str">
        <f>IFERROR(__xludf.DUMMYFUNCTION("""COMPUTED_VALUE"""),"NL859047349B01")</f>
        <v>NL859047349B01</v>
      </c>
      <c r="O278" s="6">
        <f>IFERROR(__xludf.DUMMYFUNCTION("""COMPUTED_VALUE"""),7.2252324E7)</f>
        <v>72252324</v>
      </c>
      <c r="P278" s="6" t="str">
        <f>IFERROR(__xludf.DUMMYFUNCTION("""COMPUTED_VALUE"""),"NL39ABNA0829891021")</f>
        <v>NL39ABNA0829891021</v>
      </c>
      <c r="Q278" s="9">
        <f>IFERROR(__xludf.DUMMYFUNCTION("""COMPUTED_VALUE"""),43311.0)</f>
        <v>43311</v>
      </c>
      <c r="R278" s="6"/>
      <c r="S278" s="6" t="str">
        <f>IFERROR(__xludf.DUMMYFUNCTION("""COMPUTED_VALUE"""),"NL859047349B01")</f>
        <v>NL859047349B01</v>
      </c>
      <c r="T278" s="6">
        <f>IFERROR(__xludf.DUMMYFUNCTION("""COMPUTED_VALUE"""),8.59047349E8)</f>
        <v>859047349</v>
      </c>
      <c r="U278" s="7" t="str">
        <f>IFERROR(__xludf.DUMMYFUNCTION("""COMPUTED_VALUE"""),"Besloten Vennootschap")</f>
        <v>Besloten Vennootschap</v>
      </c>
      <c r="V278" s="7" t="str">
        <f>IFERROR(__xludf.DUMMYFUNCTION("""COMPUTED_VALUE"""),"000040372510")</f>
        <v>000040372510</v>
      </c>
      <c r="W278" s="6"/>
      <c r="X278" s="6"/>
      <c r="Y278" s="6" t="str">
        <f>IFERROR(__xludf.DUMMYFUNCTION("""COMPUTED_VALUE"""),"Hr.")</f>
        <v>Hr.</v>
      </c>
      <c r="Z278" s="6" t="str">
        <f>IFERROR(__xludf.DUMMYFUNCTION("""COMPUTED_VALUE"""),"Evgeny Jivkov")</f>
        <v>Evgeny Jivkov</v>
      </c>
      <c r="AA278" s="6" t="str">
        <f>IFERROR(__xludf.DUMMYFUNCTION("""COMPUTED_VALUE"""),"Rangelov")</f>
        <v>Rangelov</v>
      </c>
      <c r="AB278" s="6" t="str">
        <f>IFERROR(__xludf.DUMMYFUNCTION("""COMPUTED_VALUE"""),"E.J.")</f>
        <v>E.J.</v>
      </c>
      <c r="AC278" s="6">
        <f>IFERROR(__xludf.DUMMYFUNCTION("""COMPUTED_VALUE"""),1.26248175E8)</f>
        <v>126248175</v>
      </c>
      <c r="AD278" s="9">
        <f>IFERROR(__xludf.DUMMYFUNCTION("""COMPUTED_VALUE"""),22107.0)</f>
        <v>22107</v>
      </c>
      <c r="AE278" s="6" t="str">
        <f>IFERROR(__xludf.DUMMYFUNCTION("""COMPUTED_VALUE"""),"bg")</f>
        <v>bg</v>
      </c>
      <c r="AF278" s="6" t="str">
        <f>IFERROR(__xludf.DUMMYFUNCTION("""COMPUTED_VALUE"""),"Varna")</f>
        <v>Varna</v>
      </c>
      <c r="AG278" s="6" t="str">
        <f>IFERROR(__xludf.DUMMYFUNCTION("""COMPUTED_VALUE"""),"Hr. E.J. Rangelov")</f>
        <v>Hr. E.J. Rangelov</v>
      </c>
      <c r="AH278" s="6" t="str">
        <f>IFERROR(__xludf.DUMMYFUNCTION("""COMPUTED_VALUE"""),"NL35ABNA0561170053")</f>
        <v>NL35ABNA0561170053</v>
      </c>
      <c r="AI278" s="6"/>
      <c r="AJ278" s="6"/>
      <c r="AK278" s="6"/>
      <c r="AL278" s="6"/>
      <c r="AM278" s="6" t="str">
        <f>IFERROR(__xludf.DUMMYFUNCTION("""COMPUTED_VALUE"""),"Bulgarije")</f>
        <v>Bulgarije</v>
      </c>
      <c r="AN278" s="6" t="str">
        <f>IFERROR(__xludf.DUMMYFUNCTION("""COMPUTED_VALUE"""),"Evgeny Jivkov Rangelov")</f>
        <v>Evgeny Jivkov Rangelov</v>
      </c>
      <c r="AO278" s="6">
        <f>IFERROR(__xludf.DUMMYFUNCTION("""COMPUTED_VALUE"""),614.0)</f>
        <v>614</v>
      </c>
    </row>
    <row r="279">
      <c r="A279" s="6" t="str">
        <f>IFERROR(__xludf.DUMMYFUNCTION("""COMPUTED_VALUE"""),"Lord66 Steigerbouw")</f>
        <v>Lord66 Steigerbouw</v>
      </c>
      <c r="B279" s="6" t="str">
        <f>IFERROR(__xludf.DUMMYFUNCTION("""COMPUTED_VALUE"""),"Lord66 Steigerbouw")</f>
        <v>Lord66 Steigerbouw</v>
      </c>
      <c r="C279" s="6">
        <f>IFERROR(__xludf.DUMMYFUNCTION("""COMPUTED_VALUE"""),706.0)</f>
        <v>706</v>
      </c>
      <c r="D279" s="7" t="str">
        <f>IFERROR(__xludf.DUMMYFUNCTION("""COMPUTED_VALUE"""),"Yovcho Dimitrov Edrev")</f>
        <v>Yovcho Dimitrov Edrev</v>
      </c>
      <c r="E279" s="7" t="str">
        <f>IFERROR(__xludf.DUMMYFUNCTION("""COMPUTED_VALUE"""),"SBI-code: 4120 - Algemene burgerlijke en utiliteitsbouw")</f>
        <v>SBI-code: 4120 - Algemene burgerlijke en utiliteitsbouw</v>
      </c>
      <c r="F279" s="7" t="str">
        <f>IFERROR(__xludf.DUMMYFUNCTION("""COMPUTED_VALUE"""),"0614475707")</f>
        <v>0614475707</v>
      </c>
      <c r="G279" s="6" t="str">
        <f>IFERROR(__xludf.DUMMYFUNCTION("""COMPUTED_VALUE"""),"vvodosvet83@abv.bg")</f>
        <v>vvodosvet83@abv.bg</v>
      </c>
      <c r="H279" s="6" t="str">
        <f>IFERROR(__xludf.DUMMYFUNCTION("""COMPUTED_VALUE"""),"Flakkeesestraat 101C")</f>
        <v>Flakkeesestraat 101C</v>
      </c>
      <c r="I279" s="6" t="str">
        <f>IFERROR(__xludf.DUMMYFUNCTION("""COMPUTED_VALUE"""),"3083CE")</f>
        <v>3083CE</v>
      </c>
      <c r="J279" s="6" t="str">
        <f>IFERROR(__xludf.DUMMYFUNCTION("""COMPUTED_VALUE"""),"Rotterdam")</f>
        <v>Rotterdam</v>
      </c>
      <c r="K279" s="6" t="str">
        <f>IFERROR(__xludf.DUMMYFUNCTION("""COMPUTED_VALUE"""),"Nederland")</f>
        <v>Nederland</v>
      </c>
      <c r="L279" s="6" t="str">
        <f>IFERROR(__xludf.DUMMYFUNCTION("""COMPUTED_VALUE"""),"Едрев")</f>
        <v>Едрев</v>
      </c>
      <c r="M279" s="8">
        <f>IFERROR(__xludf.DUMMYFUNCTION("""COMPUTED_VALUE"""),43479.0)</f>
        <v>43479</v>
      </c>
      <c r="N279" s="6" t="str">
        <f>IFERROR(__xludf.DUMMYFUNCTION("""COMPUTED_VALUE"""),"NL362335254B01")</f>
        <v>NL362335254B01</v>
      </c>
      <c r="O279" s="6">
        <f>IFERROR(__xludf.DUMMYFUNCTION("""COMPUTED_VALUE"""),7.3757209E7)</f>
        <v>73757209</v>
      </c>
      <c r="P279" s="6" t="str">
        <f>IFERROR(__xludf.DUMMYFUNCTION("""COMPUTED_VALUE"""),"NL78INGB0008745494")</f>
        <v>NL78INGB0008745494</v>
      </c>
      <c r="Q279" s="9">
        <f>IFERROR(__xludf.DUMMYFUNCTION("""COMPUTED_VALUE"""),43479.0)</f>
        <v>43479</v>
      </c>
      <c r="R279" s="6"/>
      <c r="S279" s="6" t="str">
        <f>IFERROR(__xludf.DUMMYFUNCTION("""COMPUTED_VALUE"""),"NL002473433B94")</f>
        <v>NL002473433B94</v>
      </c>
      <c r="T279" s="6">
        <f>IFERROR(__xludf.DUMMYFUNCTION("""COMPUTED_VALUE"""),3.62335254E8)</f>
        <v>362335254</v>
      </c>
      <c r="U279" s="7" t="str">
        <f>IFERROR(__xludf.DUMMYFUNCTION("""COMPUTED_VALUE"""),"Eenmanszaak")</f>
        <v>Eenmanszaak</v>
      </c>
      <c r="V279" s="7" t="str">
        <f>IFERROR(__xludf.DUMMYFUNCTION("""COMPUTED_VALUE"""),"000041763289")</f>
        <v>000041763289</v>
      </c>
      <c r="W279" s="6" t="str">
        <f>IFERROR(__xludf.DUMMYFUNCTION("""COMPUTED_VALUE"""),"ink.lord66steigerbouw.2288aa@zarabota.nl")</f>
        <v>ink.lord66steigerbouw.2288aa@zarabota.nl</v>
      </c>
      <c r="X279" s="6" t="str">
        <f>IFERROR(__xludf.DUMMYFUNCTION("""COMPUTED_VALUE"""),"ver.lord66steigerbouw.2288aa@zarabota.nl")</f>
        <v>ver.lord66steigerbouw.2288aa@zarabota.nl</v>
      </c>
      <c r="Y279" s="6" t="str">
        <f>IFERROR(__xludf.DUMMYFUNCTION("""COMPUTED_VALUE"""),"Hr.")</f>
        <v>Hr.</v>
      </c>
      <c r="Z279" s="6" t="str">
        <f>IFERROR(__xludf.DUMMYFUNCTION("""COMPUTED_VALUE"""),"Yovcho Dimitrov")</f>
        <v>Yovcho Dimitrov</v>
      </c>
      <c r="AA279" s="6" t="str">
        <f>IFERROR(__xludf.DUMMYFUNCTION("""COMPUTED_VALUE"""),"Edrev")</f>
        <v>Edrev</v>
      </c>
      <c r="AB279" s="6" t="str">
        <f>IFERROR(__xludf.DUMMYFUNCTION("""COMPUTED_VALUE"""),"Y.D.")</f>
        <v>Y.D.</v>
      </c>
      <c r="AC279" s="6">
        <f>IFERROR(__xludf.DUMMYFUNCTION("""COMPUTED_VALUE"""),3.62335254E8)</f>
        <v>362335254</v>
      </c>
      <c r="AD279" s="9">
        <f>IFERROR(__xludf.DUMMYFUNCTION("""COMPUTED_VALUE"""),24154.0)</f>
        <v>24154</v>
      </c>
      <c r="AE279" s="6" t="str">
        <f>IFERROR(__xludf.DUMMYFUNCTION("""COMPUTED_VALUE"""),"bg")</f>
        <v>bg</v>
      </c>
      <c r="AF279" s="6" t="str">
        <f>IFERROR(__xludf.DUMMYFUNCTION("""COMPUTED_VALUE"""),"Burgas")</f>
        <v>Burgas</v>
      </c>
      <c r="AG279" s="6" t="str">
        <f>IFERROR(__xludf.DUMMYFUNCTION("""COMPUTED_VALUE"""),"Hr. Y.D. Edrev")</f>
        <v>Hr. Y.D. Edrev</v>
      </c>
      <c r="AH279" s="6" t="str">
        <f>IFERROR(__xludf.DUMMYFUNCTION("""COMPUTED_VALUE"""),"NL39INGB0795086202")</f>
        <v>NL39INGB0795086202</v>
      </c>
      <c r="AI279" s="9">
        <f>IFERROR(__xludf.DUMMYFUNCTION("""COMPUTED_VALUE"""),43472.0)</f>
        <v>43472</v>
      </c>
      <c r="AJ279" s="6" t="str">
        <f>IFERROR(__xludf.DUMMYFUNCTION("""COMPUTED_VALUE"""),"ID Kaart")</f>
        <v>ID Kaart</v>
      </c>
      <c r="AK279" s="6">
        <f>IFERROR(__xludf.DUMMYFUNCTION("""COMPUTED_VALUE"""),6.42971247E8)</f>
        <v>642971247</v>
      </c>
      <c r="AL279" s="9">
        <f>IFERROR(__xludf.DUMMYFUNCTION("""COMPUTED_VALUE"""),44493.0)</f>
        <v>44493</v>
      </c>
      <c r="AM279" s="6"/>
      <c r="AN279" s="6" t="str">
        <f>IFERROR(__xludf.DUMMYFUNCTION("""COMPUTED_VALUE"""),"Yovcho Dimitrov Edrev")</f>
        <v>Yovcho Dimitrov Edrev</v>
      </c>
      <c r="AO279" s="6"/>
    </row>
    <row r="280">
      <c r="A280" s="6" t="str">
        <f>IFERROR(__xludf.DUMMYFUNCTION("""COMPUTED_VALUE"""),"Lubo-M")</f>
        <v>Lubo-M</v>
      </c>
      <c r="B280" s="6" t="str">
        <f>IFERROR(__xludf.DUMMYFUNCTION("""COMPUTED_VALUE"""),"Lubo-M")</f>
        <v>Lubo-M</v>
      </c>
      <c r="C280" s="6">
        <f>IFERROR(__xludf.DUMMYFUNCTION("""COMPUTED_VALUE"""),205.0)</f>
        <v>205</v>
      </c>
      <c r="D280" s="7" t="str">
        <f>IFERROR(__xludf.DUMMYFUNCTION("""COMPUTED_VALUE"""),"Lyuben Kostadinov Hadzhiev")</f>
        <v>Lyuben Kostadinov Hadzhiev</v>
      </c>
      <c r="E280" s="7" t="str">
        <f>IFERROR(__xludf.DUMMYFUNCTION("""COMPUTED_VALUE"""),"SBI-code: 2562 - Algemene metaalbewerking")</f>
        <v>SBI-code: 2562 - Algemene metaalbewerking</v>
      </c>
      <c r="F280" s="7" t="str">
        <f>IFERROR(__xludf.DUMMYFUNCTION("""COMPUTED_VALUE"""),"0687257411")</f>
        <v>0687257411</v>
      </c>
      <c r="G280" s="6" t="str">
        <f>IFERROR(__xludf.DUMMYFUNCTION("""COMPUTED_VALUE"""),"lubo73@hotmail.com")</f>
        <v>lubo73@hotmail.com</v>
      </c>
      <c r="H280" s="6" t="str">
        <f>IFERROR(__xludf.DUMMYFUNCTION("""COMPUTED_VALUE"""),"De Genestetlaan 68")</f>
        <v>De Genestetlaan 68</v>
      </c>
      <c r="I280" s="6" t="str">
        <f>IFERROR(__xludf.DUMMYFUNCTION("""COMPUTED_VALUE"""),"2522LP")</f>
        <v>2522LP</v>
      </c>
      <c r="J280" s="6" t="str">
        <f>IFERROR(__xludf.DUMMYFUNCTION("""COMPUTED_VALUE"""),"s-Gravenhage")</f>
        <v>s-Gravenhage</v>
      </c>
      <c r="K280" s="6" t="str">
        <f>IFERROR(__xludf.DUMMYFUNCTION("""COMPUTED_VALUE"""),"Nederland")</f>
        <v>Nederland</v>
      </c>
      <c r="L280" s="6" t="str">
        <f>IFERROR(__xludf.DUMMYFUNCTION("""COMPUTED_VALUE"""),"Хаджиев")</f>
        <v>Хаджиев</v>
      </c>
      <c r="M280" s="8">
        <f>IFERROR(__xludf.DUMMYFUNCTION("""COMPUTED_VALUE"""),43175.0)</f>
        <v>43175</v>
      </c>
      <c r="N280" s="6" t="str">
        <f>IFERROR(__xludf.DUMMYFUNCTION("""COMPUTED_VALUE"""),"NL002464347B97")</f>
        <v>NL002464347B97</v>
      </c>
      <c r="O280" s="6">
        <f>IFERROR(__xludf.DUMMYFUNCTION("""COMPUTED_VALUE"""),6.2860992E7)</f>
        <v>62860992</v>
      </c>
      <c r="P280" s="6" t="str">
        <f>IFERROR(__xludf.DUMMYFUNCTION("""COMPUTED_VALUE"""),"NL96INGB0006817586")</f>
        <v>NL96INGB0006817586</v>
      </c>
      <c r="Q280" s="9">
        <f>IFERROR(__xludf.DUMMYFUNCTION("""COMPUTED_VALUE"""),42076.0)</f>
        <v>42076</v>
      </c>
      <c r="R280" s="6"/>
      <c r="S280" s="6" t="str">
        <f>IFERROR(__xludf.DUMMYFUNCTION("""COMPUTED_VALUE"""),"NL002464347B97")</f>
        <v>NL002464347B97</v>
      </c>
      <c r="T280" s="6">
        <f>IFERROR(__xludf.DUMMYFUNCTION("""COMPUTED_VALUE"""),2.93262135E8)</f>
        <v>293262135</v>
      </c>
      <c r="U280" s="7" t="str">
        <f>IFERROR(__xludf.DUMMYFUNCTION("""COMPUTED_VALUE"""),"Eenmanszaak")</f>
        <v>Eenmanszaak</v>
      </c>
      <c r="V280" s="7" t="str">
        <f>IFERROR(__xludf.DUMMYFUNCTION("""COMPUTED_VALUE"""),"000031832806")</f>
        <v>000031832806</v>
      </c>
      <c r="W280" s="6" t="str">
        <f>IFERROR(__xludf.DUMMYFUNCTION("""COMPUTED_VALUE"""),"ink.lubo-m.2288aa@zarabota.nl")</f>
        <v>ink.lubo-m.2288aa@zarabota.nl</v>
      </c>
      <c r="X280" s="6" t="str">
        <f>IFERROR(__xludf.DUMMYFUNCTION("""COMPUTED_VALUE"""),"ver.lubo-m.2288aa@zarabota.nl")</f>
        <v>ver.lubo-m.2288aa@zarabota.nl</v>
      </c>
      <c r="Y280" s="6" t="str">
        <f>IFERROR(__xludf.DUMMYFUNCTION("""COMPUTED_VALUE"""),"Hr.")</f>
        <v>Hr.</v>
      </c>
      <c r="Z280" s="6" t="str">
        <f>IFERROR(__xludf.DUMMYFUNCTION("""COMPUTED_VALUE"""),"Lyuben Kostadinov")</f>
        <v>Lyuben Kostadinov</v>
      </c>
      <c r="AA280" s="6" t="str">
        <f>IFERROR(__xludf.DUMMYFUNCTION("""COMPUTED_VALUE"""),"Hadzhiev")</f>
        <v>Hadzhiev</v>
      </c>
      <c r="AB280" s="6" t="str">
        <f>IFERROR(__xludf.DUMMYFUNCTION("""COMPUTED_VALUE"""),"L.K.")</f>
        <v>L.K.</v>
      </c>
      <c r="AC280" s="6">
        <f>IFERROR(__xludf.DUMMYFUNCTION("""COMPUTED_VALUE"""),2.93262135E8)</f>
        <v>293262135</v>
      </c>
      <c r="AD280" s="9">
        <f>IFERROR(__xludf.DUMMYFUNCTION("""COMPUTED_VALUE"""),26678.0)</f>
        <v>26678</v>
      </c>
      <c r="AE280" s="6" t="str">
        <f>IFERROR(__xludf.DUMMYFUNCTION("""COMPUTED_VALUE"""),"bg")</f>
        <v>bg</v>
      </c>
      <c r="AF280" s="6" t="str">
        <f>IFERROR(__xludf.DUMMYFUNCTION("""COMPUTED_VALUE"""),"Byal Izvor")</f>
        <v>Byal Izvor</v>
      </c>
      <c r="AG280" s="6" t="str">
        <f>IFERROR(__xludf.DUMMYFUNCTION("""COMPUTED_VALUE"""),"Hr. L.K. Hadzhiev")</f>
        <v>Hr. L.K. Hadzhiev</v>
      </c>
      <c r="AH280" s="6"/>
      <c r="AI280" s="6"/>
      <c r="AJ280" s="6"/>
      <c r="AK280" s="6"/>
      <c r="AL280" s="6"/>
      <c r="AM280" s="6"/>
      <c r="AN280" s="6" t="str">
        <f>IFERROR(__xludf.DUMMYFUNCTION("""COMPUTED_VALUE"""),"Lyuben Kostadinov Hadzhiev")</f>
        <v>Lyuben Kostadinov Hadzhiev</v>
      </c>
      <c r="AO280" s="6"/>
    </row>
    <row r="281">
      <c r="A281" s="6" t="str">
        <f>IFERROR(__xludf.DUMMYFUNCTION("""COMPUTED_VALUE"""),"Lupi Service Vania VOF")</f>
        <v>Lupi Service Vania VOF</v>
      </c>
      <c r="B281" s="6" t="str">
        <f>IFERROR(__xludf.DUMMYFUNCTION("""COMPUTED_VALUE"""),"Lupi Service Vania VOF")</f>
        <v>Lupi Service Vania VOF</v>
      </c>
      <c r="C281" s="6">
        <f>IFERROR(__xludf.DUMMYFUNCTION("""COMPUTED_VALUE"""),1609.0)</f>
        <v>1609</v>
      </c>
      <c r="D281" s="7" t="str">
        <f>IFERROR(__xludf.DUMMYFUNCTION("""COMPUTED_VALUE"""),"Lyubomir Rumenov Yankov")</f>
        <v>Lyubomir Rumenov Yankov</v>
      </c>
      <c r="E281" s="7" t="str">
        <f>IFERROR(__xludf.DUMMYFUNCTION("""COMPUTED_VALUE"""),"SBI-code: 4120 - Algemene burgerlijke en utiliteitsbouw")</f>
        <v>SBI-code: 4120 - Algemene burgerlijke en utiliteitsbouw</v>
      </c>
      <c r="F281" s="7" t="str">
        <f>IFERROR(__xludf.DUMMYFUNCTION("""COMPUTED_VALUE"""),"0630757572")</f>
        <v>0630757572</v>
      </c>
      <c r="G281" s="6" t="str">
        <f>IFERROR(__xludf.DUMMYFUNCTION("""COMPUTED_VALUE"""),"lupimontage@gmail.com")</f>
        <v>lupimontage@gmail.com</v>
      </c>
      <c r="H281" s="6" t="str">
        <f>IFERROR(__xludf.DUMMYFUNCTION("""COMPUTED_VALUE"""),"Aernout Drostkade 6")</f>
        <v>Aernout Drostkade 6</v>
      </c>
      <c r="I281" s="6" t="str">
        <f>IFERROR(__xludf.DUMMYFUNCTION("""COMPUTED_VALUE"""),"2802TN")</f>
        <v>2802TN</v>
      </c>
      <c r="J281" s="6" t="str">
        <f>IFERROR(__xludf.DUMMYFUNCTION("""COMPUTED_VALUE"""),"Gouda")</f>
        <v>Gouda</v>
      </c>
      <c r="K281" s="6" t="str">
        <f>IFERROR(__xludf.DUMMYFUNCTION("""COMPUTED_VALUE"""),"Nederland")</f>
        <v>Nederland</v>
      </c>
      <c r="L281" s="6" t="str">
        <f>IFERROR(__xludf.DUMMYFUNCTION("""COMPUTED_VALUE"""),"Янков")</f>
        <v>Янков</v>
      </c>
      <c r="M281" s="8">
        <f>IFERROR(__xludf.DUMMYFUNCTION("""COMPUTED_VALUE"""),45383.0)</f>
        <v>45383</v>
      </c>
      <c r="N281" s="6" t="str">
        <f>IFERROR(__xludf.DUMMYFUNCTION("""COMPUTED_VALUE"""),"NL866465340B01")</f>
        <v>NL866465340B01</v>
      </c>
      <c r="O281" s="6">
        <f>IFERROR(__xludf.DUMMYFUNCTION("""COMPUTED_VALUE"""),9.3605013E7)</f>
        <v>93605013</v>
      </c>
      <c r="P281" s="6" t="str">
        <f>IFERROR(__xludf.DUMMYFUNCTION("""COMPUTED_VALUE"""),"NL49INGB0105467626")</f>
        <v>NL49INGB0105467626</v>
      </c>
      <c r="Q281" s="9">
        <f>IFERROR(__xludf.DUMMYFUNCTION("""COMPUTED_VALUE"""),45383.0)</f>
        <v>45383</v>
      </c>
      <c r="R281" s="6"/>
      <c r="S281" s="6" t="str">
        <f>IFERROR(__xludf.DUMMYFUNCTION("""COMPUTED_VALUE"""),"NL866465340B01")</f>
        <v>NL866465340B01</v>
      </c>
      <c r="T281" s="6">
        <f>IFERROR(__xludf.DUMMYFUNCTION("""COMPUTED_VALUE"""),8.6646534E8)</f>
        <v>866465340</v>
      </c>
      <c r="U281" s="7" t="str">
        <f>IFERROR(__xludf.DUMMYFUNCTION("""COMPUTED_VALUE"""),"Vennootschap Onder Firma")</f>
        <v>Vennootschap Onder Firma</v>
      </c>
      <c r="V281" s="7" t="str">
        <f>IFERROR(__xludf.DUMMYFUNCTION("""COMPUTED_VALUE"""),"000042395933")</f>
        <v>000042395933</v>
      </c>
      <c r="W281" s="6" t="str">
        <f>IFERROR(__xludf.DUMMYFUNCTION("""COMPUTED_VALUE"""),"ink.lupiservice.2288aa@zarabota.nl")</f>
        <v>ink.lupiservice.2288aa@zarabota.nl</v>
      </c>
      <c r="X281" s="6" t="str">
        <f>IFERROR(__xludf.DUMMYFUNCTION("""COMPUTED_VALUE"""),"ver.lupiservice.2288aa@zarabota.nl")</f>
        <v>ver.lupiservice.2288aa@zarabota.nl</v>
      </c>
      <c r="Y281" s="6" t="str">
        <f>IFERROR(__xludf.DUMMYFUNCTION("""COMPUTED_VALUE"""),"Hr.")</f>
        <v>Hr.</v>
      </c>
      <c r="Z281" s="6" t="str">
        <f>IFERROR(__xludf.DUMMYFUNCTION("""COMPUTED_VALUE"""),"Lyubomir Rumenov")</f>
        <v>Lyubomir Rumenov</v>
      </c>
      <c r="AA281" s="6" t="str">
        <f>IFERROR(__xludf.DUMMYFUNCTION("""COMPUTED_VALUE"""),"Yankov")</f>
        <v>Yankov</v>
      </c>
      <c r="AB281" s="6" t="str">
        <f>IFERROR(__xludf.DUMMYFUNCTION("""COMPUTED_VALUE"""),"L.R.")</f>
        <v>L.R.</v>
      </c>
      <c r="AC281" s="6">
        <f>IFERROR(__xludf.DUMMYFUNCTION("""COMPUTED_VALUE"""),5.42546644E8)</f>
        <v>542546644</v>
      </c>
      <c r="AD281" s="9">
        <f>IFERROR(__xludf.DUMMYFUNCTION("""COMPUTED_VALUE"""),30297.0)</f>
        <v>30297</v>
      </c>
      <c r="AE281" s="6" t="str">
        <f>IFERROR(__xludf.DUMMYFUNCTION("""COMPUTED_VALUE"""),"bg")</f>
        <v>bg</v>
      </c>
      <c r="AF281" s="6" t="str">
        <f>IFERROR(__xludf.DUMMYFUNCTION("""COMPUTED_VALUE"""),"Sandanski")</f>
        <v>Sandanski</v>
      </c>
      <c r="AG281" s="6" t="str">
        <f>IFERROR(__xludf.DUMMYFUNCTION("""COMPUTED_VALUE"""),"Hr. L.R. Yankov")</f>
        <v>Hr. L.R. Yankov</v>
      </c>
      <c r="AH281" s="6"/>
      <c r="AI281" s="6"/>
      <c r="AJ281" s="6" t="str">
        <f>IFERROR(__xludf.DUMMYFUNCTION("""COMPUTED_VALUE"""),"ID Kaart")</f>
        <v>ID Kaart</v>
      </c>
      <c r="AK281" s="6">
        <f>IFERROR(__xludf.DUMMYFUNCTION("""COMPUTED_VALUE"""),6.45539412E8)</f>
        <v>645539412</v>
      </c>
      <c r="AL281" s="9">
        <f>IFERROR(__xludf.DUMMYFUNCTION("""COMPUTED_VALUE"""),45624.0)</f>
        <v>45624</v>
      </c>
      <c r="AM281" s="6" t="str">
        <f>IFERROR(__xludf.DUMMYFUNCTION("""COMPUTED_VALUE"""),"Bulgarije")</f>
        <v>Bulgarije</v>
      </c>
      <c r="AN281" s="6" t="str">
        <f>IFERROR(__xludf.DUMMYFUNCTION("""COMPUTED_VALUE"""),"Lyubomir Rumenov Yankov")</f>
        <v>Lyubomir Rumenov Yankov</v>
      </c>
      <c r="AO281" s="6">
        <f>IFERROR(__xludf.DUMMYFUNCTION("""COMPUTED_VALUE"""),1608.0)</f>
        <v>1608</v>
      </c>
    </row>
    <row r="282">
      <c r="A282" s="6" t="str">
        <f>IFERROR(__xludf.DUMMYFUNCTION("""COMPUTED_VALUE"""),"Lyatif Handelsonderneming")</f>
        <v>Lyatif Handelsonderneming</v>
      </c>
      <c r="B282" s="6" t="str">
        <f>IFERROR(__xludf.DUMMYFUNCTION("""COMPUTED_VALUE"""),"Lyatif Handelsonderneming")</f>
        <v>Lyatif Handelsonderneming</v>
      </c>
      <c r="C282" s="6">
        <f>IFERROR(__xludf.DUMMYFUNCTION("""COMPUTED_VALUE"""),17.0)</f>
        <v>17</v>
      </c>
      <c r="D282" s="7" t="str">
        <f>IFERROR(__xludf.DUMMYFUNCTION("""COMPUTED_VALUE"""),"Revtin Lyatif Myuslyum")</f>
        <v>Revtin Lyatif Myuslyum</v>
      </c>
      <c r="E282" s="7" t="str">
        <f>IFERROR(__xludf.DUMMYFUNCTION("""COMPUTED_VALUE"""),"SBI-code: 4120 - Algemene burgerlijke en utiliteitsbouw")</f>
        <v>SBI-code: 4120 - Algemene burgerlijke en utiliteitsbouw</v>
      </c>
      <c r="F282" s="7" t="str">
        <f>IFERROR(__xludf.DUMMYFUNCTION("""COMPUTED_VALUE"""),"0642088177")</f>
        <v>0642088177</v>
      </c>
      <c r="G282" s="6" t="str">
        <f>IFERROR(__xludf.DUMMYFUNCTION("""COMPUTED_VALUE"""),"rafi_1974@hotmail.com")</f>
        <v>rafi_1974@hotmail.com</v>
      </c>
      <c r="H282" s="6" t="str">
        <f>IFERROR(__xludf.DUMMYFUNCTION("""COMPUTED_VALUE"""),"Soesdijksekade 727")</f>
        <v>Soesdijksekade 727</v>
      </c>
      <c r="I282" s="6" t="str">
        <f>IFERROR(__xludf.DUMMYFUNCTION("""COMPUTED_VALUE"""),"2574BM")</f>
        <v>2574BM</v>
      </c>
      <c r="J282" s="6" t="str">
        <f>IFERROR(__xludf.DUMMYFUNCTION("""COMPUTED_VALUE"""),"`s-Gravenhage")</f>
        <v>`s-Gravenhage</v>
      </c>
      <c r="K282" s="6" t="str">
        <f>IFERROR(__xludf.DUMMYFUNCTION("""COMPUTED_VALUE"""),"Nederland")</f>
        <v>Nederland</v>
      </c>
      <c r="L282" s="6" t="str">
        <f>IFERROR(__xludf.DUMMYFUNCTION("""COMPUTED_VALUE"""),"Мюслюм")</f>
        <v>Мюслюм</v>
      </c>
      <c r="M282" s="8">
        <f>IFERROR(__xludf.DUMMYFUNCTION("""COMPUTED_VALUE"""),41635.0)</f>
        <v>41635</v>
      </c>
      <c r="N282" s="6" t="str">
        <f>IFERROR(__xludf.DUMMYFUNCTION("""COMPUTED_VALUE"""),"NL265413412B02")</f>
        <v>NL265413412B02</v>
      </c>
      <c r="O282" s="6">
        <f>IFERROR(__xludf.DUMMYFUNCTION("""COMPUTED_VALUE"""),2.7286136E7)</f>
        <v>27286136</v>
      </c>
      <c r="P282" s="6" t="str">
        <f>IFERROR(__xludf.DUMMYFUNCTION("""COMPUTED_VALUE"""),"NL83INGB0005015560")</f>
        <v>NL83INGB0005015560</v>
      </c>
      <c r="Q282" s="9">
        <f>IFERROR(__xludf.DUMMYFUNCTION("""COMPUTED_VALUE"""),38782.0)</f>
        <v>38782</v>
      </c>
      <c r="R282" s="6"/>
      <c r="S282" s="6" t="str">
        <f>IFERROR(__xludf.DUMMYFUNCTION("""COMPUTED_VALUE"""),"NL002458247B95")</f>
        <v>NL002458247B95</v>
      </c>
      <c r="T282" s="6">
        <f>IFERROR(__xludf.DUMMYFUNCTION("""COMPUTED_VALUE"""),2.65413412E8)</f>
        <v>265413412</v>
      </c>
      <c r="U282" s="7" t="str">
        <f>IFERROR(__xludf.DUMMYFUNCTION("""COMPUTED_VALUE"""),"Eenmanszaak")</f>
        <v>Eenmanszaak</v>
      </c>
      <c r="V282" s="7" t="str">
        <f>IFERROR(__xludf.DUMMYFUNCTION("""COMPUTED_VALUE"""),"000007594658")</f>
        <v>000007594658</v>
      </c>
      <c r="W282" s="6" t="str">
        <f>IFERROR(__xludf.DUMMYFUNCTION("""COMPUTED_VALUE"""),"ink.lyatifhandelsonderneming.2288aa@zarabota.nl")</f>
        <v>ink.lyatifhandelsonderneming.2288aa@zarabota.nl</v>
      </c>
      <c r="X282" s="6" t="str">
        <f>IFERROR(__xludf.DUMMYFUNCTION("""COMPUTED_VALUE"""),"ver.lyatifhandelsonderneming.2288aa@zarabota.nl")</f>
        <v>ver.lyatifhandelsonderneming.2288aa@zarabota.nl</v>
      </c>
      <c r="Y282" s="6" t="str">
        <f>IFERROR(__xludf.DUMMYFUNCTION("""COMPUTED_VALUE"""),"Hr.")</f>
        <v>Hr.</v>
      </c>
      <c r="Z282" s="6" t="str">
        <f>IFERROR(__xludf.DUMMYFUNCTION("""COMPUTED_VALUE"""),"Revtin Lyatif")</f>
        <v>Revtin Lyatif</v>
      </c>
      <c r="AA282" s="6" t="str">
        <f>IFERROR(__xludf.DUMMYFUNCTION("""COMPUTED_VALUE"""),"Myuslyum")</f>
        <v>Myuslyum</v>
      </c>
      <c r="AB282" s="6" t="str">
        <f>IFERROR(__xludf.DUMMYFUNCTION("""COMPUTED_VALUE"""),"R.L.")</f>
        <v>R.L.</v>
      </c>
      <c r="AC282" s="6">
        <f>IFERROR(__xludf.DUMMYFUNCTION("""COMPUTED_VALUE"""),2.65413412E8)</f>
        <v>265413412</v>
      </c>
      <c r="AD282" s="9">
        <f>IFERROR(__xludf.DUMMYFUNCTION("""COMPUTED_VALUE"""),27051.0)</f>
        <v>27051</v>
      </c>
      <c r="AE282" s="6" t="str">
        <f>IFERROR(__xludf.DUMMYFUNCTION("""COMPUTED_VALUE"""),"bg")</f>
        <v>bg</v>
      </c>
      <c r="AF282" s="6" t="str">
        <f>IFERROR(__xludf.DUMMYFUNCTION("""COMPUTED_VALUE"""),"Haskovo")</f>
        <v>Haskovo</v>
      </c>
      <c r="AG282" s="6" t="str">
        <f>IFERROR(__xludf.DUMMYFUNCTION("""COMPUTED_VALUE"""),"Hr. R.L. Myuslyum")</f>
        <v>Hr. R.L. Myuslyum</v>
      </c>
      <c r="AH282" s="6"/>
      <c r="AI282" s="6"/>
      <c r="AJ282" s="6" t="str">
        <f>IFERROR(__xludf.DUMMYFUNCTION("""COMPUTED_VALUE"""),"ID Kaart")</f>
        <v>ID Kaart</v>
      </c>
      <c r="AK282" s="6">
        <f>IFERROR(__xludf.DUMMYFUNCTION("""COMPUTED_VALUE"""),6.47787052E8)</f>
        <v>647787052</v>
      </c>
      <c r="AL282" s="9">
        <f>IFERROR(__xludf.DUMMYFUNCTION("""COMPUTED_VALUE"""),46975.0)</f>
        <v>46975</v>
      </c>
      <c r="AM282" s="6"/>
      <c r="AN282" s="6" t="str">
        <f>IFERROR(__xludf.DUMMYFUNCTION("""COMPUTED_VALUE"""),"Revtin Lyatif Myuslyum")</f>
        <v>Revtin Lyatif Myuslyum</v>
      </c>
      <c r="AO282" s="6"/>
    </row>
    <row r="283">
      <c r="A283" s="6" t="str">
        <f>IFERROR(__xludf.DUMMYFUNCTION("""COMPUTED_VALUE"""),"M. Lanko Bouw")</f>
        <v>M. Lanko Bouw</v>
      </c>
      <c r="B283" s="6" t="str">
        <f>IFERROR(__xludf.DUMMYFUNCTION("""COMPUTED_VALUE"""),"M. Lanko Bouw")</f>
        <v>M. Lanko Bouw</v>
      </c>
      <c r="C283" s="6">
        <f>IFERROR(__xludf.DUMMYFUNCTION("""COMPUTED_VALUE"""),775.0)</f>
        <v>775</v>
      </c>
      <c r="D283" s="7" t="str">
        <f>IFERROR(__xludf.DUMMYFUNCTION("""COMPUTED_VALUE"""),"Mykola Vasilovich Lanko")</f>
        <v>Mykola Vasilovich Lanko</v>
      </c>
      <c r="E283" s="7" t="str">
        <f>IFERROR(__xludf.DUMMYFUNCTION("""COMPUTED_VALUE"""),"SBI-code: 4120 - Algemene burgerlijke en utiliteitsbouw")</f>
        <v>SBI-code: 4120 - Algemene burgerlijke en utiliteitsbouw</v>
      </c>
      <c r="F283" s="7" t="str">
        <f>IFERROR(__xludf.DUMMYFUNCTION("""COMPUTED_VALUE"""),"0617168484")</f>
        <v>0617168484</v>
      </c>
      <c r="G283" s="6" t="str">
        <f>IFERROR(__xludf.DUMMYFUNCTION("""COMPUTED_VALUE"""),"kolia21101978@gmail.com")</f>
        <v>kolia21101978@gmail.com</v>
      </c>
      <c r="H283" s="6" t="str">
        <f>IFERROR(__xludf.DUMMYFUNCTION("""COMPUTED_VALUE"""),"Janssoniusstraat 11")</f>
        <v>Janssoniusstraat 11</v>
      </c>
      <c r="I283" s="6" t="str">
        <f>IFERROR(__xludf.DUMMYFUNCTION("""COMPUTED_VALUE"""),"2523HA")</f>
        <v>2523HA</v>
      </c>
      <c r="J283" s="6" t="str">
        <f>IFERROR(__xludf.DUMMYFUNCTION("""COMPUTED_VALUE"""),"s-Gravenhage")</f>
        <v>s-Gravenhage</v>
      </c>
      <c r="K283" s="6" t="str">
        <f>IFERROR(__xludf.DUMMYFUNCTION("""COMPUTED_VALUE"""),"Nederland")</f>
        <v>Nederland</v>
      </c>
      <c r="L283" s="6" t="str">
        <f>IFERROR(__xludf.DUMMYFUNCTION("""COMPUTED_VALUE"""),"Ланько")</f>
        <v>Ланько</v>
      </c>
      <c r="M283" s="8">
        <f>IFERROR(__xludf.DUMMYFUNCTION("""COMPUTED_VALUE"""),43574.0)</f>
        <v>43574</v>
      </c>
      <c r="N283" s="6" t="str">
        <f>IFERROR(__xludf.DUMMYFUNCTION("""COMPUTED_VALUE"""),"NL398636928B01")</f>
        <v>NL398636928B01</v>
      </c>
      <c r="O283" s="6">
        <f>IFERROR(__xludf.DUMMYFUNCTION("""COMPUTED_VALUE"""),7.4627465E7)</f>
        <v>74627465</v>
      </c>
      <c r="P283" s="6" t="str">
        <f>IFERROR(__xludf.DUMMYFUNCTION("""COMPUTED_VALUE"""),"NL52ABNA0860353346")</f>
        <v>NL52ABNA0860353346</v>
      </c>
      <c r="Q283" s="9">
        <f>IFERROR(__xludf.DUMMYFUNCTION("""COMPUTED_VALUE"""),43574.0)</f>
        <v>43574</v>
      </c>
      <c r="R283" s="6"/>
      <c r="S283" s="6" t="str">
        <f>IFERROR(__xludf.DUMMYFUNCTION("""COMPUTED_VALUE"""),"NL002478655B44")</f>
        <v>NL002478655B44</v>
      </c>
      <c r="T283" s="6">
        <f>IFERROR(__xludf.DUMMYFUNCTION("""COMPUTED_VALUE"""),3.98636928E8)</f>
        <v>398636928</v>
      </c>
      <c r="U283" s="7" t="str">
        <f>IFERROR(__xludf.DUMMYFUNCTION("""COMPUTED_VALUE"""),"Eenmanszaak")</f>
        <v>Eenmanszaak</v>
      </c>
      <c r="V283" s="7" t="str">
        <f>IFERROR(__xludf.DUMMYFUNCTION("""COMPUTED_VALUE"""),"000042569826")</f>
        <v>000042569826</v>
      </c>
      <c r="W283" s="6" t="str">
        <f>IFERROR(__xludf.DUMMYFUNCTION("""COMPUTED_VALUE"""),"ink.m.lankobouw.2288aa@zarabota.nl")</f>
        <v>ink.m.lankobouw.2288aa@zarabota.nl</v>
      </c>
      <c r="X283" s="6" t="str">
        <f>IFERROR(__xludf.DUMMYFUNCTION("""COMPUTED_VALUE"""),"ver.m.lankobouw.2288aa@zarabota.nl")</f>
        <v>ver.m.lankobouw.2288aa@zarabota.nl</v>
      </c>
      <c r="Y283" s="6" t="str">
        <f>IFERROR(__xludf.DUMMYFUNCTION("""COMPUTED_VALUE"""),"Hr.")</f>
        <v>Hr.</v>
      </c>
      <c r="Z283" s="6" t="str">
        <f>IFERROR(__xludf.DUMMYFUNCTION("""COMPUTED_VALUE"""),"Mykola Vasylovitsj")</f>
        <v>Mykola Vasylovitsj</v>
      </c>
      <c r="AA283" s="6" t="str">
        <f>IFERROR(__xludf.DUMMYFUNCTION("""COMPUTED_VALUE"""),"Lanko")</f>
        <v>Lanko</v>
      </c>
      <c r="AB283" s="6" t="str">
        <f>IFERROR(__xludf.DUMMYFUNCTION("""COMPUTED_VALUE"""),"M.V.")</f>
        <v>M.V.</v>
      </c>
      <c r="AC283" s="6">
        <f>IFERROR(__xludf.DUMMYFUNCTION("""COMPUTED_VALUE"""),3.98636928E8)</f>
        <v>398636928</v>
      </c>
      <c r="AD283" s="9">
        <f>IFERROR(__xludf.DUMMYFUNCTION("""COMPUTED_VALUE"""),28790.0)</f>
        <v>28790</v>
      </c>
      <c r="AE283" s="6" t="str">
        <f>IFERROR(__xludf.DUMMYFUNCTION("""COMPUTED_VALUE"""),"uk")</f>
        <v>uk</v>
      </c>
      <c r="AF283" s="6" t="str">
        <f>IFERROR(__xludf.DUMMYFUNCTION("""COMPUTED_VALUE"""),"Lviv")</f>
        <v>Lviv</v>
      </c>
      <c r="AG283" s="6" t="str">
        <f>IFERROR(__xludf.DUMMYFUNCTION("""COMPUTED_VALUE"""),"Hr. M.V. Lanko")</f>
        <v>Hr. M.V. Lanko</v>
      </c>
      <c r="AH283" s="6"/>
      <c r="AI283" s="6"/>
      <c r="AJ283" s="6"/>
      <c r="AK283" s="6"/>
      <c r="AL283" s="6"/>
      <c r="AM283" s="6"/>
      <c r="AN283" s="6" t="str">
        <f>IFERROR(__xludf.DUMMYFUNCTION("""COMPUTED_VALUE"""),"Mykola Vasylovitsj Lanko")</f>
        <v>Mykola Vasylovitsj Lanko</v>
      </c>
      <c r="AO283" s="6"/>
    </row>
    <row r="284">
      <c r="A284" s="6" t="str">
        <f>IFERROR(__xludf.DUMMYFUNCTION("""COMPUTED_VALUE"""),"M.D.A. B.V.")</f>
        <v>M.D.A. B.V.</v>
      </c>
      <c r="B284" s="6" t="str">
        <f>IFERROR(__xludf.DUMMYFUNCTION("""COMPUTED_VALUE"""),"M.D.A. B.V. (Estino)")</f>
        <v>M.D.A. B.V. (Estino)</v>
      </c>
      <c r="C284" s="6">
        <f>IFERROR(__xludf.DUMMYFUNCTION("""COMPUTED_VALUE"""),1727.0)</f>
        <v>1727</v>
      </c>
      <c r="D284" s="7" t="str">
        <f>IFERROR(__xludf.DUMMYFUNCTION("""COMPUTED_VALUE"""),"Olesiya Leonidivna Tyagniy")</f>
        <v>Olesiya Leonidivna Tyagniy</v>
      </c>
      <c r="E284" s="7" t="str">
        <f>IFERROR(__xludf.DUMMYFUNCTION("""COMPUTED_VALUE"""),"SBI-code: 46772 - Groothandel in ijzer- en staalschroot en oude non-ferrometalen")</f>
        <v>SBI-code: 46772 - Groothandel in ijzer- en staalschroot en oude non-ferrometalen</v>
      </c>
      <c r="F284" s="7" t="str">
        <f>IFERROR(__xludf.DUMMYFUNCTION("""COMPUTED_VALUE"""),"0613077634")</f>
        <v>0613077634</v>
      </c>
      <c r="G284" s="6" t="str">
        <f>IFERROR(__xludf.DUMMYFUNCTION("""COMPUTED_VALUE"""),"o.tyagniy@home.nl")</f>
        <v>o.tyagniy@home.nl</v>
      </c>
      <c r="H284" s="6" t="str">
        <f>IFERROR(__xludf.DUMMYFUNCTION("""COMPUTED_VALUE"""),"Leiwater 99")</f>
        <v>Leiwater 99</v>
      </c>
      <c r="I284" s="6" t="str">
        <f>IFERROR(__xludf.DUMMYFUNCTION("""COMPUTED_VALUE"""),"2715BB")</f>
        <v>2715BB</v>
      </c>
      <c r="J284" s="6" t="str">
        <f>IFERROR(__xludf.DUMMYFUNCTION("""COMPUTED_VALUE"""),"Zoetermeer")</f>
        <v>Zoetermeer</v>
      </c>
      <c r="K284" s="6" t="str">
        <f>IFERROR(__xludf.DUMMYFUNCTION("""COMPUTED_VALUE"""),"Nederland")</f>
        <v>Nederland</v>
      </c>
      <c r="L284" s="6" t="str">
        <f>IFERROR(__xludf.DUMMYFUNCTION("""COMPUTED_VALUE"""),"Олесия")</f>
        <v>Олесия</v>
      </c>
      <c r="M284" s="8">
        <f>IFERROR(__xludf.DUMMYFUNCTION("""COMPUTED_VALUE"""),45810.0)</f>
        <v>45810</v>
      </c>
      <c r="N284" s="6" t="str">
        <f>IFERROR(__xludf.DUMMYFUNCTION("""COMPUTED_VALUE"""),"NL868038295B01")</f>
        <v>NL868038295B01</v>
      </c>
      <c r="O284" s="6">
        <f>IFERROR(__xludf.DUMMYFUNCTION("""COMPUTED_VALUE"""),9.7407305E7)</f>
        <v>97407305</v>
      </c>
      <c r="P284" s="6" t="str">
        <f>IFERROR(__xludf.DUMMYFUNCTION("""COMPUTED_VALUE"""),"NL71INGB0112679374")</f>
        <v>NL71INGB0112679374</v>
      </c>
      <c r="Q284" s="9">
        <f>IFERROR(__xludf.DUMMYFUNCTION("""COMPUTED_VALUE"""),45810.0)</f>
        <v>45810</v>
      </c>
      <c r="R284" s="6"/>
      <c r="S284" s="6" t="str">
        <f>IFERROR(__xludf.DUMMYFUNCTION("""COMPUTED_VALUE"""),"NL868038295B01")</f>
        <v>NL868038295B01</v>
      </c>
      <c r="T284" s="6">
        <f>IFERROR(__xludf.DUMMYFUNCTION("""COMPUTED_VALUE"""),8.68038295E8)</f>
        <v>868038295</v>
      </c>
      <c r="U284" s="7" t="str">
        <f>IFERROR(__xludf.DUMMYFUNCTION("""COMPUTED_VALUE"""),"Besloten Vennootschap")</f>
        <v>Besloten Vennootschap</v>
      </c>
      <c r="V284" s="7" t="str">
        <f>IFERROR(__xludf.DUMMYFUNCTION("""COMPUTED_VALUE"""),"000062651404")</f>
        <v>000062651404</v>
      </c>
      <c r="W284" s="6" t="str">
        <f>IFERROR(__xludf.DUMMYFUNCTION("""COMPUTED_VALUE"""),"ink.mdabv.2288aa@zarabota.nl")</f>
        <v>ink.mdabv.2288aa@zarabota.nl</v>
      </c>
      <c r="X284" s="6" t="str">
        <f>IFERROR(__xludf.DUMMYFUNCTION("""COMPUTED_VALUE"""),"ver.mdabv.2288aa@zarabota.nl")</f>
        <v>ver.mdabv.2288aa@zarabota.nl</v>
      </c>
      <c r="Y284" s="6" t="str">
        <f>IFERROR(__xludf.DUMMYFUNCTION("""COMPUTED_VALUE"""),"Mw.")</f>
        <v>Mw.</v>
      </c>
      <c r="Z284" s="6" t="str">
        <f>IFERROR(__xludf.DUMMYFUNCTION("""COMPUTED_VALUE"""),"Olesya Leonidivna")</f>
        <v>Olesya Leonidivna</v>
      </c>
      <c r="AA284" s="6" t="str">
        <f>IFERROR(__xludf.DUMMYFUNCTION("""COMPUTED_VALUE"""),"Tyagniy")</f>
        <v>Tyagniy</v>
      </c>
      <c r="AB284" s="6" t="str">
        <f>IFERROR(__xludf.DUMMYFUNCTION("""COMPUTED_VALUE"""),"O.L.")</f>
        <v>O.L.</v>
      </c>
      <c r="AC284" s="6">
        <f>IFERROR(__xludf.DUMMYFUNCTION("""COMPUTED_VALUE"""),2.44718805E8)</f>
        <v>244718805</v>
      </c>
      <c r="AD284" s="9">
        <f>IFERROR(__xludf.DUMMYFUNCTION("""COMPUTED_VALUE"""),29911.0)</f>
        <v>29911</v>
      </c>
      <c r="AE284" s="6" t="str">
        <f>IFERROR(__xludf.DUMMYFUNCTION("""COMPUTED_VALUE"""),"bg")</f>
        <v>bg</v>
      </c>
      <c r="AF284" s="6" t="str">
        <f>IFERROR(__xludf.DUMMYFUNCTION("""COMPUTED_VALUE"""),"Kharkiv")</f>
        <v>Kharkiv</v>
      </c>
      <c r="AG284" s="6" t="str">
        <f>IFERROR(__xludf.DUMMYFUNCTION("""COMPUTED_VALUE"""),"Mw. O.L. Tyagniy")</f>
        <v>Mw. O.L. Tyagniy</v>
      </c>
      <c r="AH284" s="6"/>
      <c r="AI284" s="6"/>
      <c r="AJ284" s="6" t="str">
        <f>IFERROR(__xludf.DUMMYFUNCTION("""COMPUTED_VALUE"""),"Paspoort")</f>
        <v>Paspoort</v>
      </c>
      <c r="AK284" s="6" t="str">
        <f>IFERROR(__xludf.DUMMYFUNCTION("""COMPUTED_VALUE"""),"NR6842H52")</f>
        <v>NR6842H52</v>
      </c>
      <c r="AL284" s="9">
        <f>IFERROR(__xludf.DUMMYFUNCTION("""COMPUTED_VALUE"""),49151.0)</f>
        <v>49151</v>
      </c>
      <c r="AM284" s="6" t="str">
        <f>IFERROR(__xludf.DUMMYFUNCTION("""COMPUTED_VALUE"""),"Sovjet-Unie")</f>
        <v>Sovjet-Unie</v>
      </c>
      <c r="AN284" s="6" t="str">
        <f>IFERROR(__xludf.DUMMYFUNCTION("""COMPUTED_VALUE"""),"Olesya Leonidivna Tyagniy")</f>
        <v>Olesya Leonidivna Tyagniy</v>
      </c>
      <c r="AO284" s="6">
        <f>IFERROR(__xludf.DUMMYFUNCTION("""COMPUTED_VALUE"""),1727.0)</f>
        <v>1727</v>
      </c>
    </row>
    <row r="285">
      <c r="A285" s="6" t="str">
        <f>IFERROR(__xludf.DUMMYFUNCTION("""COMPUTED_VALUE"""),"M.J.N.G Construction")</f>
        <v>M.J.N.G Construction</v>
      </c>
      <c r="B285" s="6" t="str">
        <f>IFERROR(__xludf.DUMMYFUNCTION("""COMPUTED_VALUE"""),"M.J.N.G Construction")</f>
        <v>M.J.N.G Construction</v>
      </c>
      <c r="C285" s="6">
        <f>IFERROR(__xludf.DUMMYFUNCTION("""COMPUTED_VALUE"""),1599.0)</f>
        <v>1599</v>
      </c>
      <c r="D285" s="7" t="str">
        <f>IFERROR(__xludf.DUMMYFUNCTION("""COMPUTED_VALUE"""),"Zhivodar Georgiev Hristov")</f>
        <v>Zhivodar Georgiev Hristov</v>
      </c>
      <c r="E285" s="7" t="str">
        <f>IFERROR(__xludf.DUMMYFUNCTION("""COMPUTED_VALUE"""),"SBI-code: 4120 - Algemene burgerlijke en utiliteitsbouw")</f>
        <v>SBI-code: 4120 - Algemene burgerlijke en utiliteitsbouw</v>
      </c>
      <c r="F285" s="7" t="str">
        <f>IFERROR(__xludf.DUMMYFUNCTION("""COMPUTED_VALUE"""),"0614455802")</f>
        <v>0614455802</v>
      </c>
      <c r="G285" s="6" t="str">
        <f>IFERROR(__xludf.DUMMYFUNCTION("""COMPUTED_VALUE"""),"zivodarhristov@gmail.com")</f>
        <v>zivodarhristov@gmail.com</v>
      </c>
      <c r="H285" s="6" t="str">
        <f>IFERROR(__xludf.DUMMYFUNCTION("""COMPUTED_VALUE"""),"Volendamlaan 108")</f>
        <v>Volendamlaan 108</v>
      </c>
      <c r="I285" s="6" t="str">
        <f>IFERROR(__xludf.DUMMYFUNCTION("""COMPUTED_VALUE"""),"2547CJ")</f>
        <v>2547CJ</v>
      </c>
      <c r="J285" s="6" t="str">
        <f>IFERROR(__xludf.DUMMYFUNCTION("""COMPUTED_VALUE"""),"s-Gravenhage")</f>
        <v>s-Gravenhage</v>
      </c>
      <c r="K285" s="6" t="str">
        <f>IFERROR(__xludf.DUMMYFUNCTION("""COMPUTED_VALUE"""),"Nederland")</f>
        <v>Nederland</v>
      </c>
      <c r="L285" s="6" t="str">
        <f>IFERROR(__xludf.DUMMYFUNCTION("""COMPUTED_VALUE"""),"Христов")</f>
        <v>Христов</v>
      </c>
      <c r="M285" s="8">
        <f>IFERROR(__xludf.DUMMYFUNCTION("""COMPUTED_VALUE"""),45313.0)</f>
        <v>45313</v>
      </c>
      <c r="N285" s="6" t="str">
        <f>IFERROR(__xludf.DUMMYFUNCTION("""COMPUTED_VALUE"""),"NL506169935B01")</f>
        <v>NL506169935B01</v>
      </c>
      <c r="O285" s="6">
        <f>IFERROR(__xludf.DUMMYFUNCTION("""COMPUTED_VALUE"""),9.2837042E7)</f>
        <v>92837042</v>
      </c>
      <c r="P285" s="6" t="str">
        <f>IFERROR(__xludf.DUMMYFUNCTION("""COMPUTED_VALUE"""),"NL54INGB0105755141")</f>
        <v>NL54INGB0105755141</v>
      </c>
      <c r="Q285" s="9">
        <f>IFERROR(__xludf.DUMMYFUNCTION("""COMPUTED_VALUE"""),45313.0)</f>
        <v>45313</v>
      </c>
      <c r="R285" s="6"/>
      <c r="S285" s="6" t="str">
        <f>IFERROR(__xludf.DUMMYFUNCTION("""COMPUTED_VALUE"""),"NL004980983B67")</f>
        <v>NL004980983B67</v>
      </c>
      <c r="T285" s="6">
        <f>IFERROR(__xludf.DUMMYFUNCTION("""COMPUTED_VALUE"""),5.06169935E8)</f>
        <v>506169935</v>
      </c>
      <c r="U285" s="7" t="str">
        <f>IFERROR(__xludf.DUMMYFUNCTION("""COMPUTED_VALUE"""),"Eenmanszaak")</f>
        <v>Eenmanszaak</v>
      </c>
      <c r="V285" s="7" t="str">
        <f>IFERROR(__xludf.DUMMYFUNCTION("""COMPUTED_VALUE"""),"000058416498")</f>
        <v>000058416498</v>
      </c>
      <c r="W285" s="6" t="str">
        <f>IFERROR(__xludf.DUMMYFUNCTION("""COMPUTED_VALUE"""),"ink.mjng.2288aa@zarabota.nl")</f>
        <v>ink.mjng.2288aa@zarabota.nl</v>
      </c>
      <c r="X285" s="6" t="str">
        <f>IFERROR(__xludf.DUMMYFUNCTION("""COMPUTED_VALUE"""),"ver.mjng.2288aa@zarabota.nl")</f>
        <v>ver.mjng.2288aa@zarabota.nl</v>
      </c>
      <c r="Y285" s="6" t="str">
        <f>IFERROR(__xludf.DUMMYFUNCTION("""COMPUTED_VALUE"""),"Hr.")</f>
        <v>Hr.</v>
      </c>
      <c r="Z285" s="6" t="str">
        <f>IFERROR(__xludf.DUMMYFUNCTION("""COMPUTED_VALUE"""),"Zhivodar Georgiev")</f>
        <v>Zhivodar Georgiev</v>
      </c>
      <c r="AA285" s="6" t="str">
        <f>IFERROR(__xludf.DUMMYFUNCTION("""COMPUTED_VALUE"""),"Hristov")</f>
        <v>Hristov</v>
      </c>
      <c r="AB285" s="6" t="str">
        <f>IFERROR(__xludf.DUMMYFUNCTION("""COMPUTED_VALUE"""),"Z.G.")</f>
        <v>Z.G.</v>
      </c>
      <c r="AC285" s="6">
        <f>IFERROR(__xludf.DUMMYFUNCTION("""COMPUTED_VALUE"""),5.06169935E8)</f>
        <v>506169935</v>
      </c>
      <c r="AD285" s="9">
        <f>IFERROR(__xludf.DUMMYFUNCTION("""COMPUTED_VALUE"""),28168.0)</f>
        <v>28168</v>
      </c>
      <c r="AE285" s="6" t="str">
        <f>IFERROR(__xludf.DUMMYFUNCTION("""COMPUTED_VALUE"""),"bg")</f>
        <v>bg</v>
      </c>
      <c r="AF285" s="6" t="str">
        <f>IFERROR(__xludf.DUMMYFUNCTION("""COMPUTED_VALUE"""),"Haskovo")</f>
        <v>Haskovo</v>
      </c>
      <c r="AG285" s="6" t="str">
        <f>IFERROR(__xludf.DUMMYFUNCTION("""COMPUTED_VALUE"""),"Hr. Z.G. Hristov")</f>
        <v>Hr. Z.G. Hristov</v>
      </c>
      <c r="AH285" s="6"/>
      <c r="AI285" s="6"/>
      <c r="AJ285" s="6" t="str">
        <f>IFERROR(__xludf.DUMMYFUNCTION("""COMPUTED_VALUE"""),"ID Kaart")</f>
        <v>ID Kaart</v>
      </c>
      <c r="AK285" s="6">
        <f>IFERROR(__xludf.DUMMYFUNCTION("""COMPUTED_VALUE"""),6.51422817E8)</f>
        <v>651422817</v>
      </c>
      <c r="AL285" s="9">
        <f>IFERROR(__xludf.DUMMYFUNCTION("""COMPUTED_VALUE"""),48225.0)</f>
        <v>48225</v>
      </c>
      <c r="AM285" s="6" t="str">
        <f>IFERROR(__xludf.DUMMYFUNCTION("""COMPUTED_VALUE"""),"Bulgarije")</f>
        <v>Bulgarije</v>
      </c>
      <c r="AN285" s="6" t="str">
        <f>IFERROR(__xludf.DUMMYFUNCTION("""COMPUTED_VALUE"""),"Zhivodar Georgiev Hristov")</f>
        <v>Zhivodar Georgiev Hristov</v>
      </c>
      <c r="AO285" s="6">
        <f>IFERROR(__xludf.DUMMYFUNCTION("""COMPUTED_VALUE"""),1599.0)</f>
        <v>1599</v>
      </c>
    </row>
    <row r="286">
      <c r="A286" s="6" t="str">
        <f>IFERROR(__xludf.DUMMYFUNCTION("""COMPUTED_VALUE"""),"M.L.77")</f>
        <v>M.L.77</v>
      </c>
      <c r="B286" s="6" t="str">
        <f>IFERROR(__xludf.DUMMYFUNCTION("""COMPUTED_VALUE"""),"M.L.77")</f>
        <v>M.L.77</v>
      </c>
      <c r="C286" s="6">
        <f>IFERROR(__xludf.DUMMYFUNCTION("""COMPUTED_VALUE"""),965.0)</f>
        <v>965</v>
      </c>
      <c r="D286" s="7" t="str">
        <f>IFERROR(__xludf.DUMMYFUNCTION("""COMPUTED_VALUE"""),"Ivo Stoyanov Chavdarov")</f>
        <v>Ivo Stoyanov Chavdarov</v>
      </c>
      <c r="E286" s="7" t="str">
        <f>IFERROR(__xludf.DUMMYFUNCTION("""COMPUTED_VALUE"""),"SBI-code: 4120 - Algemene burgerlijke en utiliteitsbouw")</f>
        <v>SBI-code: 4120 - Algemene burgerlijke en utiliteitsbouw</v>
      </c>
      <c r="F286" s="7" t="str">
        <f>IFERROR(__xludf.DUMMYFUNCTION("""COMPUTED_VALUE"""),"0617588535")</f>
        <v>0617588535</v>
      </c>
      <c r="G286" s="6" t="str">
        <f>IFERROR(__xludf.DUMMYFUNCTION("""COMPUTED_VALUE"""),"chavdarov77@gmail.com")</f>
        <v>chavdarov77@gmail.com</v>
      </c>
      <c r="H286" s="6" t="str">
        <f>IFERROR(__xludf.DUMMYFUNCTION("""COMPUTED_VALUE"""),"Hattemlaan 72")</f>
        <v>Hattemlaan 72</v>
      </c>
      <c r="I286" s="6" t="str">
        <f>IFERROR(__xludf.DUMMYFUNCTION("""COMPUTED_VALUE"""),"2573WN")</f>
        <v>2573WN</v>
      </c>
      <c r="J286" s="6" t="str">
        <f>IFERROR(__xludf.DUMMYFUNCTION("""COMPUTED_VALUE"""),"s-Gravenhage")</f>
        <v>s-Gravenhage</v>
      </c>
      <c r="K286" s="6" t="str">
        <f>IFERROR(__xludf.DUMMYFUNCTION("""COMPUTED_VALUE"""),"Nederland")</f>
        <v>Nederland</v>
      </c>
      <c r="L286" s="6" t="str">
        <f>IFERROR(__xludf.DUMMYFUNCTION("""COMPUTED_VALUE"""),"Чавдаров")</f>
        <v>Чавдаров</v>
      </c>
      <c r="M286" s="8">
        <f>IFERROR(__xludf.DUMMYFUNCTION("""COMPUTED_VALUE"""),43922.0)</f>
        <v>43922</v>
      </c>
      <c r="N286" s="6" t="str">
        <f>IFERROR(__xludf.DUMMYFUNCTION("""COMPUTED_VALUE"""),"NL609048235B02")</f>
        <v>NL609048235B02</v>
      </c>
      <c r="O286" s="6">
        <f>IFERROR(__xludf.DUMMYFUNCTION("""COMPUTED_VALUE"""),7.7710533E7)</f>
        <v>77710533</v>
      </c>
      <c r="P286" s="6" t="str">
        <f>IFERROR(__xludf.DUMMYFUNCTION("""COMPUTED_VALUE"""),"NL78INGB0007143539")</f>
        <v>NL78INGB0007143539</v>
      </c>
      <c r="Q286" s="9">
        <f>IFERROR(__xludf.DUMMYFUNCTION("""COMPUTED_VALUE"""),43922.0)</f>
        <v>43922</v>
      </c>
      <c r="R286" s="6"/>
      <c r="S286" s="6" t="str">
        <f>IFERROR(__xludf.DUMMYFUNCTION("""COMPUTED_VALUE"""),"NL003231221B72")</f>
        <v>NL003231221B72</v>
      </c>
      <c r="T286" s="6">
        <f>IFERROR(__xludf.DUMMYFUNCTION("""COMPUTED_VALUE"""),6.09048235E8)</f>
        <v>609048235</v>
      </c>
      <c r="U286" s="7" t="str">
        <f>IFERROR(__xludf.DUMMYFUNCTION("""COMPUTED_VALUE"""),"Eenmanszaak")</f>
        <v>Eenmanszaak</v>
      </c>
      <c r="V286" s="7" t="str">
        <f>IFERROR(__xludf.DUMMYFUNCTION("""COMPUTED_VALUE"""),"000045392528")</f>
        <v>000045392528</v>
      </c>
      <c r="W286" s="6" t="str">
        <f>IFERROR(__xludf.DUMMYFUNCTION("""COMPUTED_VALUE"""),"ink.ml77.2288aa@zarabota.nl")</f>
        <v>ink.ml77.2288aa@zarabota.nl</v>
      </c>
      <c r="X286" s="6" t="str">
        <f>IFERROR(__xludf.DUMMYFUNCTION("""COMPUTED_VALUE"""),"ver.ml77.2288aa@zarabota.nl")</f>
        <v>ver.ml77.2288aa@zarabota.nl</v>
      </c>
      <c r="Y286" s="6" t="str">
        <f>IFERROR(__xludf.DUMMYFUNCTION("""COMPUTED_VALUE"""),"Hr.")</f>
        <v>Hr.</v>
      </c>
      <c r="Z286" s="6" t="str">
        <f>IFERROR(__xludf.DUMMYFUNCTION("""COMPUTED_VALUE"""),"Ivo Stoyanov")</f>
        <v>Ivo Stoyanov</v>
      </c>
      <c r="AA286" s="6" t="str">
        <f>IFERROR(__xludf.DUMMYFUNCTION("""COMPUTED_VALUE"""),"Chavdarov")</f>
        <v>Chavdarov</v>
      </c>
      <c r="AB286" s="6" t="str">
        <f>IFERROR(__xludf.DUMMYFUNCTION("""COMPUTED_VALUE"""),"I.S.")</f>
        <v>I.S.</v>
      </c>
      <c r="AC286" s="6">
        <f>IFERROR(__xludf.DUMMYFUNCTION("""COMPUTED_VALUE"""),6.09048235E8)</f>
        <v>609048235</v>
      </c>
      <c r="AD286" s="9">
        <f>IFERROR(__xludf.DUMMYFUNCTION("""COMPUTED_VALUE"""),28138.0)</f>
        <v>28138</v>
      </c>
      <c r="AE286" s="6" t="str">
        <f>IFERROR(__xludf.DUMMYFUNCTION("""COMPUTED_VALUE"""),"bg")</f>
        <v>bg</v>
      </c>
      <c r="AF286" s="6" t="str">
        <f>IFERROR(__xludf.DUMMYFUNCTION("""COMPUTED_VALUE"""),"Tihomir")</f>
        <v>Tihomir</v>
      </c>
      <c r="AG286" s="6" t="str">
        <f>IFERROR(__xludf.DUMMYFUNCTION("""COMPUTED_VALUE"""),"Hr. I.S. Chavdarov")</f>
        <v>Hr. I.S. Chavdarov</v>
      </c>
      <c r="AH286" s="6" t="str">
        <f>IFERROR(__xludf.DUMMYFUNCTION("""COMPUTED_VALUE"""),"NL04INGB0674633881")</f>
        <v>NL04INGB0674633881</v>
      </c>
      <c r="AI286" s="6"/>
      <c r="AJ286" s="6" t="str">
        <f>IFERROR(__xludf.DUMMYFUNCTION("""COMPUTED_VALUE"""),"ID Kaart")</f>
        <v>ID Kaart</v>
      </c>
      <c r="AK286" s="6">
        <f>IFERROR(__xludf.DUMMYFUNCTION("""COMPUTED_VALUE"""),6.4688365E8)</f>
        <v>646883650</v>
      </c>
      <c r="AL286" s="9">
        <f>IFERROR(__xludf.DUMMYFUNCTION("""COMPUTED_VALUE"""),46476.0)</f>
        <v>46476</v>
      </c>
      <c r="AM286" s="6" t="str">
        <f>IFERROR(__xludf.DUMMYFUNCTION("""COMPUTED_VALUE"""),"Bulgarije")</f>
        <v>Bulgarije</v>
      </c>
      <c r="AN286" s="6" t="str">
        <f>IFERROR(__xludf.DUMMYFUNCTION("""COMPUTED_VALUE"""),"Ivo Stoyanov Chavdarov")</f>
        <v>Ivo Stoyanov Chavdarov</v>
      </c>
      <c r="AO286" s="6"/>
    </row>
    <row r="287">
      <c r="A287" s="6" t="str">
        <f>IFERROR(__xludf.DUMMYFUNCTION("""COMPUTED_VALUE"""),"M.Lanko B.V.")</f>
        <v>M.Lanko B.V.</v>
      </c>
      <c r="B287" s="6" t="str">
        <f>IFERROR(__xludf.DUMMYFUNCTION("""COMPUTED_VALUE"""),"M.Lanko B.V.")</f>
        <v>M.Lanko B.V.</v>
      </c>
      <c r="C287" s="6">
        <f>IFERROR(__xludf.DUMMYFUNCTION("""COMPUTED_VALUE"""),1740.0)</f>
        <v>1740</v>
      </c>
      <c r="D287" s="7" t="str">
        <f>IFERROR(__xludf.DUMMYFUNCTION("""COMPUTED_VALUE"""),"Mykola Vasylovitsj Lanko")</f>
        <v>Mykola Vasylovitsj Lanko</v>
      </c>
      <c r="E287" s="7" t="str">
        <f>IFERROR(__xludf.DUMMYFUNCTION("""COMPUTED_VALUE"""),"SBI-code: 70102 Holdings (geen financiele")</f>
        <v>SBI-code: 70102 Holdings (geen financiele</v>
      </c>
      <c r="F287" s="7" t="str">
        <f>IFERROR(__xludf.DUMMYFUNCTION("""COMPUTED_VALUE"""),"+310617168484")</f>
        <v>+310617168484</v>
      </c>
      <c r="G287" s="6"/>
      <c r="H287" s="6" t="str">
        <f>IFERROR(__xludf.DUMMYFUNCTION("""COMPUTED_VALUE"""),"Janssoniusstraat 11")</f>
        <v>Janssoniusstraat 11</v>
      </c>
      <c r="I287" s="6" t="str">
        <f>IFERROR(__xludf.DUMMYFUNCTION("""COMPUTED_VALUE"""),"2523HA")</f>
        <v>2523HA</v>
      </c>
      <c r="J287" s="6" t="str">
        <f>IFERROR(__xludf.DUMMYFUNCTION("""COMPUTED_VALUE"""),"s-Gravenhage")</f>
        <v>s-Gravenhage</v>
      </c>
      <c r="K287" s="6" t="str">
        <f>IFERROR(__xludf.DUMMYFUNCTION("""COMPUTED_VALUE"""),"Nederland")</f>
        <v>Nederland</v>
      </c>
      <c r="L287" s="6" t="str">
        <f>IFERROR(__xludf.DUMMYFUNCTION("""COMPUTED_VALUE"""),"Ланько")</f>
        <v>Ланько</v>
      </c>
      <c r="M287" s="8">
        <f>IFERROR(__xludf.DUMMYFUNCTION("""COMPUTED_VALUE"""),45939.0)</f>
        <v>45939</v>
      </c>
      <c r="N287" s="6" t="str">
        <f>IFERROR(__xludf.DUMMYFUNCTION("""COMPUTED_VALUE"""),"NL868531455B01")</f>
        <v>NL868531455B01</v>
      </c>
      <c r="O287" s="6">
        <f>IFERROR(__xludf.DUMMYFUNCTION("""COMPUTED_VALUE"""),9.8523376E7)</f>
        <v>98523376</v>
      </c>
      <c r="P287" s="6" t="str">
        <f>IFERROR(__xludf.DUMMYFUNCTION("""COMPUTED_VALUE"""),"NL")</f>
        <v>NL</v>
      </c>
      <c r="Q287" s="9">
        <f>IFERROR(__xludf.DUMMYFUNCTION("""COMPUTED_VALUE"""),45939.0)</f>
        <v>45939</v>
      </c>
      <c r="R287" s="6"/>
      <c r="S287" s="6" t="str">
        <f>IFERROR(__xludf.DUMMYFUNCTION("""COMPUTED_VALUE"""),"NL868531455B01")</f>
        <v>NL868531455B01</v>
      </c>
      <c r="T287" s="6">
        <f>IFERROR(__xludf.DUMMYFUNCTION("""COMPUTED_VALUE"""),8.68531455E8)</f>
        <v>868531455</v>
      </c>
      <c r="U287" s="7" t="str">
        <f>IFERROR(__xludf.DUMMYFUNCTION("""COMPUTED_VALUE"""),"Besloten Vennootschap")</f>
        <v>Besloten Vennootschap</v>
      </c>
      <c r="V287" s="7" t="str">
        <f>IFERROR(__xludf.DUMMYFUNCTION("""COMPUTED_VALUE"""),"000063681056")</f>
        <v>000063681056</v>
      </c>
      <c r="W287" s="6" t="str">
        <f>IFERROR(__xludf.DUMMYFUNCTION("""COMPUTED_VALUE"""),"ink.mlankobv.2288aa@zarabota.nl")</f>
        <v>ink.mlankobv.2288aa@zarabota.nl</v>
      </c>
      <c r="X287" s="6" t="str">
        <f>IFERROR(__xludf.DUMMYFUNCTION("""COMPUTED_VALUE"""),"ver.mlankobv.2288aa@zarabota.nl")</f>
        <v>ver.mlankobv.2288aa@zarabota.nl</v>
      </c>
      <c r="Y287" s="6" t="str">
        <f>IFERROR(__xludf.DUMMYFUNCTION("""COMPUTED_VALUE"""),"Hr.")</f>
        <v>Hr.</v>
      </c>
      <c r="Z287" s="6" t="str">
        <f>IFERROR(__xludf.DUMMYFUNCTION("""COMPUTED_VALUE"""),"Mykola Vasylovitsj")</f>
        <v>Mykola Vasylovitsj</v>
      </c>
      <c r="AA287" s="6" t="str">
        <f>IFERROR(__xludf.DUMMYFUNCTION("""COMPUTED_VALUE"""),"Lanko")</f>
        <v>Lanko</v>
      </c>
      <c r="AB287" s="6" t="str">
        <f>IFERROR(__xludf.DUMMYFUNCTION("""COMPUTED_VALUE"""),"M.V.")</f>
        <v>M.V.</v>
      </c>
      <c r="AC287" s="6">
        <f>IFERROR(__xludf.DUMMYFUNCTION("""COMPUTED_VALUE"""),3.98636928E8)</f>
        <v>398636928</v>
      </c>
      <c r="AD287" s="9">
        <f>IFERROR(__xludf.DUMMYFUNCTION("""COMPUTED_VALUE"""),28790.0)</f>
        <v>28790</v>
      </c>
      <c r="AE287" s="6" t="str">
        <f>IFERROR(__xludf.DUMMYFUNCTION("""COMPUTED_VALUE"""),"uk")</f>
        <v>uk</v>
      </c>
      <c r="AF287" s="6" t="str">
        <f>IFERROR(__xludf.DUMMYFUNCTION("""COMPUTED_VALUE"""),"Lviv")</f>
        <v>Lviv</v>
      </c>
      <c r="AG287" s="6" t="str">
        <f>IFERROR(__xludf.DUMMYFUNCTION("""COMPUTED_VALUE"""),"Hr. M.V. Lanko")</f>
        <v>Hr. M.V. Lanko</v>
      </c>
      <c r="AH287" s="6"/>
      <c r="AI287" s="6"/>
      <c r="AJ287" s="6"/>
      <c r="AK287" s="6"/>
      <c r="AL287" s="6"/>
      <c r="AM287" s="6"/>
      <c r="AN287" s="6" t="str">
        <f>IFERROR(__xludf.DUMMYFUNCTION("""COMPUTED_VALUE"""),"Mykola Vasylovitsj Lanko")</f>
        <v>Mykola Vasylovitsj Lanko</v>
      </c>
      <c r="AO287" s="6">
        <f>IFERROR(__xludf.DUMMYFUNCTION("""COMPUTED_VALUE"""),1740.0)</f>
        <v>1740</v>
      </c>
    </row>
    <row r="288">
      <c r="A288" s="6" t="str">
        <f>IFERROR(__xludf.DUMMYFUNCTION("""COMPUTED_VALUE"""),"M.Y.K. Dienstverlening")</f>
        <v>M.Y.K. Dienstverlening</v>
      </c>
      <c r="B288" s="6" t="str">
        <f>IFERROR(__xludf.DUMMYFUNCTION("""COMPUTED_VALUE"""),"M.Y.K. Dienstverlening")</f>
        <v>M.Y.K. Dienstverlening</v>
      </c>
      <c r="C288" s="6">
        <f>IFERROR(__xludf.DUMMYFUNCTION("""COMPUTED_VALUE"""),1762.0)</f>
        <v>1762</v>
      </c>
      <c r="D288" s="7" t="str">
        <f>IFERROR(__xludf.DUMMYFUNCTION("""COMPUTED_VALUE"""),"Mustafa Kerimov Yuseinov")</f>
        <v>Mustafa Kerimov Yuseinov</v>
      </c>
      <c r="E288" s="7" t="str">
        <f>IFERROR(__xludf.DUMMYFUNCTION("""COMPUTED_VALUE"""),"SBI-code: 4120 - Algemene burgerlijke en utiliteitsbouw")</f>
        <v>SBI-code: 4120 - Algemene burgerlijke en utiliteitsbouw</v>
      </c>
      <c r="F288" s="7" t="str">
        <f>IFERROR(__xludf.DUMMYFUNCTION("""COMPUTED_VALUE"""),"0685352052")</f>
        <v>0685352052</v>
      </c>
      <c r="G288" s="6" t="str">
        <f>IFERROR(__xludf.DUMMYFUNCTION("""COMPUTED_VALUE"""),"mustafabarsa48@gmail.com")</f>
        <v>mustafabarsa48@gmail.com</v>
      </c>
      <c r="H288" s="6" t="str">
        <f>IFERROR(__xludf.DUMMYFUNCTION("""COMPUTED_VALUE"""),"Mathenesserdijk 267 C02")</f>
        <v>Mathenesserdijk 267 C02</v>
      </c>
      <c r="I288" s="6" t="str">
        <f>IFERROR(__xludf.DUMMYFUNCTION("""COMPUTED_VALUE"""),"3027 BN")</f>
        <v>3027 BN</v>
      </c>
      <c r="J288" s="6" t="str">
        <f>IFERROR(__xludf.DUMMYFUNCTION("""COMPUTED_VALUE"""),"Rotterdam")</f>
        <v>Rotterdam</v>
      </c>
      <c r="K288" s="6" t="str">
        <f>IFERROR(__xludf.DUMMYFUNCTION("""COMPUTED_VALUE"""),"Nederland")</f>
        <v>Nederland</v>
      </c>
      <c r="L288" s="6" t="str">
        <f>IFERROR(__xludf.DUMMYFUNCTION("""COMPUTED_VALUE"""),"Мустафа")</f>
        <v>Мустафа</v>
      </c>
      <c r="M288" s="8">
        <f>IFERROR(__xludf.DUMMYFUNCTION("""COMPUTED_VALUE"""),46023.0)</f>
        <v>46023</v>
      </c>
      <c r="N288" s="6" t="str">
        <f>IFERROR(__xludf.DUMMYFUNCTION("""COMPUTED_VALUE"""),"NL390123961B02")</f>
        <v>NL390123961B02</v>
      </c>
      <c r="O288" s="6">
        <f>IFERROR(__xludf.DUMMYFUNCTION("""COMPUTED_VALUE"""),8.9509501E7)</f>
        <v>89509501</v>
      </c>
      <c r="P288" s="6" t="str">
        <f>IFERROR(__xludf.DUMMYFUNCTION("""COMPUTED_VALUE"""),"NL26INGB0100947549")</f>
        <v>NL26INGB0100947549</v>
      </c>
      <c r="Q288" s="9">
        <f>IFERROR(__xludf.DUMMYFUNCTION("""COMPUTED_VALUE"""),44986.0)</f>
        <v>44986</v>
      </c>
      <c r="R288" s="6"/>
      <c r="S288" s="6" t="str">
        <f>IFERROR(__xludf.DUMMYFUNCTION("""COMPUTED_VALUE"""),"NL004735399B81")</f>
        <v>NL004735399B81</v>
      </c>
      <c r="T288" s="6">
        <f>IFERROR(__xludf.DUMMYFUNCTION("""COMPUTED_VALUE"""),3.90123961E8)</f>
        <v>390123961</v>
      </c>
      <c r="U288" s="7" t="str">
        <f>IFERROR(__xludf.DUMMYFUNCTION("""COMPUTED_VALUE"""),"Eenmanszaak")</f>
        <v>Eenmanszaak</v>
      </c>
      <c r="V288" s="7" t="str">
        <f>IFERROR(__xludf.DUMMYFUNCTION("""COMPUTED_VALUE"""),"000055299903")</f>
        <v>000055299903</v>
      </c>
      <c r="W288" s="6" t="str">
        <f>IFERROR(__xludf.DUMMYFUNCTION("""COMPUTED_VALUE"""),"ink.mykdienst.2288aa@zarabota.nl")</f>
        <v>ink.mykdienst.2288aa@zarabota.nl</v>
      </c>
      <c r="X288" s="6" t="str">
        <f>IFERROR(__xludf.DUMMYFUNCTION("""COMPUTED_VALUE"""),"ver.mykdienst.2288aa@zarabota.nl")</f>
        <v>ver.mykdienst.2288aa@zarabota.nl</v>
      </c>
      <c r="Y288" s="6" t="str">
        <f>IFERROR(__xludf.DUMMYFUNCTION("""COMPUTED_VALUE"""),"Hr.")</f>
        <v>Hr.</v>
      </c>
      <c r="Z288" s="6" t="str">
        <f>IFERROR(__xludf.DUMMYFUNCTION("""COMPUTED_VALUE"""),"Mustafa Kerimov")</f>
        <v>Mustafa Kerimov</v>
      </c>
      <c r="AA288" s="6" t="str">
        <f>IFERROR(__xludf.DUMMYFUNCTION("""COMPUTED_VALUE"""),"Yuseinov")</f>
        <v>Yuseinov</v>
      </c>
      <c r="AB288" s="6" t="str">
        <f>IFERROR(__xludf.DUMMYFUNCTION("""COMPUTED_VALUE"""),"M.K.")</f>
        <v>M.K.</v>
      </c>
      <c r="AC288" s="6">
        <f>IFERROR(__xludf.DUMMYFUNCTION("""COMPUTED_VALUE"""),3.90123961E8)</f>
        <v>390123961</v>
      </c>
      <c r="AD288" s="9">
        <f>IFERROR(__xludf.DUMMYFUNCTION("""COMPUTED_VALUE"""),28510.0)</f>
        <v>28510</v>
      </c>
      <c r="AE288" s="6" t="str">
        <f>IFERROR(__xludf.DUMMYFUNCTION("""COMPUTED_VALUE"""),"bg")</f>
        <v>bg</v>
      </c>
      <c r="AF288" s="6" t="str">
        <f>IFERROR(__xludf.DUMMYFUNCTION("""COMPUTED_VALUE"""),"Stara Zagora")</f>
        <v>Stara Zagora</v>
      </c>
      <c r="AG288" s="6" t="str">
        <f>IFERROR(__xludf.DUMMYFUNCTION("""COMPUTED_VALUE"""),"Hr. M.K. Yuseinov")</f>
        <v>Hr. M.K. Yuseinov</v>
      </c>
      <c r="AH288" s="6"/>
      <c r="AI288" s="6"/>
      <c r="AJ288" s="6" t="str">
        <f>IFERROR(__xludf.DUMMYFUNCTION("""COMPUTED_VALUE"""),"ID Kaart")</f>
        <v>ID Kaart</v>
      </c>
      <c r="AK288" s="6">
        <f>IFERROR(__xludf.DUMMYFUNCTION("""COMPUTED_VALUE"""),6.52899357E8)</f>
        <v>652899357</v>
      </c>
      <c r="AL288" s="9">
        <f>IFERROR(__xludf.DUMMYFUNCTION("""COMPUTED_VALUE"""),48935.0)</f>
        <v>48935</v>
      </c>
      <c r="AM288" s="6" t="str">
        <f>IFERROR(__xludf.DUMMYFUNCTION("""COMPUTED_VALUE"""),"Bulgarije")</f>
        <v>Bulgarije</v>
      </c>
      <c r="AN288" s="6" t="str">
        <f>IFERROR(__xludf.DUMMYFUNCTION("""COMPUTED_VALUE"""),"Mustafa Kerimov Yuseinov")</f>
        <v>Mustafa Kerimov Yuseinov</v>
      </c>
      <c r="AO288" s="6">
        <f>IFERROR(__xludf.DUMMYFUNCTION("""COMPUTED_VALUE"""),1762.0)</f>
        <v>1762</v>
      </c>
    </row>
    <row r="289">
      <c r="A289" s="6" t="str">
        <f>IFERROR(__xludf.DUMMYFUNCTION("""COMPUTED_VALUE"""),"Mab 91")</f>
        <v>Mab 91</v>
      </c>
      <c r="B289" s="6" t="str">
        <f>IFERROR(__xludf.DUMMYFUNCTION("""COMPUTED_VALUE"""),"Mab 91")</f>
        <v>Mab 91</v>
      </c>
      <c r="C289" s="6">
        <f>IFERROR(__xludf.DUMMYFUNCTION("""COMPUTED_VALUE"""),239.0)</f>
        <v>239</v>
      </c>
      <c r="D289" s="7" t="str">
        <f>IFERROR(__xludf.DUMMYFUNCTION("""COMPUTED_VALUE"""),"Mehmed Azis Byulyukbashev")</f>
        <v>Mehmed Azis Byulyukbashev</v>
      </c>
      <c r="E289" s="7" t="str">
        <f>IFERROR(__xludf.DUMMYFUNCTION("""COMPUTED_VALUE"""),"SBI-code: 4120 - Algemene burgerlijke en utiliteitsbouw")</f>
        <v>SBI-code: 4120 - Algemene burgerlijke en utiliteitsbouw</v>
      </c>
      <c r="F289" s="7" t="str">
        <f>IFERROR(__xludf.DUMMYFUNCTION("""COMPUTED_VALUE"""),"0684520909")</f>
        <v>0684520909</v>
      </c>
      <c r="G289" s="6" t="str">
        <f>IFERROR(__xludf.DUMMYFUNCTION("""COMPUTED_VALUE"""),"byulyukbashev@gmail.com")</f>
        <v>byulyukbashev@gmail.com</v>
      </c>
      <c r="H289" s="6" t="str">
        <f>IFERROR(__xludf.DUMMYFUNCTION("""COMPUTED_VALUE"""),"Brinckerinckstraat 66A")</f>
        <v>Brinckerinckstraat 66A</v>
      </c>
      <c r="I289" s="6" t="str">
        <f>IFERROR(__xludf.DUMMYFUNCTION("""COMPUTED_VALUE"""),"2531 VE")</f>
        <v>2531 VE</v>
      </c>
      <c r="J289" s="6" t="str">
        <f>IFERROR(__xludf.DUMMYFUNCTION("""COMPUTED_VALUE"""),"`s-Gravenhage")</f>
        <v>`s-Gravenhage</v>
      </c>
      <c r="K289" s="6" t="str">
        <f>IFERROR(__xludf.DUMMYFUNCTION("""COMPUTED_VALUE"""),"Nederland")</f>
        <v>Nederland</v>
      </c>
      <c r="L289" s="6" t="str">
        <f>IFERROR(__xludf.DUMMYFUNCTION("""COMPUTED_VALUE"""),"Бюлюкбашиев")</f>
        <v>Бюлюкбашиев</v>
      </c>
      <c r="M289" s="8">
        <f>IFERROR(__xludf.DUMMYFUNCTION("""COMPUTED_VALUE"""),43175.0)</f>
        <v>43175</v>
      </c>
      <c r="N289" s="6" t="str">
        <f>IFERROR(__xludf.DUMMYFUNCTION("""COMPUTED_VALUE"""),"NL495174130B01")</f>
        <v>NL495174130B01</v>
      </c>
      <c r="O289" s="6">
        <f>IFERROR(__xludf.DUMMYFUNCTION("""COMPUTED_VALUE"""),6.4213463E7)</f>
        <v>64213463</v>
      </c>
      <c r="P289" s="6" t="str">
        <f>IFERROR(__xludf.DUMMYFUNCTION("""COMPUTED_VALUE"""),"NL94INGB0007011816")</f>
        <v>NL94INGB0007011816</v>
      </c>
      <c r="Q289" s="9">
        <f>IFERROR(__xludf.DUMMYFUNCTION("""COMPUTED_VALUE"""),42248.0)</f>
        <v>42248</v>
      </c>
      <c r="R289" s="6"/>
      <c r="S289" s="6" t="str">
        <f>IFERROR(__xludf.DUMMYFUNCTION("""COMPUTED_VALUE"""),"NL002491747B71")</f>
        <v>NL002491747B71</v>
      </c>
      <c r="T289" s="6">
        <f>IFERROR(__xludf.DUMMYFUNCTION("""COMPUTED_VALUE"""),4.9517413E8)</f>
        <v>495174130</v>
      </c>
      <c r="U289" s="7" t="str">
        <f>IFERROR(__xludf.DUMMYFUNCTION("""COMPUTED_VALUE"""),"Eenmanszaak")</f>
        <v>Eenmanszaak</v>
      </c>
      <c r="V289" s="7" t="str">
        <f>IFERROR(__xludf.DUMMYFUNCTION("""COMPUTED_VALUE"""),"000033059160")</f>
        <v>000033059160</v>
      </c>
      <c r="W289" s="6" t="str">
        <f>IFERROR(__xludf.DUMMYFUNCTION("""COMPUTED_VALUE"""),"ink.mab91.2288aa@zarabota.nl")</f>
        <v>ink.mab91.2288aa@zarabota.nl</v>
      </c>
      <c r="X289" s="6" t="str">
        <f>IFERROR(__xludf.DUMMYFUNCTION("""COMPUTED_VALUE"""),"ver.mab91.2288aa@zarabota.nl")</f>
        <v>ver.mab91.2288aa@zarabota.nl</v>
      </c>
      <c r="Y289" s="6" t="str">
        <f>IFERROR(__xludf.DUMMYFUNCTION("""COMPUTED_VALUE"""),"Hr.")</f>
        <v>Hr.</v>
      </c>
      <c r="Z289" s="6" t="str">
        <f>IFERROR(__xludf.DUMMYFUNCTION("""COMPUTED_VALUE"""),"Mehmed Azis")</f>
        <v>Mehmed Azis</v>
      </c>
      <c r="AA289" s="6" t="str">
        <f>IFERROR(__xludf.DUMMYFUNCTION("""COMPUTED_VALUE"""),"Byulyukbashev")</f>
        <v>Byulyukbashev</v>
      </c>
      <c r="AB289" s="6" t="str">
        <f>IFERROR(__xludf.DUMMYFUNCTION("""COMPUTED_VALUE"""),"M.A.")</f>
        <v>M.A.</v>
      </c>
      <c r="AC289" s="6">
        <f>IFERROR(__xludf.DUMMYFUNCTION("""COMPUTED_VALUE"""),4.9517413E8)</f>
        <v>495174130</v>
      </c>
      <c r="AD289" s="9">
        <f>IFERROR(__xludf.DUMMYFUNCTION("""COMPUTED_VALUE"""),33380.0)</f>
        <v>33380</v>
      </c>
      <c r="AE289" s="6" t="str">
        <f>IFERROR(__xludf.DUMMYFUNCTION("""COMPUTED_VALUE"""),"bg")</f>
        <v>bg</v>
      </c>
      <c r="AF289" s="6" t="str">
        <f>IFERROR(__xludf.DUMMYFUNCTION("""COMPUTED_VALUE"""),"Ardino")</f>
        <v>Ardino</v>
      </c>
      <c r="AG289" s="6" t="str">
        <f>IFERROR(__xludf.DUMMYFUNCTION("""COMPUTED_VALUE"""),"Hr. M.A. Byulyukbashev")</f>
        <v>Hr. M.A. Byulyukbashev</v>
      </c>
      <c r="AH289" s="6" t="str">
        <f>IFERROR(__xludf.DUMMYFUNCTION("""COMPUTED_VALUE"""),"NL60INGB0700449035")</f>
        <v>NL60INGB0700449035</v>
      </c>
      <c r="AI289" s="9">
        <f>IFERROR(__xludf.DUMMYFUNCTION("""COMPUTED_VALUE"""),42268.0)</f>
        <v>42268</v>
      </c>
      <c r="AJ289" s="6" t="str">
        <f>IFERROR(__xludf.DUMMYFUNCTION("""COMPUTED_VALUE"""),"ID Kaart")</f>
        <v>ID Kaart</v>
      </c>
      <c r="AK289" s="6">
        <f>IFERROR(__xludf.DUMMYFUNCTION("""COMPUTED_VALUE"""),6.42881675E8)</f>
        <v>642881675</v>
      </c>
      <c r="AL289" s="9">
        <f>IFERROR(__xludf.DUMMYFUNCTION("""COMPUTED_VALUE"""),44434.0)</f>
        <v>44434</v>
      </c>
      <c r="AM289" s="6"/>
      <c r="AN289" s="6" t="str">
        <f>IFERROR(__xludf.DUMMYFUNCTION("""COMPUTED_VALUE"""),"Mehmed Azis Byulyukbashev")</f>
        <v>Mehmed Azis Byulyukbashev</v>
      </c>
      <c r="AO289" s="6"/>
    </row>
    <row r="290">
      <c r="A290" s="6" t="str">
        <f>IFERROR(__xludf.DUMMYFUNCTION("""COMPUTED_VALUE"""),"MAK Flex VOF")</f>
        <v>MAK Flex VOF</v>
      </c>
      <c r="B290" s="6" t="str">
        <f>IFERROR(__xludf.DUMMYFUNCTION("""COMPUTED_VALUE"""),"MAK Flex VOF")</f>
        <v>MAK Flex VOF</v>
      </c>
      <c r="C290" s="6">
        <f>IFERROR(__xludf.DUMMYFUNCTION("""COMPUTED_VALUE"""),1293.0)</f>
        <v>1293</v>
      </c>
      <c r="D290" s="7" t="str">
        <f>IFERROR(__xludf.DUMMYFUNCTION("""COMPUTED_VALUE"""),"Krum Sevdalinov Bamchev")</f>
        <v>Krum Sevdalinov Bamchev</v>
      </c>
      <c r="E290" s="7" t="str">
        <f>IFERROR(__xludf.DUMMYFUNCTION("""COMPUTED_VALUE"""),"SBI-code: 4120 - Algemene burgerlijke en utiliteitsbouw")</f>
        <v>SBI-code: 4120 - Algemene burgerlijke en utiliteitsbouw</v>
      </c>
      <c r="F290" s="7" t="str">
        <f>IFERROR(__xludf.DUMMYFUNCTION("""COMPUTED_VALUE"""),"0616661190")</f>
        <v>0616661190</v>
      </c>
      <c r="G290" s="6" t="str">
        <f>IFERROR(__xludf.DUMMYFUNCTION("""COMPUTED_VALUE"""),"bamchevkrum@gmail.com")</f>
        <v>bamchevkrum@gmail.com</v>
      </c>
      <c r="H290" s="6" t="str">
        <f>IFERROR(__xludf.DUMMYFUNCTION("""COMPUTED_VALUE"""),"Herenstraat 4A")</f>
        <v>Herenstraat 4A</v>
      </c>
      <c r="I290" s="6" t="str">
        <f>IFERROR(__xludf.DUMMYFUNCTION("""COMPUTED_VALUE"""),"2282BT")</f>
        <v>2282BT</v>
      </c>
      <c r="J290" s="6" t="str">
        <f>IFERROR(__xludf.DUMMYFUNCTION("""COMPUTED_VALUE"""),"Rijswijk")</f>
        <v>Rijswijk</v>
      </c>
      <c r="K290" s="6" t="str">
        <f>IFERROR(__xludf.DUMMYFUNCTION("""COMPUTED_VALUE"""),"Nederland")</f>
        <v>Nederland</v>
      </c>
      <c r="L290" s="6" t="str">
        <f>IFERROR(__xludf.DUMMYFUNCTION("""COMPUTED_VALUE"""),"Бамчев")</f>
        <v>Бамчев</v>
      </c>
      <c r="M290" s="8">
        <f>IFERROR(__xludf.DUMMYFUNCTION("""COMPUTED_VALUE"""),44562.0)</f>
        <v>44562</v>
      </c>
      <c r="N290" s="6" t="str">
        <f>IFERROR(__xludf.DUMMYFUNCTION("""COMPUTED_VALUE"""),"NL863735861B01")</f>
        <v>NL863735861B01</v>
      </c>
      <c r="O290" s="6">
        <f>IFERROR(__xludf.DUMMYFUNCTION("""COMPUTED_VALUE"""),8.5769924E7)</f>
        <v>85769924</v>
      </c>
      <c r="P290" s="6" t="str">
        <f>IFERROR(__xludf.DUMMYFUNCTION("""COMPUTED_VALUE"""),"NL23INGB0007569971")</f>
        <v>NL23INGB0007569971</v>
      </c>
      <c r="Q290" s="9">
        <f>IFERROR(__xludf.DUMMYFUNCTION("""COMPUTED_VALUE"""),42768.0)</f>
        <v>42768</v>
      </c>
      <c r="R290" s="6"/>
      <c r="S290" s="6" t="str">
        <f>IFERROR(__xludf.DUMMYFUNCTION("""COMPUTED_VALUE"""),"NL863735861B01")</f>
        <v>NL863735861B01</v>
      </c>
      <c r="T290" s="6">
        <f>IFERROR(__xludf.DUMMYFUNCTION("""COMPUTED_VALUE"""),8.63735861E8)</f>
        <v>863735861</v>
      </c>
      <c r="U290" s="7" t="str">
        <f>IFERROR(__xludf.DUMMYFUNCTION("""COMPUTED_VALUE"""),"Vennootschap Onder Firma")</f>
        <v>Vennootschap Onder Firma</v>
      </c>
      <c r="V290" s="7" t="str">
        <f>IFERROR(__xludf.DUMMYFUNCTION("""COMPUTED_VALUE"""),"000036464872")</f>
        <v>000036464872</v>
      </c>
      <c r="W290" s="6" t="str">
        <f>IFERROR(__xludf.DUMMYFUNCTION("""COMPUTED_VALUE"""),"ink.makflex.2288aa@zarabota.nl")</f>
        <v>ink.makflex.2288aa@zarabota.nl</v>
      </c>
      <c r="X290" s="6" t="str">
        <f>IFERROR(__xludf.DUMMYFUNCTION("""COMPUTED_VALUE"""),"ver.makflex.2288aa@zarabota.nl")</f>
        <v>ver.makflex.2288aa@zarabota.nl</v>
      </c>
      <c r="Y290" s="6" t="str">
        <f>IFERROR(__xludf.DUMMYFUNCTION("""COMPUTED_VALUE"""),"Hr.")</f>
        <v>Hr.</v>
      </c>
      <c r="Z290" s="6" t="str">
        <f>IFERROR(__xludf.DUMMYFUNCTION("""COMPUTED_VALUE"""),"Krum Sevdalinov")</f>
        <v>Krum Sevdalinov</v>
      </c>
      <c r="AA290" s="6" t="str">
        <f>IFERROR(__xludf.DUMMYFUNCTION("""COMPUTED_VALUE"""),"Bamchev")</f>
        <v>Bamchev</v>
      </c>
      <c r="AB290" s="6" t="str">
        <f>IFERROR(__xludf.DUMMYFUNCTION("""COMPUTED_VALUE"""),"K.S.")</f>
        <v>K.S.</v>
      </c>
      <c r="AC290" s="6">
        <f>IFERROR(__xludf.DUMMYFUNCTION("""COMPUTED_VALUE"""),4.17594483E8)</f>
        <v>417594483</v>
      </c>
      <c r="AD290" s="9">
        <f>IFERROR(__xludf.DUMMYFUNCTION("""COMPUTED_VALUE"""),32575.0)</f>
        <v>32575</v>
      </c>
      <c r="AE290" s="6" t="str">
        <f>IFERROR(__xludf.DUMMYFUNCTION("""COMPUTED_VALUE"""),"bg")</f>
        <v>bg</v>
      </c>
      <c r="AF290" s="6" t="str">
        <f>IFERROR(__xludf.DUMMYFUNCTION("""COMPUTED_VALUE"""),"Ardino")</f>
        <v>Ardino</v>
      </c>
      <c r="AG290" s="6" t="str">
        <f>IFERROR(__xludf.DUMMYFUNCTION("""COMPUTED_VALUE"""),"Hr. K.S. Bamchev")</f>
        <v>Hr. K.S. Bamchev</v>
      </c>
      <c r="AH290" s="6" t="str">
        <f>IFERROR(__xludf.DUMMYFUNCTION("""COMPUTED_VALUE"""),"NL57INGB0650698274")</f>
        <v>NL57INGB0650698274</v>
      </c>
      <c r="AI290" s="6"/>
      <c r="AJ290" s="6" t="str">
        <f>IFERROR(__xludf.DUMMYFUNCTION("""COMPUTED_VALUE"""),"ID Kaart")</f>
        <v>ID Kaart</v>
      </c>
      <c r="AK290" s="6">
        <f>IFERROR(__xludf.DUMMYFUNCTION("""COMPUTED_VALUE"""),6.50543791E8)</f>
        <v>650543791</v>
      </c>
      <c r="AL290" s="9">
        <f>IFERROR(__xludf.DUMMYFUNCTION("""COMPUTED_VALUE"""),47989.0)</f>
        <v>47989</v>
      </c>
      <c r="AM290" s="6" t="str">
        <f>IFERROR(__xludf.DUMMYFUNCTION("""COMPUTED_VALUE"""),"Bulgarije")</f>
        <v>Bulgarije</v>
      </c>
      <c r="AN290" s="6" t="str">
        <f>IFERROR(__xludf.DUMMYFUNCTION("""COMPUTED_VALUE"""),"Krum Sevdalinov Bamchev")</f>
        <v>Krum Sevdalinov Bamchev</v>
      </c>
      <c r="AO290" s="6"/>
    </row>
    <row r="291">
      <c r="A291" s="6" t="str">
        <f>IFERROR(__xludf.DUMMYFUNCTION("""COMPUTED_VALUE"""),"Malide")</f>
        <v>Malide</v>
      </c>
      <c r="B291" s="6" t="str">
        <f>IFERROR(__xludf.DUMMYFUNCTION("""COMPUTED_VALUE"""),"Malide")</f>
        <v>Malide</v>
      </c>
      <c r="C291" s="6">
        <f>IFERROR(__xludf.DUMMYFUNCTION("""COMPUTED_VALUE"""),1335.0)</f>
        <v>1335</v>
      </c>
      <c r="D291" s="7" t="str">
        <f>IFERROR(__xludf.DUMMYFUNCTION("""COMPUTED_VALUE"""),"Demi Losekoot")</f>
        <v>Demi Losekoot</v>
      </c>
      <c r="E291" s="7" t="str">
        <f>IFERROR(__xludf.DUMMYFUNCTION("""COMPUTED_VALUE"""),"SBI-code: 4120 - Algemene burgerlijke en utiliteitsbouw")</f>
        <v>SBI-code: 4120 - Algemene burgerlijke en utiliteitsbouw</v>
      </c>
      <c r="F291" s="7" t="str">
        <f>IFERROR(__xludf.DUMMYFUNCTION("""COMPUTED_VALUE"""),"0648198848")</f>
        <v>0648198848</v>
      </c>
      <c r="G291" s="6" t="str">
        <f>IFERROR(__xludf.DUMMYFUNCTION("""COMPUTED_VALUE"""),"deemster12@gmail.com")</f>
        <v>deemster12@gmail.com</v>
      </c>
      <c r="H291" s="6" t="str">
        <f>IFERROR(__xludf.DUMMYFUNCTION("""COMPUTED_VALUE"""),"Atlantastraat 11")</f>
        <v>Atlantastraat 11</v>
      </c>
      <c r="I291" s="6" t="str">
        <f>IFERROR(__xludf.DUMMYFUNCTION("""COMPUTED_VALUE"""),"2548JL")</f>
        <v>2548JL</v>
      </c>
      <c r="J291" s="6" t="str">
        <f>IFERROR(__xludf.DUMMYFUNCTION("""COMPUTED_VALUE"""),"s-Gravenhage")</f>
        <v>s-Gravenhage</v>
      </c>
      <c r="K291" s="6" t="str">
        <f>IFERROR(__xludf.DUMMYFUNCTION("""COMPUTED_VALUE"""),"Nederland")</f>
        <v>Nederland</v>
      </c>
      <c r="L291" s="6" t="str">
        <f>IFERROR(__xludf.DUMMYFUNCTION("""COMPUTED_VALUE"""),"Losekoot")</f>
        <v>Losekoot</v>
      </c>
      <c r="M291" s="8">
        <f>IFERROR(__xludf.DUMMYFUNCTION("""COMPUTED_VALUE"""),44571.0)</f>
        <v>44571</v>
      </c>
      <c r="N291" s="6" t="str">
        <f>IFERROR(__xludf.DUMMYFUNCTION("""COMPUTED_VALUE"""),"NL224058976B02")</f>
        <v>NL224058976B02</v>
      </c>
      <c r="O291" s="6">
        <f>IFERROR(__xludf.DUMMYFUNCTION("""COMPUTED_VALUE"""),8.512731E7)</f>
        <v>85127310</v>
      </c>
      <c r="P291" s="6" t="str">
        <f>IFERROR(__xludf.DUMMYFUNCTION("""COMPUTED_VALUE"""),"NL74INGB0675141192")</f>
        <v>NL74INGB0675141192</v>
      </c>
      <c r="Q291" s="9">
        <f>IFERROR(__xludf.DUMMYFUNCTION("""COMPUTED_VALUE"""),44571.0)</f>
        <v>44571</v>
      </c>
      <c r="R291" s="6"/>
      <c r="S291" s="6" t="str">
        <f>IFERROR(__xludf.DUMMYFUNCTION("""COMPUTED_VALUE"""),"NL004054669B34")</f>
        <v>NL004054669B34</v>
      </c>
      <c r="T291" s="6">
        <f>IFERROR(__xludf.DUMMYFUNCTION("""COMPUTED_VALUE"""),2.24058976E8)</f>
        <v>224058976</v>
      </c>
      <c r="U291" s="7" t="str">
        <f>IFERROR(__xludf.DUMMYFUNCTION("""COMPUTED_VALUE"""),"Eenmanszaak")</f>
        <v>Eenmanszaak</v>
      </c>
      <c r="V291" s="7" t="str">
        <f>IFERROR(__xludf.DUMMYFUNCTION("""COMPUTED_VALUE"""),"000051189860")</f>
        <v>000051189860</v>
      </c>
      <c r="W291" s="6" t="str">
        <f>IFERROR(__xludf.DUMMYFUNCTION("""COMPUTED_VALUE"""),"ink.malide.2288aa@zarabota.nl")</f>
        <v>ink.malide.2288aa@zarabota.nl</v>
      </c>
      <c r="X291" s="6" t="str">
        <f>IFERROR(__xludf.DUMMYFUNCTION("""COMPUTED_VALUE"""),"ver.malide.2288aa@zarabota.nl")</f>
        <v>ver.malide.2288aa@zarabota.nl</v>
      </c>
      <c r="Y291" s="6" t="str">
        <f>IFERROR(__xludf.DUMMYFUNCTION("""COMPUTED_VALUE"""),"Mw.")</f>
        <v>Mw.</v>
      </c>
      <c r="Z291" s="6" t="str">
        <f>IFERROR(__xludf.DUMMYFUNCTION("""COMPUTED_VALUE"""),"Demi")</f>
        <v>Demi</v>
      </c>
      <c r="AA291" s="6" t="str">
        <f>IFERROR(__xludf.DUMMYFUNCTION("""COMPUTED_VALUE"""),"Losekoot")</f>
        <v>Losekoot</v>
      </c>
      <c r="AB291" s="6" t="str">
        <f>IFERROR(__xludf.DUMMYFUNCTION("""COMPUTED_VALUE"""),"D.")</f>
        <v>D.</v>
      </c>
      <c r="AC291" s="6">
        <f>IFERROR(__xludf.DUMMYFUNCTION("""COMPUTED_VALUE"""),2.24058976E8)</f>
        <v>224058976</v>
      </c>
      <c r="AD291" s="9">
        <f>IFERROR(__xludf.DUMMYFUNCTION("""COMPUTED_VALUE"""),35250.0)</f>
        <v>35250</v>
      </c>
      <c r="AE291" s="6" t="str">
        <f>IFERROR(__xludf.DUMMYFUNCTION("""COMPUTED_VALUE"""),"bg")</f>
        <v>bg</v>
      </c>
      <c r="AF291" s="6" t="str">
        <f>IFERROR(__xludf.DUMMYFUNCTION("""COMPUTED_VALUE"""),"Delft")</f>
        <v>Delft</v>
      </c>
      <c r="AG291" s="6" t="str">
        <f>IFERROR(__xludf.DUMMYFUNCTION("""COMPUTED_VALUE"""),"Mw. D. Losekoot")</f>
        <v>Mw. D. Losekoot</v>
      </c>
      <c r="AH291" s="6" t="str">
        <f>IFERROR(__xludf.DUMMYFUNCTION("""COMPUTED_VALUE"""),"NL52INGB0663038898")</f>
        <v>NL52INGB0663038898</v>
      </c>
      <c r="AI291" s="6"/>
      <c r="AJ291" s="6" t="str">
        <f>IFERROR(__xludf.DUMMYFUNCTION("""COMPUTED_VALUE"""),"ID Kaart")</f>
        <v>ID Kaart</v>
      </c>
      <c r="AK291" s="6" t="str">
        <f>IFERROR(__xludf.DUMMYFUNCTION("""COMPUTED_VALUE"""),"IKC7kp8b1")</f>
        <v>IKC7kp8b1</v>
      </c>
      <c r="AL291" s="9">
        <f>IFERROR(__xludf.DUMMYFUNCTION("""COMPUTED_VALUE"""),47261.0)</f>
        <v>47261</v>
      </c>
      <c r="AM291" s="6" t="str">
        <f>IFERROR(__xludf.DUMMYFUNCTION("""COMPUTED_VALUE"""),"Nederland")</f>
        <v>Nederland</v>
      </c>
      <c r="AN291" s="6" t="str">
        <f>IFERROR(__xludf.DUMMYFUNCTION("""COMPUTED_VALUE"""),"Demi Losekoot")</f>
        <v>Demi Losekoot</v>
      </c>
      <c r="AO291" s="6"/>
    </row>
    <row r="292">
      <c r="A292" s="6" t="str">
        <f>IFERROR(__xludf.DUMMYFUNCTION("""COMPUTED_VALUE"""),"Malyov")</f>
        <v>Malyov</v>
      </c>
      <c r="B292" s="6" t="str">
        <f>IFERROR(__xludf.DUMMYFUNCTION("""COMPUTED_VALUE"""),"Malyov")</f>
        <v>Malyov</v>
      </c>
      <c r="C292" s="6">
        <f>IFERROR(__xludf.DUMMYFUNCTION("""COMPUTED_VALUE"""),1411.0)</f>
        <v>1411</v>
      </c>
      <c r="D292" s="7" t="str">
        <f>IFERROR(__xludf.DUMMYFUNCTION("""COMPUTED_VALUE"""),"Neven Biserov Malyov")</f>
        <v>Neven Biserov Malyov</v>
      </c>
      <c r="E292" s="7" t="str">
        <f>IFERROR(__xludf.DUMMYFUNCTION("""COMPUTED_VALUE"""),"SBI-code: 4222 - Leggen van elektriciteits- en telecommunicatiekabels")</f>
        <v>SBI-code: 4222 - Leggen van elektriciteits- en telecommunicatiekabels</v>
      </c>
      <c r="F292" s="7" t="str">
        <f>IFERROR(__xludf.DUMMYFUNCTION("""COMPUTED_VALUE"""),"0644141509")</f>
        <v>0644141509</v>
      </c>
      <c r="G292" s="6" t="str">
        <f>IFERROR(__xludf.DUMMYFUNCTION("""COMPUTED_VALUE"""),"nevenmalyov@gmail.com")</f>
        <v>nevenmalyov@gmail.com</v>
      </c>
      <c r="H292" s="6" t="str">
        <f>IFERROR(__xludf.DUMMYFUNCTION("""COMPUTED_VALUE"""),"Hendrick Croesinckstraat 2")</f>
        <v>Hendrick Croesinckstraat 2</v>
      </c>
      <c r="I292" s="6" t="str">
        <f>IFERROR(__xludf.DUMMYFUNCTION("""COMPUTED_VALUE"""),"3074PE")</f>
        <v>3074PE</v>
      </c>
      <c r="J292" s="6" t="str">
        <f>IFERROR(__xludf.DUMMYFUNCTION("""COMPUTED_VALUE"""),"Rotterdam")</f>
        <v>Rotterdam</v>
      </c>
      <c r="K292" s="6" t="str">
        <f>IFERROR(__xludf.DUMMYFUNCTION("""COMPUTED_VALUE"""),"Nederland")</f>
        <v>Nederland</v>
      </c>
      <c r="L292" s="6" t="str">
        <f>IFERROR(__xludf.DUMMYFUNCTION("""COMPUTED_VALUE"""),"Мальов")</f>
        <v>Мальов</v>
      </c>
      <c r="M292" s="8">
        <f>IFERROR(__xludf.DUMMYFUNCTION("""COMPUTED_VALUE"""),44811.0)</f>
        <v>44811</v>
      </c>
      <c r="N292" s="6" t="str">
        <f>IFERROR(__xludf.DUMMYFUNCTION("""COMPUTED_VALUE"""),"NL579360258B02")</f>
        <v>NL579360258B02</v>
      </c>
      <c r="O292" s="6">
        <f>IFERROR(__xludf.DUMMYFUNCTION("""COMPUTED_VALUE"""),8.7499789E7)</f>
        <v>87499789</v>
      </c>
      <c r="P292" s="6" t="str">
        <f>IFERROR(__xludf.DUMMYFUNCTION("""COMPUTED_VALUE"""),"NL90INGB0709534000")</f>
        <v>NL90INGB0709534000</v>
      </c>
      <c r="Q292" s="9">
        <f>IFERROR(__xludf.DUMMYFUNCTION("""COMPUTED_VALUE"""),44811.0)</f>
        <v>44811</v>
      </c>
      <c r="R292" s="6"/>
      <c r="S292" s="6" t="str">
        <f>IFERROR(__xludf.DUMMYFUNCTION("""COMPUTED_VALUE"""),"NL004428541B19")</f>
        <v>NL004428541B19</v>
      </c>
      <c r="T292" s="6">
        <f>IFERROR(__xludf.DUMMYFUNCTION("""COMPUTED_VALUE"""),5.79360258E8)</f>
        <v>579360258</v>
      </c>
      <c r="U292" s="7" t="str">
        <f>IFERROR(__xludf.DUMMYFUNCTION("""COMPUTED_VALUE"""),"Eenmanszaak")</f>
        <v>Eenmanszaak</v>
      </c>
      <c r="V292" s="7" t="str">
        <f>IFERROR(__xludf.DUMMYFUNCTION("""COMPUTED_VALUE"""),"000053410734")</f>
        <v>000053410734</v>
      </c>
      <c r="W292" s="6" t="str">
        <f>IFERROR(__xludf.DUMMYFUNCTION("""COMPUTED_VALUE"""),"ink.malyov.2288aa@zarabota.nl")</f>
        <v>ink.malyov.2288aa@zarabota.nl</v>
      </c>
      <c r="X292" s="6" t="str">
        <f>IFERROR(__xludf.DUMMYFUNCTION("""COMPUTED_VALUE"""),"ver.malyov.2288aa@zarabota.nl")</f>
        <v>ver.malyov.2288aa@zarabota.nl</v>
      </c>
      <c r="Y292" s="6" t="str">
        <f>IFERROR(__xludf.DUMMYFUNCTION("""COMPUTED_VALUE"""),"Hr.")</f>
        <v>Hr.</v>
      </c>
      <c r="Z292" s="6" t="str">
        <f>IFERROR(__xludf.DUMMYFUNCTION("""COMPUTED_VALUE"""),"Neven Biserov")</f>
        <v>Neven Biserov</v>
      </c>
      <c r="AA292" s="6" t="str">
        <f>IFERROR(__xludf.DUMMYFUNCTION("""COMPUTED_VALUE"""),"Malyov")</f>
        <v>Malyov</v>
      </c>
      <c r="AB292" s="6" t="str">
        <f>IFERROR(__xludf.DUMMYFUNCTION("""COMPUTED_VALUE"""),"N.B.")</f>
        <v>N.B.</v>
      </c>
      <c r="AC292" s="6">
        <f>IFERROR(__xludf.DUMMYFUNCTION("""COMPUTED_VALUE"""),5.79360258E8)</f>
        <v>579360258</v>
      </c>
      <c r="AD292" s="9">
        <f>IFERROR(__xludf.DUMMYFUNCTION("""COMPUTED_VALUE"""),31136.0)</f>
        <v>31136</v>
      </c>
      <c r="AE292" s="6" t="str">
        <f>IFERROR(__xludf.DUMMYFUNCTION("""COMPUTED_VALUE"""),"bg")</f>
        <v>bg</v>
      </c>
      <c r="AF292" s="6" t="str">
        <f>IFERROR(__xludf.DUMMYFUNCTION("""COMPUTED_VALUE"""),"Razgrad")</f>
        <v>Razgrad</v>
      </c>
      <c r="AG292" s="6" t="str">
        <f>IFERROR(__xludf.DUMMYFUNCTION("""COMPUTED_VALUE"""),"Hr. N.B. Malyov")</f>
        <v>Hr. N.B. Malyov</v>
      </c>
      <c r="AH292" s="6"/>
      <c r="AI292" s="6"/>
      <c r="AJ292" s="6"/>
      <c r="AK292" s="6"/>
      <c r="AL292" s="6"/>
      <c r="AM292" s="6" t="str">
        <f>IFERROR(__xludf.DUMMYFUNCTION("""COMPUTED_VALUE"""),"Bulgarije")</f>
        <v>Bulgarije</v>
      </c>
      <c r="AN292" s="6" t="str">
        <f>IFERROR(__xludf.DUMMYFUNCTION("""COMPUTED_VALUE"""),"Neven Biserov Malyov")</f>
        <v>Neven Biserov Malyov</v>
      </c>
      <c r="AO292" s="6">
        <f>IFERROR(__xludf.DUMMYFUNCTION("""COMPUTED_VALUE"""),1411.0)</f>
        <v>1411</v>
      </c>
    </row>
    <row r="293">
      <c r="A293" s="6" t="str">
        <f>IFERROR(__xludf.DUMMYFUNCTION("""COMPUTED_VALUE"""),"Manuela Care")</f>
        <v>Manuela Care</v>
      </c>
      <c r="B293" s="6" t="str">
        <f>IFERROR(__xludf.DUMMYFUNCTION("""COMPUTED_VALUE"""),"Manuela Care")</f>
        <v>Manuela Care</v>
      </c>
      <c r="C293" s="6">
        <f>IFERROR(__xludf.DUMMYFUNCTION("""COMPUTED_VALUE"""),1069.0)</f>
        <v>1069</v>
      </c>
      <c r="D293" s="7" t="str">
        <f>IFERROR(__xludf.DUMMYFUNCTION("""COMPUTED_VALUE"""),"Manuela Dimitrova Trenkova")</f>
        <v>Manuela Dimitrova Trenkova</v>
      </c>
      <c r="E293" s="7" t="str">
        <f>IFERROR(__xludf.DUMMYFUNCTION("""COMPUTED_VALUE"""),"SBI-code: 4120 - Algemene burgerlijke en utiliteitsbouw")</f>
        <v>SBI-code: 4120 - Algemene burgerlijke en utiliteitsbouw</v>
      </c>
      <c r="F293" s="7" t="str">
        <f>IFERROR(__xludf.DUMMYFUNCTION("""COMPUTED_VALUE"""),"0624106844")</f>
        <v>0624106844</v>
      </c>
      <c r="G293" s="6" t="str">
        <f>IFERROR(__xludf.DUMMYFUNCTION("""COMPUTED_VALUE"""),"mtrenkova@yahoo.com")</f>
        <v>mtrenkova@yahoo.com</v>
      </c>
      <c r="H293" s="6" t="str">
        <f>IFERROR(__xludf.DUMMYFUNCTION("""COMPUTED_VALUE"""),"Hengelolaan 201 A")</f>
        <v>Hengelolaan 201 A</v>
      </c>
      <c r="I293" s="6" t="str">
        <f>IFERROR(__xludf.DUMMYFUNCTION("""COMPUTED_VALUE"""),"2545JH")</f>
        <v>2545JH</v>
      </c>
      <c r="J293" s="6" t="str">
        <f>IFERROR(__xludf.DUMMYFUNCTION("""COMPUTED_VALUE"""),"s-Gravenhage")</f>
        <v>s-Gravenhage</v>
      </c>
      <c r="K293" s="6" t="str">
        <f>IFERROR(__xludf.DUMMYFUNCTION("""COMPUTED_VALUE"""),"Nederland")</f>
        <v>Nederland</v>
      </c>
      <c r="L293" s="6" t="str">
        <f>IFERROR(__xludf.DUMMYFUNCTION("""COMPUTED_VALUE"""),"Тренкова")</f>
        <v>Тренкова</v>
      </c>
      <c r="M293" s="8">
        <f>IFERROR(__xludf.DUMMYFUNCTION("""COMPUTED_VALUE"""),43831.0)</f>
        <v>43831</v>
      </c>
      <c r="N293" s="6" t="str">
        <f>IFERROR(__xludf.DUMMYFUNCTION("""COMPUTED_VALUE"""),"NL376871192B01")</f>
        <v>NL376871192B01</v>
      </c>
      <c r="O293" s="6">
        <f>IFERROR(__xludf.DUMMYFUNCTION("""COMPUTED_VALUE"""),7.4445944E7)</f>
        <v>74445944</v>
      </c>
      <c r="P293" s="6" t="str">
        <f>IFERROR(__xludf.DUMMYFUNCTION("""COMPUTED_VALUE"""),"NL90INGB0009146276")</f>
        <v>NL90INGB0009146276</v>
      </c>
      <c r="Q293" s="9">
        <f>IFERROR(__xludf.DUMMYFUNCTION("""COMPUTED_VALUE"""),43563.0)</f>
        <v>43563</v>
      </c>
      <c r="R293" s="6"/>
      <c r="S293" s="6" t="str">
        <f>IFERROR(__xludf.DUMMYFUNCTION("""COMPUTED_VALUE"""),"NL002474933B77")</f>
        <v>NL002474933B77</v>
      </c>
      <c r="T293" s="6">
        <f>IFERROR(__xludf.DUMMYFUNCTION("""COMPUTED_VALUE"""),3.76871192E8)</f>
        <v>376871192</v>
      </c>
      <c r="U293" s="7" t="str">
        <f>IFERROR(__xludf.DUMMYFUNCTION("""COMPUTED_VALUE"""),"Eenmanszaak")</f>
        <v>Eenmanszaak</v>
      </c>
      <c r="V293" s="7" t="str">
        <f>IFERROR(__xludf.DUMMYFUNCTION("""COMPUTED_VALUE"""),"000042403650")</f>
        <v>000042403650</v>
      </c>
      <c r="W293" s="6" t="str">
        <f>IFERROR(__xludf.DUMMYFUNCTION("""COMPUTED_VALUE"""),"ink.manuelacare.2288aa@zarabota.nl")</f>
        <v>ink.manuelacare.2288aa@zarabota.nl</v>
      </c>
      <c r="X293" s="6" t="str">
        <f>IFERROR(__xludf.DUMMYFUNCTION("""COMPUTED_VALUE"""),"ver.manuelacare.2288aa@zarabota.nl")</f>
        <v>ver.manuelacare.2288aa@zarabota.nl</v>
      </c>
      <c r="Y293" s="6" t="str">
        <f>IFERROR(__xludf.DUMMYFUNCTION("""COMPUTED_VALUE"""),"Mw.")</f>
        <v>Mw.</v>
      </c>
      <c r="Z293" s="6" t="str">
        <f>IFERROR(__xludf.DUMMYFUNCTION("""COMPUTED_VALUE"""),"Manuela Dimitrova")</f>
        <v>Manuela Dimitrova</v>
      </c>
      <c r="AA293" s="6" t="str">
        <f>IFERROR(__xludf.DUMMYFUNCTION("""COMPUTED_VALUE"""),"Trenkova")</f>
        <v>Trenkova</v>
      </c>
      <c r="AB293" s="6" t="str">
        <f>IFERROR(__xludf.DUMMYFUNCTION("""COMPUTED_VALUE"""),"M.D.")</f>
        <v>M.D.</v>
      </c>
      <c r="AC293" s="6">
        <f>IFERROR(__xludf.DUMMYFUNCTION("""COMPUTED_VALUE"""),3.76871192E8)</f>
        <v>376871192</v>
      </c>
      <c r="AD293" s="9">
        <f>IFERROR(__xludf.DUMMYFUNCTION("""COMPUTED_VALUE"""),29510.0)</f>
        <v>29510</v>
      </c>
      <c r="AE293" s="6" t="str">
        <f>IFERROR(__xludf.DUMMYFUNCTION("""COMPUTED_VALUE"""),"bg")</f>
        <v>bg</v>
      </c>
      <c r="AF293" s="6" t="str">
        <f>IFERROR(__xludf.DUMMYFUNCTION("""COMPUTED_VALUE"""),"Sofia")</f>
        <v>Sofia</v>
      </c>
      <c r="AG293" s="6" t="str">
        <f>IFERROR(__xludf.DUMMYFUNCTION("""COMPUTED_VALUE"""),"Mw. M.D. Trenkova")</f>
        <v>Mw. M.D. Trenkova</v>
      </c>
      <c r="AH293" s="6" t="str">
        <f>IFERROR(__xludf.DUMMYFUNCTION("""COMPUTED_VALUE"""),"NL38INGB0701235713")</f>
        <v>NL38INGB0701235713</v>
      </c>
      <c r="AI293" s="6"/>
      <c r="AJ293" s="6" t="str">
        <f>IFERROR(__xludf.DUMMYFUNCTION("""COMPUTED_VALUE"""),"ID Kaart")</f>
        <v>ID Kaart</v>
      </c>
      <c r="AK293" s="6"/>
      <c r="AL293" s="6"/>
      <c r="AM293" s="6" t="str">
        <f>IFERROR(__xludf.DUMMYFUNCTION("""COMPUTED_VALUE"""),"Bulgarije")</f>
        <v>Bulgarije</v>
      </c>
      <c r="AN293" s="6" t="str">
        <f>IFERROR(__xludf.DUMMYFUNCTION("""COMPUTED_VALUE"""),"Manuela Dimitrova Trenkova")</f>
        <v>Manuela Dimitrova Trenkova</v>
      </c>
      <c r="AO293" s="6"/>
    </row>
    <row r="294">
      <c r="A294" s="6" t="str">
        <f>IFERROR(__xludf.DUMMYFUNCTION("""COMPUTED_VALUE"""),"Mapio Bouw")</f>
        <v>Mapio Bouw</v>
      </c>
      <c r="B294" s="6" t="str">
        <f>IFERROR(__xludf.DUMMYFUNCTION("""COMPUTED_VALUE"""),"Mapio Bouw")</f>
        <v>Mapio Bouw</v>
      </c>
      <c r="C294" s="6">
        <f>IFERROR(__xludf.DUMMYFUNCTION("""COMPUTED_VALUE"""),1632.0)</f>
        <v>1632</v>
      </c>
      <c r="D294" s="7" t="str">
        <f>IFERROR(__xludf.DUMMYFUNCTION("""COMPUTED_VALUE"""),"Marian Mykhailovych Zilinkevych")</f>
        <v>Marian Mykhailovych Zilinkevych</v>
      </c>
      <c r="E294" s="7" t="str">
        <f>IFERROR(__xludf.DUMMYFUNCTION("""COMPUTED_VALUE"""),"SBI-code: 4120 - Algemene burgerlijke en utiliteitsbouw")</f>
        <v>SBI-code: 4120 - Algemene burgerlijke en utiliteitsbouw</v>
      </c>
      <c r="F294" s="7" t="str">
        <f>IFERROR(__xludf.DUMMYFUNCTION("""COMPUTED_VALUE"""),"0626430869")</f>
        <v>0626430869</v>
      </c>
      <c r="G294" s="6" t="str">
        <f>IFERROR(__xludf.DUMMYFUNCTION("""COMPUTED_VALUE"""),"maryanzilinkevich70@gmail.com")</f>
        <v>maryanzilinkevich70@gmail.com</v>
      </c>
      <c r="H294" s="6" t="str">
        <f>IFERROR(__xludf.DUMMYFUNCTION("""COMPUTED_VALUE"""),"Wassenaarseweg 76")</f>
        <v>Wassenaarseweg 76</v>
      </c>
      <c r="I294" s="6" t="str">
        <f>IFERROR(__xludf.DUMMYFUNCTION("""COMPUTED_VALUE"""),"2596 CK")</f>
        <v>2596 CK</v>
      </c>
      <c r="J294" s="6" t="str">
        <f>IFERROR(__xludf.DUMMYFUNCTION("""COMPUTED_VALUE"""),"s-Gravenhage")</f>
        <v>s-Gravenhage</v>
      </c>
      <c r="K294" s="6" t="str">
        <f>IFERROR(__xludf.DUMMYFUNCTION("""COMPUTED_VALUE"""),"Nederland")</f>
        <v>Nederland</v>
      </c>
      <c r="L294" s="6" t="str">
        <f>IFERROR(__xludf.DUMMYFUNCTION("""COMPUTED_VALUE"""),"Зилинкевич")</f>
        <v>Зилинкевич</v>
      </c>
      <c r="M294" s="8">
        <f>IFERROR(__xludf.DUMMYFUNCTION("""COMPUTED_VALUE"""),45419.0)</f>
        <v>45419</v>
      </c>
      <c r="N294" s="6" t="str">
        <f>IFERROR(__xludf.DUMMYFUNCTION("""COMPUTED_VALUE"""),"NL568726650B01")</f>
        <v>NL568726650B01</v>
      </c>
      <c r="O294" s="6">
        <f>IFERROR(__xludf.DUMMYFUNCTION("""COMPUTED_VALUE"""),9.387627E7)</f>
        <v>93876270</v>
      </c>
      <c r="P294" s="6" t="str">
        <f>IFERROR(__xludf.DUMMYFUNCTION("""COMPUTED_VALUE"""),"NL44INGB0109017528")</f>
        <v>NL44INGB0109017528</v>
      </c>
      <c r="Q294" s="9">
        <f>IFERROR(__xludf.DUMMYFUNCTION("""COMPUTED_VALUE"""),45419.0)</f>
        <v>45419</v>
      </c>
      <c r="R294" s="6"/>
      <c r="S294" s="6" t="str">
        <f>IFERROR(__xludf.DUMMYFUNCTION("""COMPUTED_VALUE"""),"NL005048687B85")</f>
        <v>NL005048687B85</v>
      </c>
      <c r="T294" s="6">
        <f>IFERROR(__xludf.DUMMYFUNCTION("""COMPUTED_VALUE"""),5.6872665E8)</f>
        <v>568726650</v>
      </c>
      <c r="U294" s="7" t="str">
        <f>IFERROR(__xludf.DUMMYFUNCTION("""COMPUTED_VALUE"""),"Eenmanszaak")</f>
        <v>Eenmanszaak</v>
      </c>
      <c r="V294" s="7" t="str">
        <f>IFERROR(__xludf.DUMMYFUNCTION("""COMPUTED_VALUE"""),"000059389702")</f>
        <v>000059389702</v>
      </c>
      <c r="W294" s="6" t="str">
        <f>IFERROR(__xludf.DUMMYFUNCTION("""COMPUTED_VALUE"""),"ink.mapiobouw.2288aa@zarabota.nl")</f>
        <v>ink.mapiobouw.2288aa@zarabota.nl</v>
      </c>
      <c r="X294" s="6" t="str">
        <f>IFERROR(__xludf.DUMMYFUNCTION("""COMPUTED_VALUE"""),"ver.mapiobouw.2288aa@zarabota.nl")</f>
        <v>ver.mapiobouw.2288aa@zarabota.nl</v>
      </c>
      <c r="Y294" s="6" t="str">
        <f>IFERROR(__xludf.DUMMYFUNCTION("""COMPUTED_VALUE"""),"Hr.")</f>
        <v>Hr.</v>
      </c>
      <c r="Z294" s="6" t="str">
        <f>IFERROR(__xludf.DUMMYFUNCTION("""COMPUTED_VALUE"""),"Marian Mykhailovych")</f>
        <v>Marian Mykhailovych</v>
      </c>
      <c r="AA294" s="6" t="str">
        <f>IFERROR(__xludf.DUMMYFUNCTION("""COMPUTED_VALUE"""),"Zilinkevych")</f>
        <v>Zilinkevych</v>
      </c>
      <c r="AB294" s="6" t="str">
        <f>IFERROR(__xludf.DUMMYFUNCTION("""COMPUTED_VALUE"""),"M.M.")</f>
        <v>M.M.</v>
      </c>
      <c r="AC294" s="6">
        <f>IFERROR(__xludf.DUMMYFUNCTION("""COMPUTED_VALUE"""),5.6872665E8)</f>
        <v>568726650</v>
      </c>
      <c r="AD294" s="9">
        <f>IFERROR(__xludf.DUMMYFUNCTION("""COMPUTED_VALUE"""),30993.0)</f>
        <v>30993</v>
      </c>
      <c r="AE294" s="6" t="str">
        <f>IFERROR(__xludf.DUMMYFUNCTION("""COMPUTED_VALUE"""),"uk")</f>
        <v>uk</v>
      </c>
      <c r="AF294" s="6" t="str">
        <f>IFERROR(__xludf.DUMMYFUNCTION("""COMPUTED_VALUE"""),"Berezhnytsya")</f>
        <v>Berezhnytsya</v>
      </c>
      <c r="AG294" s="6" t="str">
        <f>IFERROR(__xludf.DUMMYFUNCTION("""COMPUTED_VALUE"""),"Hr. M.M. Zilinkevych")</f>
        <v>Hr. M.M. Zilinkevych</v>
      </c>
      <c r="AH294" s="6"/>
      <c r="AI294" s="6"/>
      <c r="AJ294" s="6" t="str">
        <f>IFERROR(__xludf.DUMMYFUNCTION("""COMPUTED_VALUE"""),"Paspoort")</f>
        <v>Paspoort</v>
      </c>
      <c r="AK294" s="6" t="str">
        <f>IFERROR(__xludf.DUMMYFUNCTION("""COMPUTED_VALUE"""),"FF988873")</f>
        <v>FF988873</v>
      </c>
      <c r="AL294" s="6"/>
      <c r="AM294" s="6" t="str">
        <f>IFERROR(__xludf.DUMMYFUNCTION("""COMPUTED_VALUE"""),"Sovjet-Unie")</f>
        <v>Sovjet-Unie</v>
      </c>
      <c r="AN294" s="6" t="str">
        <f>IFERROR(__xludf.DUMMYFUNCTION("""COMPUTED_VALUE"""),"Marian Mykhailovych Zilinkevych")</f>
        <v>Marian Mykhailovych Zilinkevych</v>
      </c>
      <c r="AO294" s="6">
        <f>IFERROR(__xludf.DUMMYFUNCTION("""COMPUTED_VALUE"""),1632.0)</f>
        <v>1632</v>
      </c>
    </row>
    <row r="295">
      <c r="A295" s="6" t="str">
        <f>IFERROR(__xludf.DUMMYFUNCTION("""COMPUTED_VALUE"""),"Mari 90")</f>
        <v>Mari 90</v>
      </c>
      <c r="B295" s="6" t="str">
        <f>IFERROR(__xludf.DUMMYFUNCTION("""COMPUTED_VALUE"""),"Mari 90")</f>
        <v>Mari 90</v>
      </c>
      <c r="C295" s="6">
        <f>IFERROR(__xludf.DUMMYFUNCTION("""COMPUTED_VALUE"""),701.0)</f>
        <v>701</v>
      </c>
      <c r="D295" s="7" t="str">
        <f>IFERROR(__xludf.DUMMYFUNCTION("""COMPUTED_VALUE"""),"Diko Georgiev Dikov")</f>
        <v>Diko Georgiev Dikov</v>
      </c>
      <c r="E295" s="7" t="str">
        <f>IFERROR(__xludf.DUMMYFUNCTION("""COMPUTED_VALUE"""),"SBI-code: 4120 - Algemene burgerlijke en utiliteitsbouw")</f>
        <v>SBI-code: 4120 - Algemene burgerlijke en utiliteitsbouw</v>
      </c>
      <c r="F295" s="7" t="str">
        <f>IFERROR(__xludf.DUMMYFUNCTION("""COMPUTED_VALUE"""),"0648011704")</f>
        <v>0648011704</v>
      </c>
      <c r="G295" s="6" t="str">
        <f>IFERROR(__xludf.DUMMYFUNCTION("""COMPUTED_VALUE"""),"diko_lalka@hotmail.com")</f>
        <v>diko_lalka@hotmail.com</v>
      </c>
      <c r="H295" s="6" t="str">
        <f>IFERROR(__xludf.DUMMYFUNCTION("""COMPUTED_VALUE"""),"Oostvaardersdijk 26")</f>
        <v>Oostvaardersdijk 26</v>
      </c>
      <c r="I295" s="6" t="str">
        <f>IFERROR(__xludf.DUMMYFUNCTION("""COMPUTED_VALUE"""),"8243PA")</f>
        <v>8243PA</v>
      </c>
      <c r="J295" s="6" t="str">
        <f>IFERROR(__xludf.DUMMYFUNCTION("""COMPUTED_VALUE"""),"Lelystad")</f>
        <v>Lelystad</v>
      </c>
      <c r="K295" s="6" t="str">
        <f>IFERROR(__xludf.DUMMYFUNCTION("""COMPUTED_VALUE"""),"Nederland")</f>
        <v>Nederland</v>
      </c>
      <c r="L295" s="6" t="str">
        <f>IFERROR(__xludf.DUMMYFUNCTION("""COMPUTED_VALUE"""),"Диков")</f>
        <v>Диков</v>
      </c>
      <c r="M295" s="8">
        <f>IFERROR(__xludf.DUMMYFUNCTION("""COMPUTED_VALUE"""),43466.0)</f>
        <v>43466</v>
      </c>
      <c r="N295" s="6" t="str">
        <f>IFERROR(__xludf.DUMMYFUNCTION("""COMPUTED_VALUE"""),"NL627964345B02")</f>
        <v>NL627964345B02</v>
      </c>
      <c r="O295" s="6">
        <f>IFERROR(__xludf.DUMMYFUNCTION("""COMPUTED_VALUE"""),7.3787493E7)</f>
        <v>73787493</v>
      </c>
      <c r="P295" s="6" t="str">
        <f>IFERROR(__xludf.DUMMYFUNCTION("""COMPUTED_VALUE"""),"NL59INGB0008843030")</f>
        <v>NL59INGB0008843030</v>
      </c>
      <c r="Q295" s="9">
        <f>IFERROR(__xludf.DUMMYFUNCTION("""COMPUTED_VALUE"""),43466.0)</f>
        <v>43466</v>
      </c>
      <c r="R295" s="6"/>
      <c r="S295" s="6" t="str">
        <f>IFERROR(__xludf.DUMMYFUNCTION("""COMPUTED_VALUE"""),"NL002510163B03")</f>
        <v>NL002510163B03</v>
      </c>
      <c r="T295" s="6">
        <f>IFERROR(__xludf.DUMMYFUNCTION("""COMPUTED_VALUE"""),6.27964345E8)</f>
        <v>627964345</v>
      </c>
      <c r="U295" s="7" t="str">
        <f>IFERROR(__xludf.DUMMYFUNCTION("""COMPUTED_VALUE"""),"Eenmanszaak")</f>
        <v>Eenmanszaak</v>
      </c>
      <c r="V295" s="7" t="str">
        <f>IFERROR(__xludf.DUMMYFUNCTION("""COMPUTED_VALUE"""),"000041791584")</f>
        <v>000041791584</v>
      </c>
      <c r="W295" s="6" t="str">
        <f>IFERROR(__xludf.DUMMYFUNCTION("""COMPUTED_VALUE"""),"ink.mari90.2288aa@zarabota.nl")</f>
        <v>ink.mari90.2288aa@zarabota.nl</v>
      </c>
      <c r="X295" s="6" t="str">
        <f>IFERROR(__xludf.DUMMYFUNCTION("""COMPUTED_VALUE"""),"ver.mari90.2288aa@zarabota.nl")</f>
        <v>ver.mari90.2288aa@zarabota.nl</v>
      </c>
      <c r="Y295" s="6" t="str">
        <f>IFERROR(__xludf.DUMMYFUNCTION("""COMPUTED_VALUE"""),"Hr.")</f>
        <v>Hr.</v>
      </c>
      <c r="Z295" s="6" t="str">
        <f>IFERROR(__xludf.DUMMYFUNCTION("""COMPUTED_VALUE"""),"Diko Georgiev")</f>
        <v>Diko Georgiev</v>
      </c>
      <c r="AA295" s="6" t="str">
        <f>IFERROR(__xludf.DUMMYFUNCTION("""COMPUTED_VALUE"""),"Dikov")</f>
        <v>Dikov</v>
      </c>
      <c r="AB295" s="6" t="str">
        <f>IFERROR(__xludf.DUMMYFUNCTION("""COMPUTED_VALUE"""),"D.G.")</f>
        <v>D.G.</v>
      </c>
      <c r="AC295" s="6">
        <f>IFERROR(__xludf.DUMMYFUNCTION("""COMPUTED_VALUE"""),6.27964345E8)</f>
        <v>627964345</v>
      </c>
      <c r="AD295" s="9">
        <f>IFERROR(__xludf.DUMMYFUNCTION("""COMPUTED_VALUE"""),33106.0)</f>
        <v>33106</v>
      </c>
      <c r="AE295" s="6" t="str">
        <f>IFERROR(__xludf.DUMMYFUNCTION("""COMPUTED_VALUE"""),"bg")</f>
        <v>bg</v>
      </c>
      <c r="AF295" s="6" t="str">
        <f>IFERROR(__xludf.DUMMYFUNCTION("""COMPUTED_VALUE"""),"Cherven Bryag")</f>
        <v>Cherven Bryag</v>
      </c>
      <c r="AG295" s="6" t="str">
        <f>IFERROR(__xludf.DUMMYFUNCTION("""COMPUTED_VALUE"""),"Hr. D.G. Dikov")</f>
        <v>Hr. D.G. Dikov</v>
      </c>
      <c r="AH295" s="6"/>
      <c r="AI295" s="6"/>
      <c r="AJ295" s="6" t="str">
        <f>IFERROR(__xludf.DUMMYFUNCTION("""COMPUTED_VALUE"""),"ID Kaart")</f>
        <v>ID Kaart</v>
      </c>
      <c r="AK295" s="6">
        <f>IFERROR(__xludf.DUMMYFUNCTION("""COMPUTED_VALUE"""),6.47760815E8)</f>
        <v>647760815</v>
      </c>
      <c r="AL295" s="9">
        <f>IFERROR(__xludf.DUMMYFUNCTION("""COMPUTED_VALUE"""),46973.0)</f>
        <v>46973</v>
      </c>
      <c r="AM295" s="6"/>
      <c r="AN295" s="6" t="str">
        <f>IFERROR(__xludf.DUMMYFUNCTION("""COMPUTED_VALUE"""),"Diko Georgiev Dikov")</f>
        <v>Diko Georgiev Dikov</v>
      </c>
      <c r="AO295" s="6"/>
    </row>
    <row r="296">
      <c r="A296" s="6" t="str">
        <f>IFERROR(__xludf.DUMMYFUNCTION("""COMPUTED_VALUE"""),"Marit Onderhoudsbedrijf")</f>
        <v>Marit Onderhoudsbedrijf</v>
      </c>
      <c r="B296" s="6" t="str">
        <f>IFERROR(__xludf.DUMMYFUNCTION("""COMPUTED_VALUE"""),"Marit Onderhoudsbedrijf")</f>
        <v>Marit Onderhoudsbedrijf</v>
      </c>
      <c r="C296" s="6">
        <f>IFERROR(__xludf.DUMMYFUNCTION("""COMPUTED_VALUE"""),365.0)</f>
        <v>365</v>
      </c>
      <c r="D296" s="7" t="str">
        <f>IFERROR(__xludf.DUMMYFUNCTION("""COMPUTED_VALUE"""),"Mladen Eftimov Hadzhiyski")</f>
        <v>Mladen Eftimov Hadzhiyski</v>
      </c>
      <c r="E296" s="7" t="str">
        <f>IFERROR(__xludf.DUMMYFUNCTION("""COMPUTED_VALUE"""),"SBI-code: 4120 - Algemene burgerlijke en utiliteitsbouw")</f>
        <v>SBI-code: 4120 - Algemene burgerlijke en utiliteitsbouw</v>
      </c>
      <c r="F296" s="7" t="str">
        <f>IFERROR(__xludf.DUMMYFUNCTION("""COMPUTED_VALUE"""),"0654277611")</f>
        <v>0654277611</v>
      </c>
      <c r="G296" s="6" t="str">
        <f>IFERROR(__xludf.DUMMYFUNCTION("""COMPUTED_VALUE"""),"maritonderhouds@hotmail.com")</f>
        <v>maritonderhouds@hotmail.com</v>
      </c>
      <c r="H296" s="6" t="str">
        <f>IFERROR(__xludf.DUMMYFUNCTION("""COMPUTED_VALUE"""),"Cornelis Musiusstraat 6")</f>
        <v>Cornelis Musiusstraat 6</v>
      </c>
      <c r="I296" s="6" t="str">
        <f>IFERROR(__xludf.DUMMYFUNCTION("""COMPUTED_VALUE"""),"2612PH")</f>
        <v>2612PH</v>
      </c>
      <c r="J296" s="6" t="str">
        <f>IFERROR(__xludf.DUMMYFUNCTION("""COMPUTED_VALUE"""),"Delft")</f>
        <v>Delft</v>
      </c>
      <c r="K296" s="6" t="str">
        <f>IFERROR(__xludf.DUMMYFUNCTION("""COMPUTED_VALUE"""),"Nederland")</f>
        <v>Nederland</v>
      </c>
      <c r="L296" s="6" t="str">
        <f>IFERROR(__xludf.DUMMYFUNCTION("""COMPUTED_VALUE"""),"Хаджийски")</f>
        <v>Хаджийски</v>
      </c>
      <c r="M296" s="8">
        <f>IFERROR(__xludf.DUMMYFUNCTION("""COMPUTED_VALUE"""),43175.0)</f>
        <v>43175</v>
      </c>
      <c r="N296" s="6" t="str">
        <f>IFERROR(__xludf.DUMMYFUNCTION("""COMPUTED_VALUE"""),"NL856468952B01")</f>
        <v>NL856468952B01</v>
      </c>
      <c r="O296" s="6">
        <f>IFERROR(__xludf.DUMMYFUNCTION("""COMPUTED_VALUE"""),6.6263069E7)</f>
        <v>66263069</v>
      </c>
      <c r="P296" s="6" t="str">
        <f>IFERROR(__xludf.DUMMYFUNCTION("""COMPUTED_VALUE"""),"NL23INGB0005851422")</f>
        <v>NL23INGB0005851422</v>
      </c>
      <c r="Q296" s="9">
        <f>IFERROR(__xludf.DUMMYFUNCTION("""COMPUTED_VALUE"""),40497.0)</f>
        <v>40497</v>
      </c>
      <c r="R296" s="6"/>
      <c r="S296" s="6" t="str">
        <f>IFERROR(__xludf.DUMMYFUNCTION("""COMPUTED_VALUE"""),"NL856468952B01")</f>
        <v>NL856468952B01</v>
      </c>
      <c r="T296" s="6">
        <f>IFERROR(__xludf.DUMMYFUNCTION("""COMPUTED_VALUE"""),8.56468952E8)</f>
        <v>856468952</v>
      </c>
      <c r="U296" s="7" t="str">
        <f>IFERROR(__xludf.DUMMYFUNCTION("""COMPUTED_VALUE"""),"Eenmanszaak")</f>
        <v>Eenmanszaak</v>
      </c>
      <c r="V296" s="7" t="str">
        <f>IFERROR(__xludf.DUMMYFUNCTION("""COMPUTED_VALUE"""),"000021323089")</f>
        <v>000021323089</v>
      </c>
      <c r="W296" s="6" t="str">
        <f>IFERROR(__xludf.DUMMYFUNCTION("""COMPUTED_VALUE"""),"ink.maritonderhoudsbedrijf.2288aa@zarabota.nl")</f>
        <v>ink.maritonderhoudsbedrijf.2288aa@zarabota.nl</v>
      </c>
      <c r="X296" s="6" t="str">
        <f>IFERROR(__xludf.DUMMYFUNCTION("""COMPUTED_VALUE"""),"ver.maritonderhoudsbedrijf.2288aa@zarabota.nl")</f>
        <v>ver.maritonderhoudsbedrijf.2288aa@zarabota.nl</v>
      </c>
      <c r="Y296" s="6" t="str">
        <f>IFERROR(__xludf.DUMMYFUNCTION("""COMPUTED_VALUE"""),"Hr.")</f>
        <v>Hr.</v>
      </c>
      <c r="Z296" s="6" t="str">
        <f>IFERROR(__xludf.DUMMYFUNCTION("""COMPUTED_VALUE"""),"Mladen Evtimov")</f>
        <v>Mladen Evtimov</v>
      </c>
      <c r="AA296" s="6" t="str">
        <f>IFERROR(__xludf.DUMMYFUNCTION("""COMPUTED_VALUE"""),"Hadzhiyski")</f>
        <v>Hadzhiyski</v>
      </c>
      <c r="AB296" s="6" t="str">
        <f>IFERROR(__xludf.DUMMYFUNCTION("""COMPUTED_VALUE"""),"M.E.")</f>
        <v>M.E.</v>
      </c>
      <c r="AC296" s="6">
        <f>IFERROR(__xludf.DUMMYFUNCTION("""COMPUTED_VALUE"""),4.07375442E8)</f>
        <v>407375442</v>
      </c>
      <c r="AD296" s="9">
        <f>IFERROR(__xludf.DUMMYFUNCTION("""COMPUTED_VALUE"""),30853.0)</f>
        <v>30853</v>
      </c>
      <c r="AE296" s="6" t="str">
        <f>IFERROR(__xludf.DUMMYFUNCTION("""COMPUTED_VALUE"""),"bg")</f>
        <v>bg</v>
      </c>
      <c r="AF296" s="6" t="str">
        <f>IFERROR(__xludf.DUMMYFUNCTION("""COMPUTED_VALUE"""),"Plovdiv")</f>
        <v>Plovdiv</v>
      </c>
      <c r="AG296" s="6" t="str">
        <f>IFERROR(__xludf.DUMMYFUNCTION("""COMPUTED_VALUE"""),"Hr. M.E. Hadzhiyski")</f>
        <v>Hr. M.E. Hadzhiyski</v>
      </c>
      <c r="AH296" s="6"/>
      <c r="AI296" s="6"/>
      <c r="AJ296" s="6"/>
      <c r="AK296" s="6"/>
      <c r="AL296" s="6"/>
      <c r="AM296" s="6"/>
      <c r="AN296" s="6" t="str">
        <f>IFERROR(__xludf.DUMMYFUNCTION("""COMPUTED_VALUE"""),"Mladen Evtimov Hadzhiyski")</f>
        <v>Mladen Evtimov Hadzhiyski</v>
      </c>
      <c r="AO296" s="6"/>
    </row>
    <row r="297">
      <c r="A297" s="6" t="str">
        <f>IFERROR(__xludf.DUMMYFUNCTION("""COMPUTED_VALUE"""),"Mart - Transport")</f>
        <v>Mart - Transport</v>
      </c>
      <c r="B297" s="6" t="str">
        <f>IFERROR(__xludf.DUMMYFUNCTION("""COMPUTED_VALUE"""),"Mart-Transport")</f>
        <v>Mart-Transport</v>
      </c>
      <c r="C297" s="6">
        <f>IFERROR(__xludf.DUMMYFUNCTION("""COMPUTED_VALUE"""),1219.0)</f>
        <v>1219</v>
      </c>
      <c r="D297" s="7" t="str">
        <f>IFERROR(__xludf.DUMMYFUNCTION("""COMPUTED_VALUE"""),"Konstantin Kolev Petrov")</f>
        <v>Konstantin Kolev Petrov</v>
      </c>
      <c r="E297" s="7" t="str">
        <f>IFERROR(__xludf.DUMMYFUNCTION("""COMPUTED_VALUE"""),"SBI-code: 4941 - Goederenvervoer over de weg (geen verhuizingen)")</f>
        <v>SBI-code: 4941 - Goederenvervoer over de weg (geen verhuizingen)</v>
      </c>
      <c r="F297" s="7" t="str">
        <f>IFERROR(__xludf.DUMMYFUNCTION("""COMPUTED_VALUE"""),"0687834257")</f>
        <v>0687834257</v>
      </c>
      <c r="G297" s="6" t="str">
        <f>IFERROR(__xludf.DUMMYFUNCTION("""COMPUTED_VALUE"""),"kpetrov751@gmail.com")</f>
        <v>kpetrov751@gmail.com</v>
      </c>
      <c r="H297" s="6" t="str">
        <f>IFERROR(__xludf.DUMMYFUNCTION("""COMPUTED_VALUE"""),"Paulus Potterstraat 58")</f>
        <v>Paulus Potterstraat 58</v>
      </c>
      <c r="I297" s="6" t="str">
        <f>IFERROR(__xludf.DUMMYFUNCTION("""COMPUTED_VALUE"""),"3117XG")</f>
        <v>3117XG</v>
      </c>
      <c r="J297" s="6" t="str">
        <f>IFERROR(__xludf.DUMMYFUNCTION("""COMPUTED_VALUE"""),"Schiedam")</f>
        <v>Schiedam</v>
      </c>
      <c r="K297" s="6" t="str">
        <f>IFERROR(__xludf.DUMMYFUNCTION("""COMPUTED_VALUE"""),"Nederland")</f>
        <v>Nederland</v>
      </c>
      <c r="L297" s="6" t="str">
        <f>IFERROR(__xludf.DUMMYFUNCTION("""COMPUTED_VALUE"""),"Петров")</f>
        <v>Петров</v>
      </c>
      <c r="M297" s="8">
        <f>IFERROR(__xludf.DUMMYFUNCTION("""COMPUTED_VALUE"""),44378.0)</f>
        <v>44378</v>
      </c>
      <c r="N297" s="6" t="str">
        <f>IFERROR(__xludf.DUMMYFUNCTION("""COMPUTED_VALUE"""),"NL642807103B03")</f>
        <v>NL642807103B03</v>
      </c>
      <c r="O297" s="6">
        <f>IFERROR(__xludf.DUMMYFUNCTION("""COMPUTED_VALUE"""),8.3585664E7)</f>
        <v>83585664</v>
      </c>
      <c r="P297" s="6" t="str">
        <f>IFERROR(__xludf.DUMMYFUNCTION("""COMPUTED_VALUE"""),"NL31INGB0009385764")</f>
        <v>NL31INGB0009385764</v>
      </c>
      <c r="Q297" s="9">
        <f>IFERROR(__xludf.DUMMYFUNCTION("""COMPUTED_VALUE"""),44378.0)</f>
        <v>44378</v>
      </c>
      <c r="R297" s="6"/>
      <c r="S297" s="6" t="str">
        <f>IFERROR(__xludf.DUMMYFUNCTION("""COMPUTED_VALUE"""),"NL003845225B29")</f>
        <v>NL003845225B29</v>
      </c>
      <c r="T297" s="6">
        <f>IFERROR(__xludf.DUMMYFUNCTION("""COMPUTED_VALUE"""),6.42807103E8)</f>
        <v>642807103</v>
      </c>
      <c r="U297" s="7" t="str">
        <f>IFERROR(__xludf.DUMMYFUNCTION("""COMPUTED_VALUE"""),"Eenmanszaak")</f>
        <v>Eenmanszaak</v>
      </c>
      <c r="V297" s="7" t="str">
        <f>IFERROR(__xludf.DUMMYFUNCTION("""COMPUTED_VALUE"""),"000049744534")</f>
        <v>000049744534</v>
      </c>
      <c r="W297" s="6" t="str">
        <f>IFERROR(__xludf.DUMMYFUNCTION("""COMPUTED_VALUE"""),"ink.mart-transport.2288aa@zarabota.nl")</f>
        <v>ink.mart-transport.2288aa@zarabota.nl</v>
      </c>
      <c r="X297" s="6" t="str">
        <f>IFERROR(__xludf.DUMMYFUNCTION("""COMPUTED_VALUE"""),"ver.mart-transport.2288aa@zarabota.nl")</f>
        <v>ver.mart-transport.2288aa@zarabota.nl</v>
      </c>
      <c r="Y297" s="6" t="str">
        <f>IFERROR(__xludf.DUMMYFUNCTION("""COMPUTED_VALUE"""),"Hr.")</f>
        <v>Hr.</v>
      </c>
      <c r="Z297" s="6" t="str">
        <f>IFERROR(__xludf.DUMMYFUNCTION("""COMPUTED_VALUE"""),"Konstantin Kolev")</f>
        <v>Konstantin Kolev</v>
      </c>
      <c r="AA297" s="6" t="str">
        <f>IFERROR(__xludf.DUMMYFUNCTION("""COMPUTED_VALUE"""),"Petrov")</f>
        <v>Petrov</v>
      </c>
      <c r="AB297" s="6" t="str">
        <f>IFERROR(__xludf.DUMMYFUNCTION("""COMPUTED_VALUE"""),"K.K.")</f>
        <v>K.K.</v>
      </c>
      <c r="AC297" s="6">
        <f>IFERROR(__xludf.DUMMYFUNCTION("""COMPUTED_VALUE"""),6.42807103E8)</f>
        <v>642807103</v>
      </c>
      <c r="AD297" s="9">
        <f>IFERROR(__xludf.DUMMYFUNCTION("""COMPUTED_VALUE"""),30008.0)</f>
        <v>30008</v>
      </c>
      <c r="AE297" s="6" t="str">
        <f>IFERROR(__xludf.DUMMYFUNCTION("""COMPUTED_VALUE"""),"bg")</f>
        <v>bg</v>
      </c>
      <c r="AF297" s="6" t="str">
        <f>IFERROR(__xludf.DUMMYFUNCTION("""COMPUTED_VALUE"""),"Haskovo")</f>
        <v>Haskovo</v>
      </c>
      <c r="AG297" s="6" t="str">
        <f>IFERROR(__xludf.DUMMYFUNCTION("""COMPUTED_VALUE"""),"Hr. K.K. Petrov")</f>
        <v>Hr. K.K. Petrov</v>
      </c>
      <c r="AH297" s="6"/>
      <c r="AI297" s="6"/>
      <c r="AJ297" s="6" t="str">
        <f>IFERROR(__xludf.DUMMYFUNCTION("""COMPUTED_VALUE"""),"ID Kaart")</f>
        <v>ID Kaart</v>
      </c>
      <c r="AK297" s="6">
        <f>IFERROR(__xludf.DUMMYFUNCTION("""COMPUTED_VALUE"""),6.49520425E8)</f>
        <v>649520425</v>
      </c>
      <c r="AL297" s="9">
        <f>IFERROR(__xludf.DUMMYFUNCTION("""COMPUTED_VALUE"""),47751.0)</f>
        <v>47751</v>
      </c>
      <c r="AM297" s="6" t="str">
        <f>IFERROR(__xludf.DUMMYFUNCTION("""COMPUTED_VALUE"""),"Bulgarije")</f>
        <v>Bulgarije</v>
      </c>
      <c r="AN297" s="6" t="str">
        <f>IFERROR(__xludf.DUMMYFUNCTION("""COMPUTED_VALUE"""),"Konstantin Kolev Petrov")</f>
        <v>Konstantin Kolev Petrov</v>
      </c>
      <c r="AO297" s="6">
        <f>IFERROR(__xludf.DUMMYFUNCTION("""COMPUTED_VALUE"""),1219.0)</f>
        <v>1219</v>
      </c>
    </row>
    <row r="298">
      <c r="A298" s="6" t="str">
        <f>IFERROR(__xludf.DUMMYFUNCTION("""COMPUTED_VALUE"""),"Martin Kulev 94 VOF")</f>
        <v>Martin Kulev 94 VOF</v>
      </c>
      <c r="B298" s="6" t="str">
        <f>IFERROR(__xludf.DUMMYFUNCTION("""COMPUTED_VALUE"""),"Martin Kulev 94 VOF")</f>
        <v>Martin Kulev 94 VOF</v>
      </c>
      <c r="C298" s="6">
        <f>IFERROR(__xludf.DUMMYFUNCTION("""COMPUTED_VALUE"""),1422.0)</f>
        <v>1422</v>
      </c>
      <c r="D298" s="7" t="str">
        <f>IFERROR(__xludf.DUMMYFUNCTION("""COMPUTED_VALUE"""),"Martin Srebrinov Kulev")</f>
        <v>Martin Srebrinov Kulev</v>
      </c>
      <c r="E298" s="7" t="str">
        <f>IFERROR(__xludf.DUMMYFUNCTION("""COMPUTED_VALUE"""),"SBI-code: 4120 - Algemene burgerlijke en utiliteitsbouw")</f>
        <v>SBI-code: 4120 - Algemene burgerlijke en utiliteitsbouw</v>
      </c>
      <c r="F298" s="7" t="str">
        <f>IFERROR(__xludf.DUMMYFUNCTION("""COMPUTED_VALUE"""),"0647271020")</f>
        <v>0647271020</v>
      </c>
      <c r="G298" s="6" t="str">
        <f>IFERROR(__xludf.DUMMYFUNCTION("""COMPUTED_VALUE"""),"martinkulev386@gmail.com")</f>
        <v>martinkulev386@gmail.com</v>
      </c>
      <c r="H298" s="6" t="str">
        <f>IFERROR(__xludf.DUMMYFUNCTION("""COMPUTED_VALUE"""),"Houtstraat 5")</f>
        <v>Houtstraat 5</v>
      </c>
      <c r="I298" s="6" t="str">
        <f>IFERROR(__xludf.DUMMYFUNCTION("""COMPUTED_VALUE"""),"3114NG")</f>
        <v>3114NG</v>
      </c>
      <c r="J298" s="6" t="str">
        <f>IFERROR(__xludf.DUMMYFUNCTION("""COMPUTED_VALUE"""),"Schiedam")</f>
        <v>Schiedam</v>
      </c>
      <c r="K298" s="6" t="str">
        <f>IFERROR(__xludf.DUMMYFUNCTION("""COMPUTED_VALUE"""),"Nederland")</f>
        <v>Nederland</v>
      </c>
      <c r="L298" s="6" t="str">
        <f>IFERROR(__xludf.DUMMYFUNCTION("""COMPUTED_VALUE"""),"Кулев")</f>
        <v>Кулев</v>
      </c>
      <c r="M298" s="8">
        <f>IFERROR(__xludf.DUMMYFUNCTION("""COMPUTED_VALUE"""),44835.0)</f>
        <v>44835</v>
      </c>
      <c r="N298" s="6" t="str">
        <f>IFERROR(__xludf.DUMMYFUNCTION("""COMPUTED_VALUE"""),"NL864466341B01")</f>
        <v>NL864466341B01</v>
      </c>
      <c r="O298" s="6">
        <f>IFERROR(__xludf.DUMMYFUNCTION("""COMPUTED_VALUE"""),8.7980983E7)</f>
        <v>87980983</v>
      </c>
      <c r="P298" s="6" t="str">
        <f>IFERROR(__xludf.DUMMYFUNCTION("""COMPUTED_VALUE"""),"NL06INGB0008695283")</f>
        <v>NL06INGB0008695283</v>
      </c>
      <c r="Q298" s="9">
        <f>IFERROR(__xludf.DUMMYFUNCTION("""COMPUTED_VALUE"""),44835.0)</f>
        <v>44835</v>
      </c>
      <c r="R298" s="6"/>
      <c r="S298" s="6" t="str">
        <f>IFERROR(__xludf.DUMMYFUNCTION("""COMPUTED_VALUE"""),"NL864466341B01")</f>
        <v>NL864466341B01</v>
      </c>
      <c r="T298" s="6">
        <f>IFERROR(__xludf.DUMMYFUNCTION("""COMPUTED_VALUE"""),8.64466341E8)</f>
        <v>864466341</v>
      </c>
      <c r="U298" s="7" t="str">
        <f>IFERROR(__xludf.DUMMYFUNCTION("""COMPUTED_VALUE"""),"Vennootschap Onder Firma")</f>
        <v>Vennootschap Onder Firma</v>
      </c>
      <c r="V298" s="7" t="str">
        <f>IFERROR(__xludf.DUMMYFUNCTION("""COMPUTED_VALUE"""),"000040743675")</f>
        <v>000040743675</v>
      </c>
      <c r="W298" s="6" t="str">
        <f>IFERROR(__xludf.DUMMYFUNCTION("""COMPUTED_VALUE"""),"ink.martinkulev94.2288aa@zarabota.nl")</f>
        <v>ink.martinkulev94.2288aa@zarabota.nl</v>
      </c>
      <c r="X298" s="6" t="str">
        <f>IFERROR(__xludf.DUMMYFUNCTION("""COMPUTED_VALUE"""),"ver.martinkulev94.2288aa@zarabota.nl")</f>
        <v>ver.martinkulev94.2288aa@zarabota.nl</v>
      </c>
      <c r="Y298" s="6" t="str">
        <f>IFERROR(__xludf.DUMMYFUNCTION("""COMPUTED_VALUE"""),"Hr.")</f>
        <v>Hr.</v>
      </c>
      <c r="Z298" s="6" t="str">
        <f>IFERROR(__xludf.DUMMYFUNCTION("""COMPUTED_VALUE"""),"Martin Srebrinov")</f>
        <v>Martin Srebrinov</v>
      </c>
      <c r="AA298" s="6" t="str">
        <f>IFERROR(__xludf.DUMMYFUNCTION("""COMPUTED_VALUE"""),"Kulev")</f>
        <v>Kulev</v>
      </c>
      <c r="AB298" s="6" t="str">
        <f>IFERROR(__xludf.DUMMYFUNCTION("""COMPUTED_VALUE"""),"M.S.")</f>
        <v>M.S.</v>
      </c>
      <c r="AC298" s="6">
        <f>IFERROR(__xludf.DUMMYFUNCTION("""COMPUTED_VALUE"""),5.33943231E8)</f>
        <v>533943231</v>
      </c>
      <c r="AD298" s="9">
        <f>IFERROR(__xludf.DUMMYFUNCTION("""COMPUTED_VALUE"""),34422.0)</f>
        <v>34422</v>
      </c>
      <c r="AE298" s="6" t="str">
        <f>IFERROR(__xludf.DUMMYFUNCTION("""COMPUTED_VALUE"""),"bg")</f>
        <v>bg</v>
      </c>
      <c r="AF298" s="6" t="str">
        <f>IFERROR(__xludf.DUMMYFUNCTION("""COMPUTED_VALUE"""),"Devin")</f>
        <v>Devin</v>
      </c>
      <c r="AG298" s="6" t="str">
        <f>IFERROR(__xludf.DUMMYFUNCTION("""COMPUTED_VALUE"""),"Hr. M.S. Kulev")</f>
        <v>Hr. M.S. Kulev</v>
      </c>
      <c r="AH298" s="6" t="str">
        <f>IFERROR(__xludf.DUMMYFUNCTION("""COMPUTED_VALUE"""),"NL90INGB0798543043")</f>
        <v>NL90INGB0798543043</v>
      </c>
      <c r="AI298" s="6"/>
      <c r="AJ298" s="6" t="str">
        <f>IFERROR(__xludf.DUMMYFUNCTION("""COMPUTED_VALUE"""),"ID Kaart")</f>
        <v>ID Kaart</v>
      </c>
      <c r="AK298" s="6">
        <f>IFERROR(__xludf.DUMMYFUNCTION("""COMPUTED_VALUE"""),6.44155984E8)</f>
        <v>644155984</v>
      </c>
      <c r="AL298" s="9">
        <f>IFERROR(__xludf.DUMMYFUNCTION("""COMPUTED_VALUE"""),44779.0)</f>
        <v>44779</v>
      </c>
      <c r="AM298" s="6" t="str">
        <f>IFERROR(__xludf.DUMMYFUNCTION("""COMPUTED_VALUE"""),"Bulgarije")</f>
        <v>Bulgarije</v>
      </c>
      <c r="AN298" s="6" t="str">
        <f>IFERROR(__xludf.DUMMYFUNCTION("""COMPUTED_VALUE"""),"Martin Srebrinov Kulev")</f>
        <v>Martin Srebrinov Kulev</v>
      </c>
      <c r="AO298" s="6">
        <f>IFERROR(__xludf.DUMMYFUNCTION("""COMPUTED_VALUE"""),1422.0)</f>
        <v>1422</v>
      </c>
    </row>
    <row r="299">
      <c r="A299" s="6" t="str">
        <f>IFERROR(__xludf.DUMMYFUNCTION("""COMPUTED_VALUE"""),"Martoni80 VOF")</f>
        <v>Martoni80 VOF</v>
      </c>
      <c r="B299" s="6" t="str">
        <f>IFERROR(__xludf.DUMMYFUNCTION("""COMPUTED_VALUE"""),"Martoni80 VOF")</f>
        <v>Martoni80 VOF</v>
      </c>
      <c r="C299" s="6">
        <f>IFERROR(__xludf.DUMMYFUNCTION("""COMPUTED_VALUE"""),1260.0)</f>
        <v>1260</v>
      </c>
      <c r="D299" s="7" t="str">
        <f>IFERROR(__xludf.DUMMYFUNCTION("""COMPUTED_VALUE"""),"Aleksandar Mitkov Filipov")</f>
        <v>Aleksandar Mitkov Filipov</v>
      </c>
      <c r="E299" s="7" t="str">
        <f>IFERROR(__xludf.DUMMYFUNCTION("""COMPUTED_VALUE"""),"SBI-code: 4120 - Algemene burgerlijke en utiliteitsbouw")</f>
        <v>SBI-code: 4120 - Algemene burgerlijke en utiliteitsbouw</v>
      </c>
      <c r="F299" s="7" t="str">
        <f>IFERROR(__xludf.DUMMYFUNCTION("""COMPUTED_VALUE"""),"0618119527")</f>
        <v>0618119527</v>
      </c>
      <c r="G299" s="6" t="str">
        <f>IFERROR(__xludf.DUMMYFUNCTION("""COMPUTED_VALUE"""),"sashofilipov706@gmail.com")</f>
        <v>sashofilipov706@gmail.com</v>
      </c>
      <c r="H299" s="6" t="str">
        <f>IFERROR(__xludf.DUMMYFUNCTION("""COMPUTED_VALUE"""),"Hattemlaan 5")</f>
        <v>Hattemlaan 5</v>
      </c>
      <c r="I299" s="6" t="str">
        <f>IFERROR(__xludf.DUMMYFUNCTION("""COMPUTED_VALUE"""),"2573WG")</f>
        <v>2573WG</v>
      </c>
      <c r="J299" s="6" t="str">
        <f>IFERROR(__xludf.DUMMYFUNCTION("""COMPUTED_VALUE"""),"s-Gravenhage")</f>
        <v>s-Gravenhage</v>
      </c>
      <c r="K299" s="6" t="str">
        <f>IFERROR(__xludf.DUMMYFUNCTION("""COMPUTED_VALUE"""),"Nederland")</f>
        <v>Nederland</v>
      </c>
      <c r="L299" s="6" t="str">
        <f>IFERROR(__xludf.DUMMYFUNCTION("""COMPUTED_VALUE"""),"Филипов")</f>
        <v>Филипов</v>
      </c>
      <c r="M299" s="8">
        <f>IFERROR(__xludf.DUMMYFUNCTION("""COMPUTED_VALUE"""),44562.0)</f>
        <v>44562</v>
      </c>
      <c r="N299" s="6" t="str">
        <f>IFERROR(__xludf.DUMMYFUNCTION("""COMPUTED_VALUE"""),"NL863583593B01")</f>
        <v>NL863583593B01</v>
      </c>
      <c r="O299" s="6">
        <f>IFERROR(__xludf.DUMMYFUNCTION("""COMPUTED_VALUE"""),8.5319732E7)</f>
        <v>85319732</v>
      </c>
      <c r="P299" s="6" t="str">
        <f>IFERROR(__xludf.DUMMYFUNCTION("""COMPUTED_VALUE"""),"NL60INGB0009405127")</f>
        <v>NL60INGB0009405127</v>
      </c>
      <c r="Q299" s="9">
        <f>IFERROR(__xludf.DUMMYFUNCTION("""COMPUTED_VALUE"""),44562.0)</f>
        <v>44562</v>
      </c>
      <c r="R299" s="6"/>
      <c r="S299" s="6" t="str">
        <f>IFERROR(__xludf.DUMMYFUNCTION("""COMPUTED_VALUE"""),"NL863583593B01")</f>
        <v>NL863583593B01</v>
      </c>
      <c r="T299" s="6">
        <f>IFERROR(__xludf.DUMMYFUNCTION("""COMPUTED_VALUE"""),8.63583593E8)</f>
        <v>863583593</v>
      </c>
      <c r="U299" s="7" t="str">
        <f>IFERROR(__xludf.DUMMYFUNCTION("""COMPUTED_VALUE"""),"Vennootschap Onder Firma")</f>
        <v>Vennootschap Onder Firma</v>
      </c>
      <c r="V299" s="7" t="str">
        <f>IFERROR(__xludf.DUMMYFUNCTION("""COMPUTED_VALUE"""),"000049234684")</f>
        <v>000049234684</v>
      </c>
      <c r="W299" s="6" t="str">
        <f>IFERROR(__xludf.DUMMYFUNCTION("""COMPUTED_VALUE"""),"ink.martoni80.2288aa@zarabota.nl")</f>
        <v>ink.martoni80.2288aa@zarabota.nl</v>
      </c>
      <c r="X299" s="6" t="str">
        <f>IFERROR(__xludf.DUMMYFUNCTION("""COMPUTED_VALUE"""),"ver.martoni80.2288aa@zarabota.nl")</f>
        <v>ver.martoni80.2288aa@zarabota.nl</v>
      </c>
      <c r="Y299" s="6" t="str">
        <f>IFERROR(__xludf.DUMMYFUNCTION("""COMPUTED_VALUE"""),"Hr.")</f>
        <v>Hr.</v>
      </c>
      <c r="Z299" s="6" t="str">
        <f>IFERROR(__xludf.DUMMYFUNCTION("""COMPUTED_VALUE"""),"Aleksandar Mitkov")</f>
        <v>Aleksandar Mitkov</v>
      </c>
      <c r="AA299" s="6" t="str">
        <f>IFERROR(__xludf.DUMMYFUNCTION("""COMPUTED_VALUE"""),"Filipov")</f>
        <v>Filipov</v>
      </c>
      <c r="AB299" s="6" t="str">
        <f>IFERROR(__xludf.DUMMYFUNCTION("""COMPUTED_VALUE"""),"A.M.")</f>
        <v>A.M.</v>
      </c>
      <c r="AC299" s="6">
        <f>IFERROR(__xludf.DUMMYFUNCTION("""COMPUTED_VALUE"""),4.51123736E8)</f>
        <v>451123736</v>
      </c>
      <c r="AD299" s="9">
        <f>IFERROR(__xludf.DUMMYFUNCTION("""COMPUTED_VALUE"""),28563.0)</f>
        <v>28563</v>
      </c>
      <c r="AE299" s="6" t="str">
        <f>IFERROR(__xludf.DUMMYFUNCTION("""COMPUTED_VALUE"""),"bg")</f>
        <v>bg</v>
      </c>
      <c r="AF299" s="6" t="str">
        <f>IFERROR(__xludf.DUMMYFUNCTION("""COMPUTED_VALUE"""),"Ardino")</f>
        <v>Ardino</v>
      </c>
      <c r="AG299" s="6" t="str">
        <f>IFERROR(__xludf.DUMMYFUNCTION("""COMPUTED_VALUE"""),"Hr. A.M. Filipov")</f>
        <v>Hr. A.M. Filipov</v>
      </c>
      <c r="AH299" s="6" t="str">
        <f>IFERROR(__xludf.DUMMYFUNCTION("""COMPUTED_VALUE"""),"NL63INGB0526866802")</f>
        <v>NL63INGB0526866802</v>
      </c>
      <c r="AI299" s="6"/>
      <c r="AJ299" s="6" t="str">
        <f>IFERROR(__xludf.DUMMYFUNCTION("""COMPUTED_VALUE"""),"ID Kaart")</f>
        <v>ID Kaart</v>
      </c>
      <c r="AK299" s="6">
        <f>IFERROR(__xludf.DUMMYFUNCTION("""COMPUTED_VALUE"""),6.49784062E8)</f>
        <v>649784062</v>
      </c>
      <c r="AL299" s="9">
        <f>IFERROR(__xludf.DUMMYFUNCTION("""COMPUTED_VALUE"""),47765.0)</f>
        <v>47765</v>
      </c>
      <c r="AM299" s="6" t="str">
        <f>IFERROR(__xludf.DUMMYFUNCTION("""COMPUTED_VALUE"""),"Bulgarije")</f>
        <v>Bulgarije</v>
      </c>
      <c r="AN299" s="6" t="str">
        <f>IFERROR(__xludf.DUMMYFUNCTION("""COMPUTED_VALUE"""),"Aleksandar Mitkov Filipov")</f>
        <v>Aleksandar Mitkov Filipov</v>
      </c>
      <c r="AO299" s="6">
        <f>IFERROR(__xludf.DUMMYFUNCTION("""COMPUTED_VALUE"""),1260.0)</f>
        <v>1260</v>
      </c>
    </row>
    <row r="300">
      <c r="A300" s="6" t="str">
        <f>IFERROR(__xludf.DUMMYFUNCTION("""COMPUTED_VALUE"""),"Mavre Bouw")</f>
        <v>Mavre Bouw</v>
      </c>
      <c r="B300" s="6" t="str">
        <f>IFERROR(__xludf.DUMMYFUNCTION("""COMPUTED_VALUE"""),"Mavre Bouw")</f>
        <v>Mavre Bouw</v>
      </c>
      <c r="C300" s="6">
        <f>IFERROR(__xludf.DUMMYFUNCTION("""COMPUTED_VALUE"""),1716.0)</f>
        <v>1716</v>
      </c>
      <c r="D300" s="7" t="str">
        <f>IFERROR(__xludf.DUMMYFUNCTION("""COMPUTED_VALUE"""),"Yanko Atanasov Mitev")</f>
        <v>Yanko Atanasov Mitev</v>
      </c>
      <c r="E300" s="7" t="str">
        <f>IFERROR(__xludf.DUMMYFUNCTION("""COMPUTED_VALUE"""),"SBI-code: 4120 - Algemene burgerlijke en utiliteitsbouw")</f>
        <v>SBI-code: 4120 - Algemene burgerlijke en utiliteitsbouw</v>
      </c>
      <c r="F300" s="7" t="str">
        <f>IFERROR(__xludf.DUMMYFUNCTION("""COMPUTED_VALUE"""),"0687198811")</f>
        <v>0687198811</v>
      </c>
      <c r="G300" s="6" t="str">
        <f>IFERROR(__xludf.DUMMYFUNCTION("""COMPUTED_VALUE"""),"mitev8448@gmail.com")</f>
        <v>mitev8448@gmail.com</v>
      </c>
      <c r="H300" s="6" t="str">
        <f>IFERROR(__xludf.DUMMYFUNCTION("""COMPUTED_VALUE"""),"Guido Gezellestraat 7")</f>
        <v>Guido Gezellestraat 7</v>
      </c>
      <c r="I300" s="6" t="str">
        <f>IFERROR(__xludf.DUMMYFUNCTION("""COMPUTED_VALUE"""),"2524CK")</f>
        <v>2524CK</v>
      </c>
      <c r="J300" s="6" t="str">
        <f>IFERROR(__xludf.DUMMYFUNCTION("""COMPUTED_VALUE"""),"s-Gravenhage")</f>
        <v>s-Gravenhage</v>
      </c>
      <c r="K300" s="6" t="str">
        <f>IFERROR(__xludf.DUMMYFUNCTION("""COMPUTED_VALUE"""),"Nederland")</f>
        <v>Nederland</v>
      </c>
      <c r="L300" s="6" t="str">
        <f>IFERROR(__xludf.DUMMYFUNCTION("""COMPUTED_VALUE"""),"Митев")</f>
        <v>Митев</v>
      </c>
      <c r="M300" s="8">
        <f>IFERROR(__xludf.DUMMYFUNCTION("""COMPUTED_VALUE"""),45839.0)</f>
        <v>45839</v>
      </c>
      <c r="N300" s="6" t="str">
        <f>IFERROR(__xludf.DUMMYFUNCTION("""COMPUTED_VALUE"""),"NL585923905B03")</f>
        <v>NL585923905B03</v>
      </c>
      <c r="O300" s="6">
        <f>IFERROR(__xludf.DUMMYFUNCTION("""COMPUTED_VALUE"""),9.7806927E7)</f>
        <v>97806927</v>
      </c>
      <c r="P300" s="6" t="str">
        <f>IFERROR(__xludf.DUMMYFUNCTION("""COMPUTED_VALUE"""),"NL40INGB0007576164")</f>
        <v>NL40INGB0007576164</v>
      </c>
      <c r="Q300" s="9">
        <f>IFERROR(__xludf.DUMMYFUNCTION("""COMPUTED_VALUE"""),45839.0)</f>
        <v>45839</v>
      </c>
      <c r="R300" s="6"/>
      <c r="S300" s="6" t="str">
        <f>IFERROR(__xludf.DUMMYFUNCTION("""COMPUTED_VALUE"""),"NL005290548B16")</f>
        <v>NL005290548B16</v>
      </c>
      <c r="T300" s="6">
        <f>IFERROR(__xludf.DUMMYFUNCTION("""COMPUTED_VALUE"""),5.85923905E8)</f>
        <v>585923905</v>
      </c>
      <c r="U300" s="7" t="str">
        <f>IFERROR(__xludf.DUMMYFUNCTION("""COMPUTED_VALUE"""),"Eenmanszaak")</f>
        <v>Eenmanszaak</v>
      </c>
      <c r="V300" s="7" t="str">
        <f>IFERROR(__xludf.DUMMYFUNCTION("""COMPUTED_VALUE"""),"000049832697")</f>
        <v>000049832697</v>
      </c>
      <c r="W300" s="6" t="str">
        <f>IFERROR(__xludf.DUMMYFUNCTION("""COMPUTED_VALUE"""),"ink.mavrebouw.2288aa@zarabota.nl")</f>
        <v>ink.mavrebouw.2288aa@zarabota.nl</v>
      </c>
      <c r="X300" s="6" t="str">
        <f>IFERROR(__xludf.DUMMYFUNCTION("""COMPUTED_VALUE"""),"ver.mavrebouw.2288aa@zarabota.nl")</f>
        <v>ver.mavrebouw.2288aa@zarabota.nl</v>
      </c>
      <c r="Y300" s="6" t="str">
        <f>IFERROR(__xludf.DUMMYFUNCTION("""COMPUTED_VALUE"""),"Hr.")</f>
        <v>Hr.</v>
      </c>
      <c r="Z300" s="6" t="str">
        <f>IFERROR(__xludf.DUMMYFUNCTION("""COMPUTED_VALUE"""),"Yanko Atanasov")</f>
        <v>Yanko Atanasov</v>
      </c>
      <c r="AA300" s="6" t="str">
        <f>IFERROR(__xludf.DUMMYFUNCTION("""COMPUTED_VALUE"""),"Mitev")</f>
        <v>Mitev</v>
      </c>
      <c r="AB300" s="6" t="str">
        <f>IFERROR(__xludf.DUMMYFUNCTION("""COMPUTED_VALUE"""),"Y.A.")</f>
        <v>Y.A.</v>
      </c>
      <c r="AC300" s="6">
        <f>IFERROR(__xludf.DUMMYFUNCTION("""COMPUTED_VALUE"""),5.85923905E8)</f>
        <v>585923905</v>
      </c>
      <c r="AD300" s="9">
        <f>IFERROR(__xludf.DUMMYFUNCTION("""COMPUTED_VALUE"""),32340.0)</f>
        <v>32340</v>
      </c>
      <c r="AE300" s="6" t="str">
        <f>IFERROR(__xludf.DUMMYFUNCTION("""COMPUTED_VALUE"""),"bg")</f>
        <v>bg</v>
      </c>
      <c r="AF300" s="6" t="str">
        <f>IFERROR(__xludf.DUMMYFUNCTION("""COMPUTED_VALUE"""),"Haskovo")</f>
        <v>Haskovo</v>
      </c>
      <c r="AG300" s="6" t="str">
        <f>IFERROR(__xludf.DUMMYFUNCTION("""COMPUTED_VALUE"""),"Hr. Y.A. Mitev")</f>
        <v>Hr. Y.A. Mitev</v>
      </c>
      <c r="AH300" s="6"/>
      <c r="AI300" s="6"/>
      <c r="AJ300" s="6"/>
      <c r="AK300" s="6"/>
      <c r="AL300" s="6"/>
      <c r="AM300" s="6"/>
      <c r="AN300" s="6" t="str">
        <f>IFERROR(__xludf.DUMMYFUNCTION("""COMPUTED_VALUE"""),"Yanko Atanasov Mitev")</f>
        <v>Yanko Atanasov Mitev</v>
      </c>
      <c r="AO300" s="6">
        <f>IFERROR(__xludf.DUMMYFUNCTION("""COMPUTED_VALUE"""),1716.0)</f>
        <v>1716</v>
      </c>
    </row>
    <row r="301">
      <c r="A301" s="6" t="str">
        <f>IFERROR(__xludf.DUMMYFUNCTION("""COMPUTED_VALUE"""),"MayWear")</f>
        <v>MayWear</v>
      </c>
      <c r="B301" s="6" t="str">
        <f>IFERROR(__xludf.DUMMYFUNCTION("""COMPUTED_VALUE"""),"MayWear")</f>
        <v>MayWear</v>
      </c>
      <c r="C301" s="6">
        <f>IFERROR(__xludf.DUMMYFUNCTION("""COMPUTED_VALUE"""),1743.0)</f>
        <v>1743</v>
      </c>
      <c r="D301" s="7" t="str">
        <f>IFERROR(__xludf.DUMMYFUNCTION("""COMPUTED_VALUE"""),"Mariyana Evgenieva Hadzhiyska")</f>
        <v>Mariyana Evgenieva Hadzhiyska</v>
      </c>
      <c r="E301" s="7" t="str">
        <f>IFERROR(__xludf.DUMMYFUNCTION("""COMPUTED_VALUE"""),"SBI-code: 47912 - Detailhandel via internet in consumentenelektronica")</f>
        <v>SBI-code: 47912 - Detailhandel via internet in consumentenelektronica</v>
      </c>
      <c r="F301" s="7" t="str">
        <f>IFERROR(__xludf.DUMMYFUNCTION("""COMPUTED_VALUE"""),"0634094530")</f>
        <v>0634094530</v>
      </c>
      <c r="G301" s="6" t="str">
        <f>IFERROR(__xludf.DUMMYFUNCTION("""COMPUTED_VALUE"""),"mywearinfo@gmail.com")</f>
        <v>mywearinfo@gmail.com</v>
      </c>
      <c r="H301" s="6" t="str">
        <f>IFERROR(__xludf.DUMMYFUNCTION("""COMPUTED_VALUE"""),"Trekweg 197")</f>
        <v>Trekweg 197</v>
      </c>
      <c r="I301" s="6" t="str">
        <f>IFERROR(__xludf.DUMMYFUNCTION("""COMPUTED_VALUE"""),"2516SH")</f>
        <v>2516SH</v>
      </c>
      <c r="J301" s="6" t="str">
        <f>IFERROR(__xludf.DUMMYFUNCTION("""COMPUTED_VALUE"""),"s-Gravenhage")</f>
        <v>s-Gravenhage</v>
      </c>
      <c r="K301" s="6" t="str">
        <f>IFERROR(__xludf.DUMMYFUNCTION("""COMPUTED_VALUE"""),"Nederland")</f>
        <v>Nederland</v>
      </c>
      <c r="L301" s="6" t="str">
        <f>IFERROR(__xludf.DUMMYFUNCTION("""COMPUTED_VALUE"""),"Хаджийска")</f>
        <v>Хаджийска</v>
      </c>
      <c r="M301" s="8">
        <f>IFERROR(__xludf.DUMMYFUNCTION("""COMPUTED_VALUE"""),45839.0)</f>
        <v>45839</v>
      </c>
      <c r="N301" s="6" t="str">
        <f>IFERROR(__xludf.DUMMYFUNCTION("""COMPUTED_VALUE"""),"NL294892564B01")</f>
        <v>NL294892564B01</v>
      </c>
      <c r="O301" s="6">
        <f>IFERROR(__xludf.DUMMYFUNCTION("""COMPUTED_VALUE"""),9.7678481E7)</f>
        <v>97678481</v>
      </c>
      <c r="P301" s="6" t="str">
        <f>IFERROR(__xludf.DUMMYFUNCTION("""COMPUTED_VALUE"""),"NL47INGB0114557144")</f>
        <v>NL47INGB0114557144</v>
      </c>
      <c r="Q301" s="9">
        <f>IFERROR(__xludf.DUMMYFUNCTION("""COMPUTED_VALUE"""),45839.0)</f>
        <v>45839</v>
      </c>
      <c r="R301" s="6"/>
      <c r="S301" s="6" t="str">
        <f>IFERROR(__xludf.DUMMYFUNCTION("""COMPUTED_VALUE"""),"NL005282497B16")</f>
        <v>NL005282497B16</v>
      </c>
      <c r="T301" s="6">
        <f>IFERROR(__xludf.DUMMYFUNCTION("""COMPUTED_VALUE"""),2.94892564E8)</f>
        <v>294892564</v>
      </c>
      <c r="U301" s="7" t="str">
        <f>IFERROR(__xludf.DUMMYFUNCTION("""COMPUTED_VALUE"""),"Eenmanszaak")</f>
        <v>Eenmanszaak</v>
      </c>
      <c r="V301" s="7" t="str">
        <f>IFERROR(__xludf.DUMMYFUNCTION("""COMPUTED_VALUE"""),"000062890794")</f>
        <v>000062890794</v>
      </c>
      <c r="W301" s="6" t="str">
        <f>IFERROR(__xludf.DUMMYFUNCTION("""COMPUTED_VALUE"""),"ink.maywear.2288aa@zarabota.nl")</f>
        <v>ink.maywear.2288aa@zarabota.nl</v>
      </c>
      <c r="X301" s="6" t="str">
        <f>IFERROR(__xludf.DUMMYFUNCTION("""COMPUTED_VALUE"""),"ver.maywear.2288aa@zarabota.nl")</f>
        <v>ver.maywear.2288aa@zarabota.nl</v>
      </c>
      <c r="Y301" s="6" t="str">
        <f>IFERROR(__xludf.DUMMYFUNCTION("""COMPUTED_VALUE"""),"Mw.")</f>
        <v>Mw.</v>
      </c>
      <c r="Z301" s="6" t="str">
        <f>IFERROR(__xludf.DUMMYFUNCTION("""COMPUTED_VALUE"""),"Mariyana Evgenieva")</f>
        <v>Mariyana Evgenieva</v>
      </c>
      <c r="AA301" s="6" t="str">
        <f>IFERROR(__xludf.DUMMYFUNCTION("""COMPUTED_VALUE"""),"Hadzhiyska")</f>
        <v>Hadzhiyska</v>
      </c>
      <c r="AB301" s="6" t="str">
        <f>IFERROR(__xludf.DUMMYFUNCTION("""COMPUTED_VALUE"""),"M.E.")</f>
        <v>M.E.</v>
      </c>
      <c r="AC301" s="6">
        <f>IFERROR(__xludf.DUMMYFUNCTION("""COMPUTED_VALUE"""),2.94892564E8)</f>
        <v>294892564</v>
      </c>
      <c r="AD301" s="9">
        <f>IFERROR(__xludf.DUMMYFUNCTION("""COMPUTED_VALUE"""),37634.0)</f>
        <v>37634</v>
      </c>
      <c r="AE301" s="6" t="str">
        <f>IFERROR(__xludf.DUMMYFUNCTION("""COMPUTED_VALUE"""),"bg")</f>
        <v>bg</v>
      </c>
      <c r="AF301" s="6" t="str">
        <f>IFERROR(__xludf.DUMMYFUNCTION("""COMPUTED_VALUE"""),"Plovdiv")</f>
        <v>Plovdiv</v>
      </c>
      <c r="AG301" s="6" t="str">
        <f>IFERROR(__xludf.DUMMYFUNCTION("""COMPUTED_VALUE"""),"Mw. M.E. Hadzhiyska")</f>
        <v>Mw. M.E. Hadzhiyska</v>
      </c>
      <c r="AH301" s="6"/>
      <c r="AI301" s="6"/>
      <c r="AJ301" s="6" t="str">
        <f>IFERROR(__xludf.DUMMYFUNCTION("""COMPUTED_VALUE"""),"ID Kaart")</f>
        <v>ID Kaart</v>
      </c>
      <c r="AK301" s="6">
        <f>IFERROR(__xludf.DUMMYFUNCTION("""COMPUTED_VALUE"""),6.5072265E8)</f>
        <v>650722650</v>
      </c>
      <c r="AL301" s="9">
        <f>IFERROR(__xludf.DUMMYFUNCTION("""COMPUTED_VALUE"""),48051.0)</f>
        <v>48051</v>
      </c>
      <c r="AM301" s="6" t="str">
        <f>IFERROR(__xludf.DUMMYFUNCTION("""COMPUTED_VALUE"""),"Bulgarije")</f>
        <v>Bulgarije</v>
      </c>
      <c r="AN301" s="6" t="str">
        <f>IFERROR(__xludf.DUMMYFUNCTION("""COMPUTED_VALUE"""),"Mariyana Evgenieva Hadzhiyska")</f>
        <v>Mariyana Evgenieva Hadzhiyska</v>
      </c>
      <c r="AO301" s="6">
        <f>IFERROR(__xludf.DUMMYFUNCTION("""COMPUTED_VALUE"""),1743.0)</f>
        <v>1743</v>
      </c>
    </row>
    <row r="302">
      <c r="A302" s="6" t="str">
        <f>IFERROR(__xludf.DUMMYFUNCTION("""COMPUTED_VALUE"""),"MB Nails")</f>
        <v>MB Nails</v>
      </c>
      <c r="B302" s="6" t="str">
        <f>IFERROR(__xludf.DUMMYFUNCTION("""COMPUTED_VALUE"""),"MB Nails")</f>
        <v>MB Nails</v>
      </c>
      <c r="C302" s="6">
        <f>IFERROR(__xludf.DUMMYFUNCTION("""COMPUTED_VALUE"""),1717.0)</f>
        <v>1717</v>
      </c>
      <c r="D302" s="7" t="str">
        <f>IFERROR(__xludf.DUMMYFUNCTION("""COMPUTED_VALUE"""),"Miglena Trendafilova Boneva")</f>
        <v>Miglena Trendafilova Boneva</v>
      </c>
      <c r="E302" s="7" t="str">
        <f>IFERROR(__xludf.DUMMYFUNCTION("""COMPUTED_VALUE"""),"SBI-code: 4120 - Algemene burgerlijke en utiliteitsbouw")</f>
        <v>SBI-code: 4120 - Algemene burgerlijke en utiliteitsbouw</v>
      </c>
      <c r="F302" s="7" t="str">
        <f>IFERROR(__xludf.DUMMYFUNCTION("""COMPUTED_VALUE"""),"0686007736")</f>
        <v>0686007736</v>
      </c>
      <c r="G302" s="6" t="str">
        <f>IFERROR(__xludf.DUMMYFUNCTION("""COMPUTED_VALUE"""),"miglenaandonova97@gmail.com")</f>
        <v>miglenaandonova97@gmail.com</v>
      </c>
      <c r="H302" s="6" t="str">
        <f>IFERROR(__xludf.DUMMYFUNCTION("""COMPUTED_VALUE"""),"Nijkerklaan 58")</f>
        <v>Nijkerklaan 58</v>
      </c>
      <c r="I302" s="6" t="str">
        <f>IFERROR(__xludf.DUMMYFUNCTION("""COMPUTED_VALUE"""),"2573BC")</f>
        <v>2573BC</v>
      </c>
      <c r="J302" s="6" t="str">
        <f>IFERROR(__xludf.DUMMYFUNCTION("""COMPUTED_VALUE"""),"s-Gravenhage")</f>
        <v>s-Gravenhage</v>
      </c>
      <c r="K302" s="6" t="str">
        <f>IFERROR(__xludf.DUMMYFUNCTION("""COMPUTED_VALUE"""),"Nederland")</f>
        <v>Nederland</v>
      </c>
      <c r="L302" s="6" t="str">
        <f>IFERROR(__xludf.DUMMYFUNCTION("""COMPUTED_VALUE"""),"Бонева")</f>
        <v>Бонева</v>
      </c>
      <c r="M302" s="8">
        <f>IFERROR(__xludf.DUMMYFUNCTION("""COMPUTED_VALUE"""),45748.0)</f>
        <v>45748</v>
      </c>
      <c r="N302" s="6" t="str">
        <f>IFERROR(__xludf.DUMMYFUNCTION("""COMPUTED_VALUE"""),"NL424349486B02")</f>
        <v>NL424349486B02</v>
      </c>
      <c r="O302" s="6">
        <f>IFERROR(__xludf.DUMMYFUNCTION("""COMPUTED_VALUE"""),9.7146455E7)</f>
        <v>97146455</v>
      </c>
      <c r="P302" s="6" t="str">
        <f>IFERROR(__xludf.DUMMYFUNCTION("""COMPUTED_VALUE"""),"NL82INGB0111722853")</f>
        <v>NL82INGB0111722853</v>
      </c>
      <c r="Q302" s="9">
        <f>IFERROR(__xludf.DUMMYFUNCTION("""COMPUTED_VALUE"""),45748.0)</f>
        <v>45748</v>
      </c>
      <c r="R302" s="6"/>
      <c r="S302" s="6" t="str">
        <f>IFERROR(__xludf.DUMMYFUNCTION("""COMPUTED_VALUE"""),"NL005250799B21")</f>
        <v>NL005250799B21</v>
      </c>
      <c r="T302" s="6">
        <f>IFERROR(__xludf.DUMMYFUNCTION("""COMPUTED_VALUE"""),4.24349486E8)</f>
        <v>424349486</v>
      </c>
      <c r="U302" s="7" t="str">
        <f>IFERROR(__xludf.DUMMYFUNCTION("""COMPUTED_VALUE"""),"Eenmanszaak")</f>
        <v>Eenmanszaak</v>
      </c>
      <c r="V302" s="7" t="str">
        <f>IFERROR(__xludf.DUMMYFUNCTION("""COMPUTED_VALUE"""),"000062408518")</f>
        <v>000062408518</v>
      </c>
      <c r="W302" s="6" t="str">
        <f>IFERROR(__xludf.DUMMYFUNCTION("""COMPUTED_VALUE"""),"ink.mbnails.2288aa@zarabota.nl")</f>
        <v>ink.mbnails.2288aa@zarabota.nl</v>
      </c>
      <c r="X302" s="6" t="str">
        <f>IFERROR(__xludf.DUMMYFUNCTION("""COMPUTED_VALUE"""),"ver.mbnails.2288aa@zarabota.nl")</f>
        <v>ver.mbnails.2288aa@zarabota.nl</v>
      </c>
      <c r="Y302" s="6" t="str">
        <f>IFERROR(__xludf.DUMMYFUNCTION("""COMPUTED_VALUE"""),"Mw.")</f>
        <v>Mw.</v>
      </c>
      <c r="Z302" s="6" t="str">
        <f>IFERROR(__xludf.DUMMYFUNCTION("""COMPUTED_VALUE"""),"Miglena Trendafilova")</f>
        <v>Miglena Trendafilova</v>
      </c>
      <c r="AA302" s="6" t="str">
        <f>IFERROR(__xludf.DUMMYFUNCTION("""COMPUTED_VALUE"""),"Boneva")</f>
        <v>Boneva</v>
      </c>
      <c r="AB302" s="6" t="str">
        <f>IFERROR(__xludf.DUMMYFUNCTION("""COMPUTED_VALUE"""),"M.T.")</f>
        <v>M.T.</v>
      </c>
      <c r="AC302" s="6">
        <f>IFERROR(__xludf.DUMMYFUNCTION("""COMPUTED_VALUE"""),4.24349486E8)</f>
        <v>424349486</v>
      </c>
      <c r="AD302" s="9">
        <f>IFERROR(__xludf.DUMMYFUNCTION("""COMPUTED_VALUE"""),33859.0)</f>
        <v>33859</v>
      </c>
      <c r="AE302" s="6" t="str">
        <f>IFERROR(__xludf.DUMMYFUNCTION("""COMPUTED_VALUE"""),"bg")</f>
        <v>bg</v>
      </c>
      <c r="AF302" s="6" t="str">
        <f>IFERROR(__xludf.DUMMYFUNCTION("""COMPUTED_VALUE"""),"Dimitrovgrad")</f>
        <v>Dimitrovgrad</v>
      </c>
      <c r="AG302" s="6" t="str">
        <f>IFERROR(__xludf.DUMMYFUNCTION("""COMPUTED_VALUE"""),"Mw. M.T. Boneva")</f>
        <v>Mw. M.T. Boneva</v>
      </c>
      <c r="AH302" s="6" t="str">
        <f>IFERROR(__xludf.DUMMYFUNCTION("""COMPUTED_VALUE"""),"NL98ASNB0777401533")</f>
        <v>NL98ASNB0777401533</v>
      </c>
      <c r="AI302" s="9">
        <f>IFERROR(__xludf.DUMMYFUNCTION("""COMPUTED_VALUE"""),43980.0)</f>
        <v>43980</v>
      </c>
      <c r="AJ302" s="6" t="str">
        <f>IFERROR(__xludf.DUMMYFUNCTION("""COMPUTED_VALUE"""),"ID Kaart")</f>
        <v>ID Kaart</v>
      </c>
      <c r="AK302" s="6"/>
      <c r="AL302" s="6"/>
      <c r="AM302" s="6" t="str">
        <f>IFERROR(__xludf.DUMMYFUNCTION("""COMPUTED_VALUE"""),"Bulgarije")</f>
        <v>Bulgarije</v>
      </c>
      <c r="AN302" s="6" t="str">
        <f>IFERROR(__xludf.DUMMYFUNCTION("""COMPUTED_VALUE"""),"Miglena Trendafilova Boneva")</f>
        <v>Miglena Trendafilova Boneva</v>
      </c>
      <c r="AO302" s="6"/>
    </row>
    <row r="303">
      <c r="A303" s="6" t="str">
        <f>IFERROR(__xludf.DUMMYFUNCTION("""COMPUTED_VALUE"""),"MDBouwbedrijf")</f>
        <v>MDBouwbedrijf</v>
      </c>
      <c r="B303" s="6" t="str">
        <f>IFERROR(__xludf.DUMMYFUNCTION("""COMPUTED_VALUE"""),"MDBouwbedrijf")</f>
        <v>MDBouwbedrijf</v>
      </c>
      <c r="C303" s="6">
        <f>IFERROR(__xludf.DUMMYFUNCTION("""COMPUTED_VALUE"""),658.0)</f>
        <v>658</v>
      </c>
      <c r="D303" s="7" t="str">
        <f>IFERROR(__xludf.DUMMYFUNCTION("""COMPUTED_VALUE"""),"Mario Ivanov Dzhongov")</f>
        <v>Mario Ivanov Dzhongov</v>
      </c>
      <c r="E303" s="7" t="str">
        <f>IFERROR(__xludf.DUMMYFUNCTION("""COMPUTED_VALUE"""),"SBI-code: 4120 - Algemene burgerlijke en utiliteitsbouw")</f>
        <v>SBI-code: 4120 - Algemene burgerlijke en utiliteitsbouw</v>
      </c>
      <c r="F303" s="7" t="str">
        <f>IFERROR(__xludf.DUMMYFUNCTION("""COMPUTED_VALUE"""),"0638442010")</f>
        <v>0638442010</v>
      </c>
      <c r="G303" s="6" t="str">
        <f>IFERROR(__xludf.DUMMYFUNCTION("""COMPUTED_VALUE"""),"MKD.bouw@hotmail.com")</f>
        <v>MKD.bouw@hotmail.com</v>
      </c>
      <c r="H303" s="6" t="str">
        <f>IFERROR(__xludf.DUMMYFUNCTION("""COMPUTED_VALUE"""),"Andromedastraat 10")</f>
        <v>Andromedastraat 10</v>
      </c>
      <c r="I303" s="6" t="str">
        <f>IFERROR(__xludf.DUMMYFUNCTION("""COMPUTED_VALUE"""),"2401HB")</f>
        <v>2401HB</v>
      </c>
      <c r="J303" s="6" t="str">
        <f>IFERROR(__xludf.DUMMYFUNCTION("""COMPUTED_VALUE"""),"Alphen aan den Rijn")</f>
        <v>Alphen aan den Rijn</v>
      </c>
      <c r="K303" s="6" t="str">
        <f>IFERROR(__xludf.DUMMYFUNCTION("""COMPUTED_VALUE"""),"Nederland")</f>
        <v>Nederland</v>
      </c>
      <c r="L303" s="6" t="str">
        <f>IFERROR(__xludf.DUMMYFUNCTION("""COMPUTED_VALUE"""),"Джонгов")</f>
        <v>Джонгов</v>
      </c>
      <c r="M303" s="8">
        <f>IFERROR(__xludf.DUMMYFUNCTION("""COMPUTED_VALUE"""),43388.0)</f>
        <v>43388</v>
      </c>
      <c r="N303" s="6" t="str">
        <f>IFERROR(__xludf.DUMMYFUNCTION("""COMPUTED_VALUE"""),"NL685776827B01")</f>
        <v>NL685776827B01</v>
      </c>
      <c r="O303" s="6">
        <f>IFERROR(__xludf.DUMMYFUNCTION("""COMPUTED_VALUE"""),7.2910151E7)</f>
        <v>72910151</v>
      </c>
      <c r="P303" s="6" t="str">
        <f>IFERROR(__xludf.DUMMYFUNCTION("""COMPUTED_VALUE"""),"NL51INGB0007286809")</f>
        <v>NL51INGB0007286809</v>
      </c>
      <c r="Q303" s="9">
        <f>IFERROR(__xludf.DUMMYFUNCTION("""COMPUTED_VALUE"""),43388.0)</f>
        <v>43388</v>
      </c>
      <c r="R303" s="6"/>
      <c r="S303" s="6" t="str">
        <f>IFERROR(__xludf.DUMMYFUNCTION("""COMPUTED_VALUE"""),"NL002516886B24")</f>
        <v>NL002516886B24</v>
      </c>
      <c r="T303" s="6">
        <f>IFERROR(__xludf.DUMMYFUNCTION("""COMPUTED_VALUE"""),6.85776827E8)</f>
        <v>685776827</v>
      </c>
      <c r="U303" s="7" t="str">
        <f>IFERROR(__xludf.DUMMYFUNCTION("""COMPUTED_VALUE"""),"Eenmanszaak")</f>
        <v>Eenmanszaak</v>
      </c>
      <c r="V303" s="7" t="str">
        <f>IFERROR(__xludf.DUMMYFUNCTION("""COMPUTED_VALUE"""),"000040990826")</f>
        <v>000040990826</v>
      </c>
      <c r="W303" s="6" t="str">
        <f>IFERROR(__xludf.DUMMYFUNCTION("""COMPUTED_VALUE"""),"ink.mdbouwbedrijf.2288aa@zarabota.nl")</f>
        <v>ink.mdbouwbedrijf.2288aa@zarabota.nl</v>
      </c>
      <c r="X303" s="6" t="str">
        <f>IFERROR(__xludf.DUMMYFUNCTION("""COMPUTED_VALUE"""),"ver.mdbouwbedrijf.2288aa@zarabota.nl")</f>
        <v>ver.mdbouwbedrijf.2288aa@zarabota.nl</v>
      </c>
      <c r="Y303" s="6" t="str">
        <f>IFERROR(__xludf.DUMMYFUNCTION("""COMPUTED_VALUE"""),"Hr.")</f>
        <v>Hr.</v>
      </c>
      <c r="Z303" s="6" t="str">
        <f>IFERROR(__xludf.DUMMYFUNCTION("""COMPUTED_VALUE"""),"Mario Ivanov")</f>
        <v>Mario Ivanov</v>
      </c>
      <c r="AA303" s="6" t="str">
        <f>IFERROR(__xludf.DUMMYFUNCTION("""COMPUTED_VALUE"""),"Dzhongov")</f>
        <v>Dzhongov</v>
      </c>
      <c r="AB303" s="6" t="str">
        <f>IFERROR(__xludf.DUMMYFUNCTION("""COMPUTED_VALUE"""),"M.I.")</f>
        <v>M.I.</v>
      </c>
      <c r="AC303" s="6">
        <f>IFERROR(__xludf.DUMMYFUNCTION("""COMPUTED_VALUE"""),6.85776827E8)</f>
        <v>685776827</v>
      </c>
      <c r="AD303" s="9">
        <f>IFERROR(__xludf.DUMMYFUNCTION("""COMPUTED_VALUE"""),33767.0)</f>
        <v>33767</v>
      </c>
      <c r="AE303" s="6" t="str">
        <f>IFERROR(__xludf.DUMMYFUNCTION("""COMPUTED_VALUE"""),"bg")</f>
        <v>bg</v>
      </c>
      <c r="AF303" s="6" t="str">
        <f>IFERROR(__xludf.DUMMYFUNCTION("""COMPUTED_VALUE"""),"Asenovgrad")</f>
        <v>Asenovgrad</v>
      </c>
      <c r="AG303" s="6" t="str">
        <f>IFERROR(__xludf.DUMMYFUNCTION("""COMPUTED_VALUE"""),"Hr. M.I. Dzhongov")</f>
        <v>Hr. M.I. Dzhongov</v>
      </c>
      <c r="AH303" s="6"/>
      <c r="AI303" s="6"/>
      <c r="AJ303" s="6" t="str">
        <f>IFERROR(__xludf.DUMMYFUNCTION("""COMPUTED_VALUE"""),"ID Kaart")</f>
        <v>ID Kaart</v>
      </c>
      <c r="AK303" s="6">
        <f>IFERROR(__xludf.DUMMYFUNCTION("""COMPUTED_VALUE"""),6.47416203E8)</f>
        <v>647416203</v>
      </c>
      <c r="AL303" s="9">
        <f>IFERROR(__xludf.DUMMYFUNCTION("""COMPUTED_VALUE"""),46761.0)</f>
        <v>46761</v>
      </c>
      <c r="AM303" s="6"/>
      <c r="AN303" s="6" t="str">
        <f>IFERROR(__xludf.DUMMYFUNCTION("""COMPUTED_VALUE"""),"Mario Ivanov Dzhongov")</f>
        <v>Mario Ivanov Dzhongov</v>
      </c>
      <c r="AO303" s="6"/>
    </row>
    <row r="304">
      <c r="A304" s="6" t="str">
        <f>IFERROR(__xludf.DUMMYFUNCTION("""COMPUTED_VALUE"""),"Megi88")</f>
        <v>Megi88</v>
      </c>
      <c r="B304" s="6" t="str">
        <f>IFERROR(__xludf.DUMMYFUNCTION("""COMPUTED_VALUE"""),"Megi88")</f>
        <v>Megi88</v>
      </c>
      <c r="C304" s="6">
        <f>IFERROR(__xludf.DUMMYFUNCTION("""COMPUTED_VALUE"""),1320.0)</f>
        <v>1320</v>
      </c>
      <c r="D304" s="7" t="str">
        <f>IFERROR(__xludf.DUMMYFUNCTION("""COMPUTED_VALUE"""),"Marian Rumenov Kirilov")</f>
        <v>Marian Rumenov Kirilov</v>
      </c>
      <c r="E304" s="7" t="str">
        <f>IFERROR(__xludf.DUMMYFUNCTION("""COMPUTED_VALUE"""),"SBI-code: 4120 - Algemene burgerlijke en utiliteitsbouw")</f>
        <v>SBI-code: 4120 - Algemene burgerlijke en utiliteitsbouw</v>
      </c>
      <c r="F304" s="7" t="str">
        <f>IFERROR(__xludf.DUMMYFUNCTION("""COMPUTED_VALUE"""),"0619278728")</f>
        <v>0619278728</v>
      </c>
      <c r="G304" s="6" t="str">
        <f>IFERROR(__xludf.DUMMYFUNCTION("""COMPUTED_VALUE"""),"mariankirilov0@gmail.com")</f>
        <v>mariankirilov0@gmail.com</v>
      </c>
      <c r="H304" s="6" t="str">
        <f>IFERROR(__xludf.DUMMYFUNCTION("""COMPUTED_VALUE"""),"Herenstraat 7")</f>
        <v>Herenstraat 7</v>
      </c>
      <c r="I304" s="6" t="str">
        <f>IFERROR(__xludf.DUMMYFUNCTION("""COMPUTED_VALUE"""),"2802KH")</f>
        <v>2802KH</v>
      </c>
      <c r="J304" s="6" t="str">
        <f>IFERROR(__xludf.DUMMYFUNCTION("""COMPUTED_VALUE"""),"Gouda")</f>
        <v>Gouda</v>
      </c>
      <c r="K304" s="6" t="str">
        <f>IFERROR(__xludf.DUMMYFUNCTION("""COMPUTED_VALUE"""),"Nederland")</f>
        <v>Nederland</v>
      </c>
      <c r="L304" s="6" t="str">
        <f>IFERROR(__xludf.DUMMYFUNCTION("""COMPUTED_VALUE"""),"Кирилов")</f>
        <v>Кирилов</v>
      </c>
      <c r="M304" s="8">
        <f>IFERROR(__xludf.DUMMYFUNCTION("""COMPUTED_VALUE"""),44628.0)</f>
        <v>44628</v>
      </c>
      <c r="N304" s="6" t="str">
        <f>IFERROR(__xludf.DUMMYFUNCTION("""COMPUTED_VALUE"""),"NL504524860B01")</f>
        <v>NL504524860B01</v>
      </c>
      <c r="O304" s="6">
        <f>IFERROR(__xludf.DUMMYFUNCTION("""COMPUTED_VALUE"""),8.5759708E7)</f>
        <v>85759708</v>
      </c>
      <c r="P304" s="6" t="str">
        <f>IFERROR(__xludf.DUMMYFUNCTION("""COMPUTED_VALUE"""),"NL57INGB0675537258")</f>
        <v>NL57INGB0675537258</v>
      </c>
      <c r="Q304" s="9">
        <f>IFERROR(__xludf.DUMMYFUNCTION("""COMPUTED_VALUE"""),44628.0)</f>
        <v>44628</v>
      </c>
      <c r="R304" s="6"/>
      <c r="S304" s="6" t="str">
        <f>IFERROR(__xludf.DUMMYFUNCTION("""COMPUTED_VALUE"""),"NL004142705B06")</f>
        <v>NL004142705B06</v>
      </c>
      <c r="T304" s="6">
        <f>IFERROR(__xludf.DUMMYFUNCTION("""COMPUTED_VALUE"""),5.0452486E8)</f>
        <v>504524860</v>
      </c>
      <c r="U304" s="7" t="str">
        <f>IFERROR(__xludf.DUMMYFUNCTION("""COMPUTED_VALUE"""),"Eenmanszaak")</f>
        <v>Eenmanszaak</v>
      </c>
      <c r="V304" s="7" t="str">
        <f>IFERROR(__xludf.DUMMYFUNCTION("""COMPUTED_VALUE"""),"000051785730")</f>
        <v>000051785730</v>
      </c>
      <c r="W304" s="6" t="str">
        <f>IFERROR(__xludf.DUMMYFUNCTION("""COMPUTED_VALUE"""),"ink.megi88.2288aa@zarabota.nl")</f>
        <v>ink.megi88.2288aa@zarabota.nl</v>
      </c>
      <c r="X304" s="6" t="str">
        <f>IFERROR(__xludf.DUMMYFUNCTION("""COMPUTED_VALUE"""),"ver.megi88.2288aa@zarabota.nl")</f>
        <v>ver.megi88.2288aa@zarabota.nl</v>
      </c>
      <c r="Y304" s="6" t="str">
        <f>IFERROR(__xludf.DUMMYFUNCTION("""COMPUTED_VALUE"""),"Hr.")</f>
        <v>Hr.</v>
      </c>
      <c r="Z304" s="6" t="str">
        <f>IFERROR(__xludf.DUMMYFUNCTION("""COMPUTED_VALUE"""),"Marian Rumenov")</f>
        <v>Marian Rumenov</v>
      </c>
      <c r="AA304" s="6" t="str">
        <f>IFERROR(__xludf.DUMMYFUNCTION("""COMPUTED_VALUE"""),"Kirilov")</f>
        <v>Kirilov</v>
      </c>
      <c r="AB304" s="6" t="str">
        <f>IFERROR(__xludf.DUMMYFUNCTION("""COMPUTED_VALUE"""),"M.R.")</f>
        <v>M.R.</v>
      </c>
      <c r="AC304" s="6">
        <f>IFERROR(__xludf.DUMMYFUNCTION("""COMPUTED_VALUE"""),5.0452486E8)</f>
        <v>504524860</v>
      </c>
      <c r="AD304" s="9">
        <f>IFERROR(__xludf.DUMMYFUNCTION("""COMPUTED_VALUE"""),31086.0)</f>
        <v>31086</v>
      </c>
      <c r="AE304" s="6" t="str">
        <f>IFERROR(__xludf.DUMMYFUNCTION("""COMPUTED_VALUE"""),"bg")</f>
        <v>bg</v>
      </c>
      <c r="AF304" s="6" t="str">
        <f>IFERROR(__xludf.DUMMYFUNCTION("""COMPUTED_VALUE"""),"Pleven")</f>
        <v>Pleven</v>
      </c>
      <c r="AG304" s="6" t="str">
        <f>IFERROR(__xludf.DUMMYFUNCTION("""COMPUTED_VALUE"""),"Hr. M.R. Kirilov")</f>
        <v>Hr. M.R. Kirilov</v>
      </c>
      <c r="AH304" s="6"/>
      <c r="AI304" s="6"/>
      <c r="AJ304" s="6" t="str">
        <f>IFERROR(__xludf.DUMMYFUNCTION("""COMPUTED_VALUE"""),"ID Kaart")</f>
        <v>ID Kaart</v>
      </c>
      <c r="AK304" s="6"/>
      <c r="AL304" s="6"/>
      <c r="AM304" s="6" t="str">
        <f>IFERROR(__xludf.DUMMYFUNCTION("""COMPUTED_VALUE"""),"Bulgarije")</f>
        <v>Bulgarije</v>
      </c>
      <c r="AN304" s="6" t="str">
        <f>IFERROR(__xludf.DUMMYFUNCTION("""COMPUTED_VALUE"""),"Marian Rumenov Kirilov")</f>
        <v>Marian Rumenov Kirilov</v>
      </c>
      <c r="AO304" s="6">
        <f>IFERROR(__xludf.DUMMYFUNCTION("""COMPUTED_VALUE"""),1320.0)</f>
        <v>1320</v>
      </c>
    </row>
    <row r="305">
      <c r="A305" s="6" t="str">
        <f>IFERROR(__xludf.DUMMYFUNCTION("""COMPUTED_VALUE"""),"MegiAsen")</f>
        <v>MegiAsen</v>
      </c>
      <c r="B305" s="6" t="str">
        <f>IFERROR(__xludf.DUMMYFUNCTION("""COMPUTED_VALUE"""),"MegiAsen")</f>
        <v>MegiAsen</v>
      </c>
      <c r="C305" s="6">
        <f>IFERROR(__xludf.DUMMYFUNCTION("""COMPUTED_VALUE"""),1158.0)</f>
        <v>1158</v>
      </c>
      <c r="D305" s="7" t="str">
        <f>IFERROR(__xludf.DUMMYFUNCTION("""COMPUTED_VALUE"""),"Petya Yuliyanova Staykova")</f>
        <v>Petya Yuliyanova Staykova</v>
      </c>
      <c r="E305" s="7" t="str">
        <f>IFERROR(__xludf.DUMMYFUNCTION("""COMPUTED_VALUE"""),"SBI-code: 4120 - Algemene burgerlijke en utiliteitsbouw")</f>
        <v>SBI-code: 4120 - Algemene burgerlijke en utiliteitsbouw</v>
      </c>
      <c r="F305" s="7" t="str">
        <f>IFERROR(__xludf.DUMMYFUNCTION("""COMPUTED_VALUE"""),"0684634191")</f>
        <v>0684634191</v>
      </c>
      <c r="G305" s="6" t="str">
        <f>IFERROR(__xludf.DUMMYFUNCTION("""COMPUTED_VALUE"""),"petyastaykova1986@gmail.com")</f>
        <v>petyastaykova1986@gmail.com</v>
      </c>
      <c r="H305" s="6" t="str">
        <f>IFERROR(__xludf.DUMMYFUNCTION("""COMPUTED_VALUE"""),"Schalk Burgerstraat 322")</f>
        <v>Schalk Burgerstraat 322</v>
      </c>
      <c r="I305" s="6" t="str">
        <f>IFERROR(__xludf.DUMMYFUNCTION("""COMPUTED_VALUE"""),"2572TH")</f>
        <v>2572TH</v>
      </c>
      <c r="J305" s="6" t="str">
        <f>IFERROR(__xludf.DUMMYFUNCTION("""COMPUTED_VALUE"""),"s-Gravenhage")</f>
        <v>s-Gravenhage</v>
      </c>
      <c r="K305" s="6" t="str">
        <f>IFERROR(__xludf.DUMMYFUNCTION("""COMPUTED_VALUE"""),"Nederland")</f>
        <v>Nederland</v>
      </c>
      <c r="L305" s="6" t="str">
        <f>IFERROR(__xludf.DUMMYFUNCTION("""COMPUTED_VALUE"""),"Стайкова")</f>
        <v>Стайкова</v>
      </c>
      <c r="M305" s="8">
        <f>IFERROR(__xludf.DUMMYFUNCTION("""COMPUTED_VALUE"""),43862.0)</f>
        <v>43862</v>
      </c>
      <c r="N305" s="6" t="str">
        <f>IFERROR(__xludf.DUMMYFUNCTION("""COMPUTED_VALUE"""),"NL547428315B02")</f>
        <v>NL547428315B02</v>
      </c>
      <c r="O305" s="6">
        <f>IFERROR(__xludf.DUMMYFUNCTION("""COMPUTED_VALUE"""),8.2472653E7)</f>
        <v>82472653</v>
      </c>
      <c r="P305" s="6" t="str">
        <f>IFERROR(__xludf.DUMMYFUNCTION("""COMPUTED_VALUE"""),"NL18INGB0006597151")</f>
        <v>NL18INGB0006597151</v>
      </c>
      <c r="Q305" s="9">
        <f>IFERROR(__xludf.DUMMYFUNCTION("""COMPUTED_VALUE"""),44228.0)</f>
        <v>44228</v>
      </c>
      <c r="R305" s="6"/>
      <c r="S305" s="6" t="str">
        <f>IFERROR(__xludf.DUMMYFUNCTION("""COMPUTED_VALUE"""),"NL003684557B62")</f>
        <v>NL003684557B62</v>
      </c>
      <c r="T305" s="6">
        <f>IFERROR(__xludf.DUMMYFUNCTION("""COMPUTED_VALUE"""),5.47428315E8)</f>
        <v>547428315</v>
      </c>
      <c r="U305" s="7" t="str">
        <f>IFERROR(__xludf.DUMMYFUNCTION("""COMPUTED_VALUE"""),"Eenmanszaak")</f>
        <v>Eenmanszaak</v>
      </c>
      <c r="V305" s="7" t="str">
        <f>IFERROR(__xludf.DUMMYFUNCTION("""COMPUTED_VALUE"""),"000048702439")</f>
        <v>000048702439</v>
      </c>
      <c r="W305" s="6" t="str">
        <f>IFERROR(__xludf.DUMMYFUNCTION("""COMPUTED_VALUE"""),"ink.megiasen.2288aa@zarabota.nl")</f>
        <v>ink.megiasen.2288aa@zarabota.nl</v>
      </c>
      <c r="X305" s="6" t="str">
        <f>IFERROR(__xludf.DUMMYFUNCTION("""COMPUTED_VALUE"""),"ver.megiasen.2288aa@zarabota.nl")</f>
        <v>ver.megiasen.2288aa@zarabota.nl</v>
      </c>
      <c r="Y305" s="6" t="str">
        <f>IFERROR(__xludf.DUMMYFUNCTION("""COMPUTED_VALUE"""),"Mw.")</f>
        <v>Mw.</v>
      </c>
      <c r="Z305" s="6" t="str">
        <f>IFERROR(__xludf.DUMMYFUNCTION("""COMPUTED_VALUE"""),"Petya Yuliyanova")</f>
        <v>Petya Yuliyanova</v>
      </c>
      <c r="AA305" s="6" t="str">
        <f>IFERROR(__xludf.DUMMYFUNCTION("""COMPUTED_VALUE"""),"Staykova")</f>
        <v>Staykova</v>
      </c>
      <c r="AB305" s="6" t="str">
        <f>IFERROR(__xludf.DUMMYFUNCTION("""COMPUTED_VALUE"""),"PY")</f>
        <v>PY</v>
      </c>
      <c r="AC305" s="6">
        <f>IFERROR(__xludf.DUMMYFUNCTION("""COMPUTED_VALUE"""),5.47428315E8)</f>
        <v>547428315</v>
      </c>
      <c r="AD305" s="9">
        <f>IFERROR(__xludf.DUMMYFUNCTION("""COMPUTED_VALUE"""),31747.0)</f>
        <v>31747</v>
      </c>
      <c r="AE305" s="6" t="str">
        <f>IFERROR(__xludf.DUMMYFUNCTION("""COMPUTED_VALUE"""),"bg")</f>
        <v>bg</v>
      </c>
      <c r="AF305" s="6"/>
      <c r="AG305" s="6" t="str">
        <f>IFERROR(__xludf.DUMMYFUNCTION("""COMPUTED_VALUE"""),"Mw. PY Staykova")</f>
        <v>Mw. PY Staykova</v>
      </c>
      <c r="AH305" s="6" t="str">
        <f>IFERROR(__xludf.DUMMYFUNCTION("""COMPUTED_VALUE"""),"NL80INGB0793580897")</f>
        <v>NL80INGB0793580897</v>
      </c>
      <c r="AI305" s="6"/>
      <c r="AJ305" s="6" t="str">
        <f>IFERROR(__xludf.DUMMYFUNCTION("""COMPUTED_VALUE"""),"ID Kaart")</f>
        <v>ID Kaart</v>
      </c>
      <c r="AK305" s="6"/>
      <c r="AL305" s="6"/>
      <c r="AM305" s="6" t="str">
        <f>IFERROR(__xludf.DUMMYFUNCTION("""COMPUTED_VALUE"""),"Bulgarije")</f>
        <v>Bulgarije</v>
      </c>
      <c r="AN305" s="6" t="str">
        <f>IFERROR(__xludf.DUMMYFUNCTION("""COMPUTED_VALUE"""),"Petya Yuliyanova Staykova")</f>
        <v>Petya Yuliyanova Staykova</v>
      </c>
      <c r="AO305" s="6">
        <f>IFERROR(__xludf.DUMMYFUNCTION("""COMPUTED_VALUE"""),1158.0)</f>
        <v>1158</v>
      </c>
    </row>
    <row r="306">
      <c r="A306" s="6" t="str">
        <f>IFERROR(__xludf.DUMMYFUNCTION("""COMPUTED_VALUE"""),"MF Transport")</f>
        <v>MF Transport</v>
      </c>
      <c r="B306" s="6" t="str">
        <f>IFERROR(__xludf.DUMMYFUNCTION("""COMPUTED_VALUE"""),"MF Transport")</f>
        <v>MF Transport</v>
      </c>
      <c r="C306" s="6">
        <f>IFERROR(__xludf.DUMMYFUNCTION("""COMPUTED_VALUE"""),237.0)</f>
        <v>237</v>
      </c>
      <c r="D306" s="7" t="str">
        <f>IFERROR(__xludf.DUMMYFUNCTION("""COMPUTED_VALUE"""),"Mehmed Mustafa Feim")</f>
        <v>Mehmed Mustafa Feim</v>
      </c>
      <c r="E306" s="7" t="str">
        <f>IFERROR(__xludf.DUMMYFUNCTION("""COMPUTED_VALUE"""),"SBI-code: 4120 - Algemene burgerlijke en utiliteitsbouw")</f>
        <v>SBI-code: 4120 - Algemene burgerlijke en utiliteitsbouw</v>
      </c>
      <c r="F306" s="7" t="str">
        <f>IFERROR(__xludf.DUMMYFUNCTION("""COMPUTED_VALUE"""),"0611516781")</f>
        <v>0611516781</v>
      </c>
      <c r="G306" s="6" t="str">
        <f>IFERROR(__xludf.DUMMYFUNCTION("""COMPUTED_VALUE"""),"info@mftransport.nl")</f>
        <v>info@mftransport.nl</v>
      </c>
      <c r="H306" s="6" t="str">
        <f>IFERROR(__xludf.DUMMYFUNCTION("""COMPUTED_VALUE"""),"Kervelhof 12")</f>
        <v>Kervelhof 12</v>
      </c>
      <c r="I306" s="6" t="str">
        <f>IFERROR(__xludf.DUMMYFUNCTION("""COMPUTED_VALUE"""),"3193JH")</f>
        <v>3193JH</v>
      </c>
      <c r="J306" s="6" t="str">
        <f>IFERROR(__xludf.DUMMYFUNCTION("""COMPUTED_VALUE"""),"Hoogvliet Rotterdam")</f>
        <v>Hoogvliet Rotterdam</v>
      </c>
      <c r="K306" s="6" t="str">
        <f>IFERROR(__xludf.DUMMYFUNCTION("""COMPUTED_VALUE"""),"Nederland")</f>
        <v>Nederland</v>
      </c>
      <c r="L306" s="6" t="str">
        <f>IFERROR(__xludf.DUMMYFUNCTION("""COMPUTED_VALUE"""),"Феим")</f>
        <v>Феим</v>
      </c>
      <c r="M306" s="8">
        <f>IFERROR(__xludf.DUMMYFUNCTION("""COMPUTED_VALUE"""),42230.0)</f>
        <v>42230</v>
      </c>
      <c r="N306" s="6" t="str">
        <f>IFERROR(__xludf.DUMMYFUNCTION("""COMPUTED_VALUE"""),"NL326451420B01")</f>
        <v>NL326451420B01</v>
      </c>
      <c r="O306" s="6">
        <f>IFERROR(__xludf.DUMMYFUNCTION("""COMPUTED_VALUE"""),6.391789E7)</f>
        <v>63917890</v>
      </c>
      <c r="P306" s="6" t="str">
        <f>IFERROR(__xludf.DUMMYFUNCTION("""COMPUTED_VALUE"""),"NL68ABNA0426771206")</f>
        <v>NL68ABNA0426771206</v>
      </c>
      <c r="Q306" s="9">
        <f>IFERROR(__xludf.DUMMYFUNCTION("""COMPUTED_VALUE"""),42230.0)</f>
        <v>42230</v>
      </c>
      <c r="R306" s="6"/>
      <c r="S306" s="6" t="str">
        <f>IFERROR(__xludf.DUMMYFUNCTION("""COMPUTED_VALUE"""),"NL002468759B62")</f>
        <v>NL002468759B62</v>
      </c>
      <c r="T306" s="6">
        <f>IFERROR(__xludf.DUMMYFUNCTION("""COMPUTED_VALUE"""),3.2645142E8)</f>
        <v>326451420</v>
      </c>
      <c r="U306" s="7" t="str">
        <f>IFERROR(__xludf.DUMMYFUNCTION("""COMPUTED_VALUE"""),"Eenmanszaak")</f>
        <v>Eenmanszaak</v>
      </c>
      <c r="V306" s="7" t="str">
        <f>IFERROR(__xludf.DUMMYFUNCTION("""COMPUTED_VALUE"""),"000032787723")</f>
        <v>000032787723</v>
      </c>
      <c r="W306" s="6" t="str">
        <f>IFERROR(__xludf.DUMMYFUNCTION("""COMPUTED_VALUE"""),"ink.mftransport.2288aa@zarabota.nl")</f>
        <v>ink.mftransport.2288aa@zarabota.nl</v>
      </c>
      <c r="X306" s="6" t="str">
        <f>IFERROR(__xludf.DUMMYFUNCTION("""COMPUTED_VALUE"""),"ver.mftransport.2288aa@zarabota.nl")</f>
        <v>ver.mftransport.2288aa@zarabota.nl</v>
      </c>
      <c r="Y306" s="6" t="str">
        <f>IFERROR(__xludf.DUMMYFUNCTION("""COMPUTED_VALUE"""),"Hr.")</f>
        <v>Hr.</v>
      </c>
      <c r="Z306" s="6" t="str">
        <f>IFERROR(__xludf.DUMMYFUNCTION("""COMPUTED_VALUE"""),"Mehmed Mustafa")</f>
        <v>Mehmed Mustafa</v>
      </c>
      <c r="AA306" s="6" t="str">
        <f>IFERROR(__xludf.DUMMYFUNCTION("""COMPUTED_VALUE"""),"Feim")</f>
        <v>Feim</v>
      </c>
      <c r="AB306" s="6" t="str">
        <f>IFERROR(__xludf.DUMMYFUNCTION("""COMPUTED_VALUE"""),"M.M.")</f>
        <v>M.M.</v>
      </c>
      <c r="AC306" s="6">
        <f>IFERROR(__xludf.DUMMYFUNCTION("""COMPUTED_VALUE"""),3.2645142E8)</f>
        <v>326451420</v>
      </c>
      <c r="AD306" s="9">
        <f>IFERROR(__xludf.DUMMYFUNCTION("""COMPUTED_VALUE"""),24575.0)</f>
        <v>24575</v>
      </c>
      <c r="AE306" s="6" t="str">
        <f>IFERROR(__xludf.DUMMYFUNCTION("""COMPUTED_VALUE"""),"bg")</f>
        <v>bg</v>
      </c>
      <c r="AF306" s="6" t="str">
        <f>IFERROR(__xludf.DUMMYFUNCTION("""COMPUTED_VALUE"""),"Targoviste")</f>
        <v>Targoviste</v>
      </c>
      <c r="AG306" s="6" t="str">
        <f>IFERROR(__xludf.DUMMYFUNCTION("""COMPUTED_VALUE"""),"Hr. M.M. Feim")</f>
        <v>Hr. M.M. Feim</v>
      </c>
      <c r="AH306" s="6"/>
      <c r="AI306" s="6"/>
      <c r="AJ306" s="6"/>
      <c r="AK306" s="6"/>
      <c r="AL306" s="6"/>
      <c r="AM306" s="6"/>
      <c r="AN306" s="6" t="str">
        <f>IFERROR(__xludf.DUMMYFUNCTION("""COMPUTED_VALUE"""),"Mehmed Mustafa Feim")</f>
        <v>Mehmed Mustafa Feim</v>
      </c>
      <c r="AO306" s="6"/>
    </row>
    <row r="307">
      <c r="A307" s="6" t="str">
        <f>IFERROR(__xludf.DUMMYFUNCTION("""COMPUTED_VALUE"""),"MG Petkov Holding B.V.")</f>
        <v>MG Petkov Holding B.V.</v>
      </c>
      <c r="B307" s="6" t="str">
        <f>IFERROR(__xludf.DUMMYFUNCTION("""COMPUTED_VALUE"""),"MG Petkov Holding B.V.")</f>
        <v>MG Petkov Holding B.V.</v>
      </c>
      <c r="C307" s="6">
        <f>IFERROR(__xludf.DUMMYFUNCTION("""COMPUTED_VALUE"""),562.0)</f>
        <v>562</v>
      </c>
      <c r="D307" s="7" t="str">
        <f>IFERROR(__xludf.DUMMYFUNCTION("""COMPUTED_VALUE"""),"Milen Vasilev Petkov")</f>
        <v>Milen Vasilev Petkov</v>
      </c>
      <c r="E307" s="7" t="str">
        <f>IFERROR(__xludf.DUMMYFUNCTION("""COMPUTED_VALUE"""),"SBI-code: 4120 - Algemene burgerlijke en utiliteitsbouw")</f>
        <v>SBI-code: 4120 - Algemene burgerlijke en utiliteitsbouw</v>
      </c>
      <c r="F307" s="7" t="str">
        <f>IFERROR(__xludf.DUMMYFUNCTION("""COMPUTED_VALUE"""),"0658740663")</f>
        <v>0658740663</v>
      </c>
      <c r="G307" s="6" t="str">
        <f>IFERROR(__xludf.DUMMYFUNCTION("""COMPUTED_VALUE"""),"mgpetkovholding@zzp-nl.nl")</f>
        <v>mgpetkovholding@zzp-nl.nl</v>
      </c>
      <c r="H307" s="6" t="str">
        <f>IFERROR(__xludf.DUMMYFUNCTION("""COMPUTED_VALUE"""),"Van Zeggelenlaan 208")</f>
        <v>Van Zeggelenlaan 208</v>
      </c>
      <c r="I307" s="6" t="str">
        <f>IFERROR(__xludf.DUMMYFUNCTION("""COMPUTED_VALUE"""),"2524AX")</f>
        <v>2524AX</v>
      </c>
      <c r="J307" s="6" t="str">
        <f>IFERROR(__xludf.DUMMYFUNCTION("""COMPUTED_VALUE"""),"s-Gravenhage")</f>
        <v>s-Gravenhage</v>
      </c>
      <c r="K307" s="6" t="str">
        <f>IFERROR(__xludf.DUMMYFUNCTION("""COMPUTED_VALUE"""),"Nederland")</f>
        <v>Nederland</v>
      </c>
      <c r="L307" s="6" t="str">
        <f>IFERROR(__xludf.DUMMYFUNCTION("""COMPUTED_VALUE"""),"Петков")</f>
        <v>Петков</v>
      </c>
      <c r="M307" s="8">
        <f>IFERROR(__xludf.DUMMYFUNCTION("""COMPUTED_VALUE"""),43207.0)</f>
        <v>43207</v>
      </c>
      <c r="N307" s="6" t="str">
        <f>IFERROR(__xludf.DUMMYFUNCTION("""COMPUTED_VALUE"""),"NL857519384B01")</f>
        <v>NL857519384B01</v>
      </c>
      <c r="O307" s="6">
        <f>IFERROR(__xludf.DUMMYFUNCTION("""COMPUTED_VALUE"""),6.8610599E7)</f>
        <v>68610599</v>
      </c>
      <c r="P307" s="6" t="str">
        <f>IFERROR(__xludf.DUMMYFUNCTION("""COMPUTED_VALUE"""),"NL04INGB0008113513")</f>
        <v>NL04INGB0008113513</v>
      </c>
      <c r="Q307" s="9">
        <f>IFERROR(__xludf.DUMMYFUNCTION("""COMPUTED_VALUE"""),42849.0)</f>
        <v>42849</v>
      </c>
      <c r="R307" s="6"/>
      <c r="S307" s="6" t="str">
        <f>IFERROR(__xludf.DUMMYFUNCTION("""COMPUTED_VALUE"""),"NL857519384B01")</f>
        <v>NL857519384B01</v>
      </c>
      <c r="T307" s="6">
        <f>IFERROR(__xludf.DUMMYFUNCTION("""COMPUTED_VALUE"""),8.57519384E8)</f>
        <v>857519384</v>
      </c>
      <c r="U307" s="7" t="str">
        <f>IFERROR(__xludf.DUMMYFUNCTION("""COMPUTED_VALUE"""),"Besloten Vennootschap")</f>
        <v>Besloten Vennootschap</v>
      </c>
      <c r="V307" s="7" t="str">
        <f>IFERROR(__xludf.DUMMYFUNCTION("""COMPUTED_VALUE"""),"000037033328")</f>
        <v>000037033328</v>
      </c>
      <c r="W307" s="6" t="str">
        <f>IFERROR(__xludf.DUMMYFUNCTION("""COMPUTED_VALUE"""),"ink.mgpetkovholdingbv.2288aa@zarabota.nl")</f>
        <v>ink.mgpetkovholdingbv.2288aa@zarabota.nl</v>
      </c>
      <c r="X307" s="6" t="str">
        <f>IFERROR(__xludf.DUMMYFUNCTION("""COMPUTED_VALUE"""),"ver.mgpetkovholdingbv.2288aa@zarabota.nl")</f>
        <v>ver.mgpetkovholdingbv.2288aa@zarabota.nl</v>
      </c>
      <c r="Y307" s="6" t="str">
        <f>IFERROR(__xludf.DUMMYFUNCTION("""COMPUTED_VALUE"""),"Hr.")</f>
        <v>Hr.</v>
      </c>
      <c r="Z307" s="6" t="str">
        <f>IFERROR(__xludf.DUMMYFUNCTION("""COMPUTED_VALUE"""),"Milen Vasilev")</f>
        <v>Milen Vasilev</v>
      </c>
      <c r="AA307" s="6" t="str">
        <f>IFERROR(__xludf.DUMMYFUNCTION("""COMPUTED_VALUE"""),"Petkov")</f>
        <v>Petkov</v>
      </c>
      <c r="AB307" s="6" t="str">
        <f>IFERROR(__xludf.DUMMYFUNCTION("""COMPUTED_VALUE"""),"M.V.")</f>
        <v>M.V.</v>
      </c>
      <c r="AC307" s="6">
        <f>IFERROR(__xludf.DUMMYFUNCTION("""COMPUTED_VALUE"""),2.64251246E8)</f>
        <v>264251246</v>
      </c>
      <c r="AD307" s="9">
        <f>IFERROR(__xludf.DUMMYFUNCTION("""COMPUTED_VALUE"""),29725.0)</f>
        <v>29725</v>
      </c>
      <c r="AE307" s="6" t="str">
        <f>IFERROR(__xludf.DUMMYFUNCTION("""COMPUTED_VALUE"""),"bg")</f>
        <v>bg</v>
      </c>
      <c r="AF307" s="6" t="str">
        <f>IFERROR(__xludf.DUMMYFUNCTION("""COMPUTED_VALUE"""),"Sliven")</f>
        <v>Sliven</v>
      </c>
      <c r="AG307" s="6" t="str">
        <f>IFERROR(__xludf.DUMMYFUNCTION("""COMPUTED_VALUE"""),"Hr. M.V. Petkov")</f>
        <v>Hr. M.V. Petkov</v>
      </c>
      <c r="AH307" s="6" t="str">
        <f>IFERROR(__xludf.DUMMYFUNCTION("""COMPUTED_VALUE"""),"NL16ABNA0553699067")</f>
        <v>NL16ABNA0553699067</v>
      </c>
      <c r="AI307" s="6"/>
      <c r="AJ307" s="6" t="str">
        <f>IFERROR(__xludf.DUMMYFUNCTION("""COMPUTED_VALUE"""),"ID Kaart")</f>
        <v>ID Kaart</v>
      </c>
      <c r="AK307" s="6"/>
      <c r="AL307" s="6"/>
      <c r="AM307" s="6"/>
      <c r="AN307" s="6" t="str">
        <f>IFERROR(__xludf.DUMMYFUNCTION("""COMPUTED_VALUE"""),"Milen Vasilev Petkov")</f>
        <v>Milen Vasilev Petkov</v>
      </c>
      <c r="AO307" s="6"/>
    </row>
    <row r="308">
      <c r="A308" s="6" t="str">
        <f>IFERROR(__xludf.DUMMYFUNCTION("""COMPUTED_VALUE"""),"MHM 98")</f>
        <v>MHM 98</v>
      </c>
      <c r="B308" s="6" t="str">
        <f>IFERROR(__xludf.DUMMYFUNCTION("""COMPUTED_VALUE"""),"MHM 98")</f>
        <v>MHM 98</v>
      </c>
      <c r="C308" s="6">
        <f>IFERROR(__xludf.DUMMYFUNCTION("""COMPUTED_VALUE"""),1100.0)</f>
        <v>1100</v>
      </c>
      <c r="D308" s="7" t="str">
        <f>IFERROR(__xludf.DUMMYFUNCTION("""COMPUTED_VALUE"""),"Mahmud Hasan Mahmud")</f>
        <v>Mahmud Hasan Mahmud</v>
      </c>
      <c r="E308" s="7" t="str">
        <f>IFERROR(__xludf.DUMMYFUNCTION("""COMPUTED_VALUE"""),"SBI-code: 4120 - Algemene burgerlijke en utiliteitsbouw")</f>
        <v>SBI-code: 4120 - Algemene burgerlijke en utiliteitsbouw</v>
      </c>
      <c r="F308" s="7" t="str">
        <f>IFERROR(__xludf.DUMMYFUNCTION("""COMPUTED_VALUE"""),"0687829132")</f>
        <v>0687829132</v>
      </c>
      <c r="G308" s="6" t="str">
        <f>IFERROR(__xludf.DUMMYFUNCTION("""COMPUTED_VALUE"""),"rahmanmahmud548@gmail.com")</f>
        <v>rahmanmahmud548@gmail.com</v>
      </c>
      <c r="H308" s="6" t="str">
        <f>IFERROR(__xludf.DUMMYFUNCTION("""COMPUTED_VALUE"""),"Berensteinlaan 511")</f>
        <v>Berensteinlaan 511</v>
      </c>
      <c r="I308" s="6" t="str">
        <f>IFERROR(__xludf.DUMMYFUNCTION("""COMPUTED_VALUE"""),"2542JN")</f>
        <v>2542JN</v>
      </c>
      <c r="J308" s="6" t="str">
        <f>IFERROR(__xludf.DUMMYFUNCTION("""COMPUTED_VALUE"""),"s-Gravenhage")</f>
        <v>s-Gravenhage</v>
      </c>
      <c r="K308" s="6" t="str">
        <f>IFERROR(__xludf.DUMMYFUNCTION("""COMPUTED_VALUE"""),"Nederland")</f>
        <v>Nederland</v>
      </c>
      <c r="L308" s="6" t="str">
        <f>IFERROR(__xludf.DUMMYFUNCTION("""COMPUTED_VALUE"""),"Махмуд")</f>
        <v>Махмуд</v>
      </c>
      <c r="M308" s="8">
        <f>IFERROR(__xludf.DUMMYFUNCTION("""COMPUTED_VALUE"""),44228.0)</f>
        <v>44228</v>
      </c>
      <c r="N308" s="6" t="str">
        <f>IFERROR(__xludf.DUMMYFUNCTION("""COMPUTED_VALUE"""),"NL324884710B01")</f>
        <v>NL324884710B01</v>
      </c>
      <c r="O308" s="6">
        <f>IFERROR(__xludf.DUMMYFUNCTION("""COMPUTED_VALUE"""),8.198806E7)</f>
        <v>81988060</v>
      </c>
      <c r="P308" s="6" t="str">
        <f>IFERROR(__xludf.DUMMYFUNCTION("""COMPUTED_VALUE"""),"NL06INGB0007571247")</f>
        <v>NL06INGB0007571247</v>
      </c>
      <c r="Q308" s="9">
        <f>IFERROR(__xludf.DUMMYFUNCTION("""COMPUTED_VALUE"""),44228.0)</f>
        <v>44228</v>
      </c>
      <c r="R308" s="6"/>
      <c r="S308" s="6" t="str">
        <f>IFERROR(__xludf.DUMMYFUNCTION("""COMPUTED_VALUE"""),"NL003625852B48")</f>
        <v>NL003625852B48</v>
      </c>
      <c r="T308" s="6">
        <f>IFERROR(__xludf.DUMMYFUNCTION("""COMPUTED_VALUE"""),3.2488471E8)</f>
        <v>324884710</v>
      </c>
      <c r="U308" s="7" t="str">
        <f>IFERROR(__xludf.DUMMYFUNCTION("""COMPUTED_VALUE"""),"Eenmanszaak")</f>
        <v>Eenmanszaak</v>
      </c>
      <c r="V308" s="7" t="str">
        <f>IFERROR(__xludf.DUMMYFUNCTION("""COMPUTED_VALUE"""),"000048246271")</f>
        <v>000048246271</v>
      </c>
      <c r="W308" s="6" t="str">
        <f>IFERROR(__xludf.DUMMYFUNCTION("""COMPUTED_VALUE"""),"ink.mhm98.2288aa@zarabota.nl")</f>
        <v>ink.mhm98.2288aa@zarabota.nl</v>
      </c>
      <c r="X308" s="6" t="str">
        <f>IFERROR(__xludf.DUMMYFUNCTION("""COMPUTED_VALUE"""),"ver.mhm98.2288aa@zarabota.nl")</f>
        <v>ver.mhm98.2288aa@zarabota.nl</v>
      </c>
      <c r="Y308" s="6" t="str">
        <f>IFERROR(__xludf.DUMMYFUNCTION("""COMPUTED_VALUE"""),"Hr.")</f>
        <v>Hr.</v>
      </c>
      <c r="Z308" s="6" t="str">
        <f>IFERROR(__xludf.DUMMYFUNCTION("""COMPUTED_VALUE"""),"Mahmud Hasan")</f>
        <v>Mahmud Hasan</v>
      </c>
      <c r="AA308" s="6" t="str">
        <f>IFERROR(__xludf.DUMMYFUNCTION("""COMPUTED_VALUE"""),"Mahmud")</f>
        <v>Mahmud</v>
      </c>
      <c r="AB308" s="6" t="str">
        <f>IFERROR(__xludf.DUMMYFUNCTION("""COMPUTED_VALUE"""),"M.H.")</f>
        <v>M.H.</v>
      </c>
      <c r="AC308" s="6">
        <f>IFERROR(__xludf.DUMMYFUNCTION("""COMPUTED_VALUE"""),3.2488471E8)</f>
        <v>324884710</v>
      </c>
      <c r="AD308" s="9">
        <f>IFERROR(__xludf.DUMMYFUNCTION("""COMPUTED_VALUE"""),36014.0)</f>
        <v>36014</v>
      </c>
      <c r="AE308" s="6" t="str">
        <f>IFERROR(__xludf.DUMMYFUNCTION("""COMPUTED_VALUE"""),"bg")</f>
        <v>bg</v>
      </c>
      <c r="AF308" s="6" t="str">
        <f>IFERROR(__xludf.DUMMYFUNCTION("""COMPUTED_VALUE"""),"Ruse")</f>
        <v>Ruse</v>
      </c>
      <c r="AG308" s="6" t="str">
        <f>IFERROR(__xludf.DUMMYFUNCTION("""COMPUTED_VALUE"""),"Hr. M.H. Mahmud")</f>
        <v>Hr. M.H. Mahmud</v>
      </c>
      <c r="AH308" s="6" t="str">
        <f>IFERROR(__xludf.DUMMYFUNCTION("""COMPUTED_VALUE"""),"NL76INGB0655443851")</f>
        <v>NL76INGB0655443851</v>
      </c>
      <c r="AI308" s="6"/>
      <c r="AJ308" s="6" t="str">
        <f>IFERROR(__xludf.DUMMYFUNCTION("""COMPUTED_VALUE"""),"ID Kaart")</f>
        <v>ID Kaart</v>
      </c>
      <c r="AK308" s="6">
        <f>IFERROR(__xludf.DUMMYFUNCTION("""COMPUTED_VALUE"""),6.47606044E8)</f>
        <v>647606044</v>
      </c>
      <c r="AL308" s="9">
        <f>IFERROR(__xludf.DUMMYFUNCTION("""COMPUTED_VALUE"""),46876.0)</f>
        <v>46876</v>
      </c>
      <c r="AM308" s="6" t="str">
        <f>IFERROR(__xludf.DUMMYFUNCTION("""COMPUTED_VALUE"""),"Bulgarije")</f>
        <v>Bulgarije</v>
      </c>
      <c r="AN308" s="6" t="str">
        <f>IFERROR(__xludf.DUMMYFUNCTION("""COMPUTED_VALUE"""),"Mahmud Hasan Mahmud")</f>
        <v>Mahmud Hasan Mahmud</v>
      </c>
      <c r="AO308" s="6">
        <f>IFERROR(__xludf.DUMMYFUNCTION("""COMPUTED_VALUE"""),1100.0)</f>
        <v>1100</v>
      </c>
    </row>
    <row r="309">
      <c r="A309" s="6" t="str">
        <f>IFERROR(__xludf.DUMMYFUNCTION("""COMPUTED_VALUE"""),"Mia Kosova B.V.")</f>
        <v>Mia Kosova B.V.</v>
      </c>
      <c r="B309" s="6" t="str">
        <f>IFERROR(__xludf.DUMMYFUNCTION("""COMPUTED_VALUE"""),"Mia Kosova B.V.")</f>
        <v>Mia Kosova B.V.</v>
      </c>
      <c r="C309" s="6">
        <f>IFERROR(__xludf.DUMMYFUNCTION("""COMPUTED_VALUE"""),1166.0)</f>
        <v>1166</v>
      </c>
      <c r="D309" s="7" t="str">
        <f>IFERROR(__xludf.DUMMYFUNCTION("""COMPUTED_VALUE"""),"Denislav Milanov Kosov")</f>
        <v>Denislav Milanov Kosov</v>
      </c>
      <c r="E309" s="7" t="str">
        <f>IFERROR(__xludf.DUMMYFUNCTION("""COMPUTED_VALUE"""),"SBI-code: 4120 - Algemene burgerlijke en utiliteitsbouw")</f>
        <v>SBI-code: 4120 - Algemene burgerlijke en utiliteitsbouw</v>
      </c>
      <c r="F309" s="7" t="str">
        <f>IFERROR(__xludf.DUMMYFUNCTION("""COMPUTED_VALUE"""),"0629391117")</f>
        <v>0629391117</v>
      </c>
      <c r="G309" s="6" t="str">
        <f>IFERROR(__xludf.DUMMYFUNCTION("""COMPUTED_VALUE"""),"miakosova@zzp-nl.nl")</f>
        <v>miakosova@zzp-nl.nl</v>
      </c>
      <c r="H309" s="6" t="str">
        <f>IFERROR(__xludf.DUMMYFUNCTION("""COMPUTED_VALUE"""),"Loevesteinlaan 490")</f>
        <v>Loevesteinlaan 490</v>
      </c>
      <c r="I309" s="6" t="str">
        <f>IFERROR(__xludf.DUMMYFUNCTION("""COMPUTED_VALUE"""),"2533CG")</f>
        <v>2533CG</v>
      </c>
      <c r="J309" s="6" t="str">
        <f>IFERROR(__xludf.DUMMYFUNCTION("""COMPUTED_VALUE"""),"s-Gravenhage")</f>
        <v>s-Gravenhage</v>
      </c>
      <c r="K309" s="6" t="str">
        <f>IFERROR(__xludf.DUMMYFUNCTION("""COMPUTED_VALUE"""),"Nederland")</f>
        <v>Nederland</v>
      </c>
      <c r="L309" s="6" t="str">
        <f>IFERROR(__xludf.DUMMYFUNCTION("""COMPUTED_VALUE"""),"Косов")</f>
        <v>Косов</v>
      </c>
      <c r="M309" s="8">
        <f>IFERROR(__xludf.DUMMYFUNCTION("""COMPUTED_VALUE"""),44293.0)</f>
        <v>44293</v>
      </c>
      <c r="N309" s="6" t="str">
        <f>IFERROR(__xludf.DUMMYFUNCTION("""COMPUTED_VALUE"""),"NL862476252B01")</f>
        <v>NL862476252B01</v>
      </c>
      <c r="O309" s="6">
        <f>IFERROR(__xludf.DUMMYFUNCTION("""COMPUTED_VALUE"""),8.2452172E7)</f>
        <v>82452172</v>
      </c>
      <c r="P309" s="6" t="str">
        <f>IFERROR(__xludf.DUMMYFUNCTION("""COMPUTED_VALUE"""),"NL63INGB0006781708")</f>
        <v>NL63INGB0006781708</v>
      </c>
      <c r="Q309" s="9">
        <f>IFERROR(__xludf.DUMMYFUNCTION("""COMPUTED_VALUE"""),44293.0)</f>
        <v>44293</v>
      </c>
      <c r="R309" s="6"/>
      <c r="S309" s="6" t="str">
        <f>IFERROR(__xludf.DUMMYFUNCTION("""COMPUTED_VALUE"""),"NL862476252B01")</f>
        <v>NL862476252B01</v>
      </c>
      <c r="T309" s="6">
        <f>IFERROR(__xludf.DUMMYFUNCTION("""COMPUTED_VALUE"""),8.62476252E8)</f>
        <v>862476252</v>
      </c>
      <c r="U309" s="7" t="str">
        <f>IFERROR(__xludf.DUMMYFUNCTION("""COMPUTED_VALUE"""),"Besloten Vennootschap")</f>
        <v>Besloten Vennootschap</v>
      </c>
      <c r="V309" s="7" t="str">
        <f>IFERROR(__xludf.DUMMYFUNCTION("""COMPUTED_VALUE"""),"000048683469")</f>
        <v>000048683469</v>
      </c>
      <c r="W309" s="6" t="str">
        <f>IFERROR(__xludf.DUMMYFUNCTION("""COMPUTED_VALUE"""),"ink.miakosova.2288aa@zarabota.nl")</f>
        <v>ink.miakosova.2288aa@zarabota.nl</v>
      </c>
      <c r="X309" s="6" t="str">
        <f>IFERROR(__xludf.DUMMYFUNCTION("""COMPUTED_VALUE"""),"ver.miakosova.2288aa@zarabota.nl")</f>
        <v>ver.miakosova.2288aa@zarabota.nl</v>
      </c>
      <c r="Y309" s="6" t="str">
        <f>IFERROR(__xludf.DUMMYFUNCTION("""COMPUTED_VALUE"""),"Hr.")</f>
        <v>Hr.</v>
      </c>
      <c r="Z309" s="6" t="str">
        <f>IFERROR(__xludf.DUMMYFUNCTION("""COMPUTED_VALUE"""),"Denislav Milanov")</f>
        <v>Denislav Milanov</v>
      </c>
      <c r="AA309" s="6" t="str">
        <f>IFERROR(__xludf.DUMMYFUNCTION("""COMPUTED_VALUE"""),"Kosov")</f>
        <v>Kosov</v>
      </c>
      <c r="AB309" s="6" t="str">
        <f>IFERROR(__xludf.DUMMYFUNCTION("""COMPUTED_VALUE"""),"D.M.")</f>
        <v>D.M.</v>
      </c>
      <c r="AC309" s="6">
        <f>IFERROR(__xludf.DUMMYFUNCTION("""COMPUTED_VALUE"""),4.86963949E8)</f>
        <v>486963949</v>
      </c>
      <c r="AD309" s="9">
        <f>IFERROR(__xludf.DUMMYFUNCTION("""COMPUTED_VALUE"""),32945.0)</f>
        <v>32945</v>
      </c>
      <c r="AE309" s="6" t="str">
        <f>IFERROR(__xludf.DUMMYFUNCTION("""COMPUTED_VALUE"""),"bg")</f>
        <v>bg</v>
      </c>
      <c r="AF309" s="6" t="str">
        <f>IFERROR(__xludf.DUMMYFUNCTION("""COMPUTED_VALUE"""),"Ardino")</f>
        <v>Ardino</v>
      </c>
      <c r="AG309" s="6" t="str">
        <f>IFERROR(__xludf.DUMMYFUNCTION("""COMPUTED_VALUE"""),"Hr. D.M. Kosov")</f>
        <v>Hr. D.M. Kosov</v>
      </c>
      <c r="AH309" s="6" t="str">
        <f>IFERROR(__xludf.DUMMYFUNCTION("""COMPUTED_VALUE"""),"NL29INGB0684194236")</f>
        <v>NL29INGB0684194236</v>
      </c>
      <c r="AI309" s="6"/>
      <c r="AJ309" s="6"/>
      <c r="AK309" s="6"/>
      <c r="AL309" s="6"/>
      <c r="AM309" s="6"/>
      <c r="AN309" s="6" t="str">
        <f>IFERROR(__xludf.DUMMYFUNCTION("""COMPUTED_VALUE"""),"Denislav Milanov Kosov")</f>
        <v>Denislav Milanov Kosov</v>
      </c>
      <c r="AO309" s="6"/>
    </row>
    <row r="310">
      <c r="A310" s="6" t="str">
        <f>IFERROR(__xludf.DUMMYFUNCTION("""COMPUTED_VALUE"""),"Michelin Bouw")</f>
        <v>Michelin Bouw</v>
      </c>
      <c r="B310" s="6" t="str">
        <f>IFERROR(__xludf.DUMMYFUNCTION("""COMPUTED_VALUE"""),"Michelin Bouw")</f>
        <v>Michelin Bouw</v>
      </c>
      <c r="C310" s="6">
        <f>IFERROR(__xludf.DUMMYFUNCTION("""COMPUTED_VALUE"""),1453.0)</f>
        <v>1453</v>
      </c>
      <c r="D310" s="7" t="str">
        <f>IFERROR(__xludf.DUMMYFUNCTION("""COMPUTED_VALUE"""),"Mihail Emilov Kehayov")</f>
        <v>Mihail Emilov Kehayov</v>
      </c>
      <c r="E310" s="7" t="str">
        <f>IFERROR(__xludf.DUMMYFUNCTION("""COMPUTED_VALUE"""),"SBI-code: 4120 - Algemene burgerlijke en utiliteitsbouw")</f>
        <v>SBI-code: 4120 - Algemene burgerlijke en utiliteitsbouw</v>
      </c>
      <c r="F310" s="7" t="str">
        <f>IFERROR(__xludf.DUMMYFUNCTION("""COMPUTED_VALUE"""),"0645522212")</f>
        <v>0645522212</v>
      </c>
      <c r="G310" s="6" t="str">
        <f>IFERROR(__xludf.DUMMYFUNCTION("""COMPUTED_VALUE"""),"mishel8602@gmail.com")</f>
        <v>mishel8602@gmail.com</v>
      </c>
      <c r="H310" s="6" t="str">
        <f>IFERROR(__xludf.DUMMYFUNCTION("""COMPUTED_VALUE"""),"Jansoniusstraat 103a")</f>
        <v>Jansoniusstraat 103a</v>
      </c>
      <c r="I310" s="6" t="str">
        <f>IFERROR(__xludf.DUMMYFUNCTION("""COMPUTED_VALUE"""),"2523HC")</f>
        <v>2523HC</v>
      </c>
      <c r="J310" s="6" t="str">
        <f>IFERROR(__xludf.DUMMYFUNCTION("""COMPUTED_VALUE"""),"s-Gravenhage")</f>
        <v>s-Gravenhage</v>
      </c>
      <c r="K310" s="6" t="str">
        <f>IFERROR(__xludf.DUMMYFUNCTION("""COMPUTED_VALUE"""),"Nederland")</f>
        <v>Nederland</v>
      </c>
      <c r="L310" s="6" t="str">
        <f>IFERROR(__xludf.DUMMYFUNCTION("""COMPUTED_VALUE"""),"Кехайов")</f>
        <v>Кехайов</v>
      </c>
      <c r="M310" s="8">
        <f>IFERROR(__xludf.DUMMYFUNCTION("""COMPUTED_VALUE"""),45658.0)</f>
        <v>45658</v>
      </c>
      <c r="N310" s="6" t="str">
        <f>IFERROR(__xludf.DUMMYFUNCTION("""COMPUTED_VALUE"""),"NL395821393B02")</f>
        <v>NL395821393B02</v>
      </c>
      <c r="O310" s="6">
        <f>IFERROR(__xludf.DUMMYFUNCTION("""COMPUTED_VALUE"""),9.6322217E7)</f>
        <v>96322217</v>
      </c>
      <c r="P310" s="6" t="str">
        <f>IFERROR(__xludf.DUMMYFUNCTION("""COMPUTED_VALUE"""),"NL27INGB0008988524")</f>
        <v>NL27INGB0008988524</v>
      </c>
      <c r="Q310" s="9">
        <f>IFERROR(__xludf.DUMMYFUNCTION("""COMPUTED_VALUE"""),43605.0)</f>
        <v>43605</v>
      </c>
      <c r="R310" s="6"/>
      <c r="S310" s="6" t="str">
        <f>IFERROR(__xludf.DUMMYFUNCTION("""COMPUTED_VALUE"""),"NL005202901B35")</f>
        <v>NL005202901B35</v>
      </c>
      <c r="T310" s="6">
        <f>IFERROR(__xludf.DUMMYFUNCTION("""COMPUTED_VALUE"""),3.95821393E8)</f>
        <v>395821393</v>
      </c>
      <c r="U310" s="7" t="str">
        <f>IFERROR(__xludf.DUMMYFUNCTION("""COMPUTED_VALUE"""),"Eenmanszaak")</f>
        <v>Eenmanszaak</v>
      </c>
      <c r="V310" s="7" t="str">
        <f>IFERROR(__xludf.DUMMYFUNCTION("""COMPUTED_VALUE"""),"000042815843")</f>
        <v>000042815843</v>
      </c>
      <c r="W310" s="6" t="str">
        <f>IFERROR(__xludf.DUMMYFUNCTION("""COMPUTED_VALUE"""),"ink.michelinbouw.2288aa@zarabota.nl")</f>
        <v>ink.michelinbouw.2288aa@zarabota.nl</v>
      </c>
      <c r="X310" s="6" t="str">
        <f>IFERROR(__xludf.DUMMYFUNCTION("""COMPUTED_VALUE"""),"ver.michelinbouw.2288aa@zarabota.nl")</f>
        <v>ver.michelinbouw.2288aa@zarabota.nl</v>
      </c>
      <c r="Y310" s="6" t="str">
        <f>IFERROR(__xludf.DUMMYFUNCTION("""COMPUTED_VALUE"""),"Hr.")</f>
        <v>Hr.</v>
      </c>
      <c r="Z310" s="6" t="str">
        <f>IFERROR(__xludf.DUMMYFUNCTION("""COMPUTED_VALUE"""),"Mihail Emilov")</f>
        <v>Mihail Emilov</v>
      </c>
      <c r="AA310" s="6" t="str">
        <f>IFERROR(__xludf.DUMMYFUNCTION("""COMPUTED_VALUE"""),"Kehayov")</f>
        <v>Kehayov</v>
      </c>
      <c r="AB310" s="6" t="str">
        <f>IFERROR(__xludf.DUMMYFUNCTION("""COMPUTED_VALUE"""),"M.E.")</f>
        <v>M.E.</v>
      </c>
      <c r="AC310" s="6">
        <f>IFERROR(__xludf.DUMMYFUNCTION("""COMPUTED_VALUE"""),3.95821393E8)</f>
        <v>395821393</v>
      </c>
      <c r="AD310" s="9">
        <f>IFERROR(__xludf.DUMMYFUNCTION("""COMPUTED_VALUE"""),31467.0)</f>
        <v>31467</v>
      </c>
      <c r="AE310" s="6" t="str">
        <f>IFERROR(__xludf.DUMMYFUNCTION("""COMPUTED_VALUE"""),"bg")</f>
        <v>bg</v>
      </c>
      <c r="AF310" s="6" t="str">
        <f>IFERROR(__xludf.DUMMYFUNCTION("""COMPUTED_VALUE"""),"Ardino")</f>
        <v>Ardino</v>
      </c>
      <c r="AG310" s="6" t="str">
        <f>IFERROR(__xludf.DUMMYFUNCTION("""COMPUTED_VALUE"""),"Hr. M.E. Kehayov")</f>
        <v>Hr. M.E. Kehayov</v>
      </c>
      <c r="AH310" s="6" t="str">
        <f>IFERROR(__xludf.DUMMYFUNCTION("""COMPUTED_VALUE"""),"NL49INGB0702948438")</f>
        <v>NL49INGB0702948438</v>
      </c>
      <c r="AI310" s="6"/>
      <c r="AJ310" s="6" t="str">
        <f>IFERROR(__xludf.DUMMYFUNCTION("""COMPUTED_VALUE"""),"ID Kaart")</f>
        <v>ID Kaart</v>
      </c>
      <c r="AK310" s="6">
        <f>IFERROR(__xludf.DUMMYFUNCTION("""COMPUTED_VALUE"""),6.47892696E8)</f>
        <v>647892696</v>
      </c>
      <c r="AL310" s="9">
        <f>IFERROR(__xludf.DUMMYFUNCTION("""COMPUTED_VALUE"""),47079.0)</f>
        <v>47079</v>
      </c>
      <c r="AM310" s="6" t="str">
        <f>IFERROR(__xludf.DUMMYFUNCTION("""COMPUTED_VALUE"""),"Bulgarije")</f>
        <v>Bulgarije</v>
      </c>
      <c r="AN310" s="6" t="str">
        <f>IFERROR(__xludf.DUMMYFUNCTION("""COMPUTED_VALUE"""),"Mihail Emilov Kehayov")</f>
        <v>Mihail Emilov Kehayov</v>
      </c>
      <c r="AO310" s="6">
        <f>IFERROR(__xludf.DUMMYFUNCTION("""COMPUTED_VALUE"""),1453.0)</f>
        <v>1453</v>
      </c>
    </row>
    <row r="311">
      <c r="A311" s="6" t="str">
        <f>IFERROR(__xludf.DUMMYFUNCTION("""COMPUTED_VALUE"""),"Miha-Stroy B.V.")</f>
        <v>Miha-Stroy B.V.</v>
      </c>
      <c r="B311" s="6" t="str">
        <f>IFERROR(__xludf.DUMMYFUNCTION("""COMPUTED_VALUE"""),"Miha-Stroy B.V.")</f>
        <v>Miha-Stroy B.V.</v>
      </c>
      <c r="C311" s="6">
        <f>IFERROR(__xludf.DUMMYFUNCTION("""COMPUTED_VALUE"""),1518.0)</f>
        <v>1518</v>
      </c>
      <c r="D311" s="7" t="str">
        <f>IFERROR(__xludf.DUMMYFUNCTION("""COMPUTED_VALUE"""),"Mihail Ostas")</f>
        <v>Mihail Ostas</v>
      </c>
      <c r="E311" s="7" t="str">
        <f>IFERROR(__xludf.DUMMYFUNCTION("""COMPUTED_VALUE"""),"SBI-code: 4120 - Algemene burgerlijke en utiliteitsbouw")</f>
        <v>SBI-code: 4120 - Algemene burgerlijke en utiliteitsbouw</v>
      </c>
      <c r="F311" s="7" t="str">
        <f>IFERROR(__xludf.DUMMYFUNCTION("""COMPUTED_VALUE"""),"0615083592")</f>
        <v>0615083592</v>
      </c>
      <c r="G311" s="6" t="str">
        <f>IFERROR(__xludf.DUMMYFUNCTION("""COMPUTED_VALUE"""),"ostas1985@mail.ru")</f>
        <v>ostas1985@mail.ru</v>
      </c>
      <c r="H311" s="6" t="str">
        <f>IFERROR(__xludf.DUMMYFUNCTION("""COMPUTED_VALUE"""),"Lindenlaan 5")</f>
        <v>Lindenlaan 5</v>
      </c>
      <c r="I311" s="6" t="str">
        <f>IFERROR(__xludf.DUMMYFUNCTION("""COMPUTED_VALUE"""),"6063 BK")</f>
        <v>6063 BK</v>
      </c>
      <c r="J311" s="6" t="str">
        <f>IFERROR(__xludf.DUMMYFUNCTION("""COMPUTED_VALUE"""),"Vlodrop")</f>
        <v>Vlodrop</v>
      </c>
      <c r="K311" s="6" t="str">
        <f>IFERROR(__xludf.DUMMYFUNCTION("""COMPUTED_VALUE"""),"Nederland")</f>
        <v>Nederland</v>
      </c>
      <c r="L311" s="6" t="str">
        <f>IFERROR(__xludf.DUMMYFUNCTION("""COMPUTED_VALUE"""),"Остас")</f>
        <v>Остас</v>
      </c>
      <c r="M311" s="8">
        <f>IFERROR(__xludf.DUMMYFUNCTION("""COMPUTED_VALUE"""),45108.0)</f>
        <v>45108</v>
      </c>
      <c r="N311" s="6" t="str">
        <f>IFERROR(__xludf.DUMMYFUNCTION("""COMPUTED_VALUE"""),"NL865466683B01")</f>
        <v>NL865466683B01</v>
      </c>
      <c r="O311" s="6">
        <f>IFERROR(__xludf.DUMMYFUNCTION("""COMPUTED_VALUE"""),9.08276E7)</f>
        <v>90827600</v>
      </c>
      <c r="P311" s="6" t="str">
        <f>IFERROR(__xludf.DUMMYFUNCTION("""COMPUTED_VALUE"""),"NL93INGB0103242139")</f>
        <v>NL93INGB0103242139</v>
      </c>
      <c r="Q311" s="9">
        <f>IFERROR(__xludf.DUMMYFUNCTION("""COMPUTED_VALUE"""),45108.0)</f>
        <v>45108</v>
      </c>
      <c r="R311" s="6"/>
      <c r="S311" s="6" t="str">
        <f>IFERROR(__xludf.DUMMYFUNCTION("""COMPUTED_VALUE"""),"NL865466683B01")</f>
        <v>NL865466683B01</v>
      </c>
      <c r="T311" s="6">
        <f>IFERROR(__xludf.DUMMYFUNCTION("""COMPUTED_VALUE"""),8.65466683E8)</f>
        <v>865466683</v>
      </c>
      <c r="U311" s="7" t="str">
        <f>IFERROR(__xludf.DUMMYFUNCTION("""COMPUTED_VALUE"""),"Eenmanszaak")</f>
        <v>Eenmanszaak</v>
      </c>
      <c r="V311" s="7" t="str">
        <f>IFERROR(__xludf.DUMMYFUNCTION("""COMPUTED_VALUE"""),"000056526695")</f>
        <v>000056526695</v>
      </c>
      <c r="W311" s="6" t="str">
        <f>IFERROR(__xludf.DUMMYFUNCTION("""COMPUTED_VALUE"""),"ink.miha-stroy.2288aa@zarabota.nl")</f>
        <v>ink.miha-stroy.2288aa@zarabota.nl</v>
      </c>
      <c r="X311" s="6" t="str">
        <f>IFERROR(__xludf.DUMMYFUNCTION("""COMPUTED_VALUE"""),"ver.miha-stroy.2288aa@zarabota.nl")</f>
        <v>ver.miha-stroy.2288aa@zarabota.nl</v>
      </c>
      <c r="Y311" s="6" t="str">
        <f>IFERROR(__xludf.DUMMYFUNCTION("""COMPUTED_VALUE"""),"Hr.")</f>
        <v>Hr.</v>
      </c>
      <c r="Z311" s="6" t="str">
        <f>IFERROR(__xludf.DUMMYFUNCTION("""COMPUTED_VALUE"""),"Mihail")</f>
        <v>Mihail</v>
      </c>
      <c r="AA311" s="6" t="str">
        <f>IFERROR(__xludf.DUMMYFUNCTION("""COMPUTED_VALUE"""),"Ostas")</f>
        <v>Ostas</v>
      </c>
      <c r="AB311" s="6" t="str">
        <f>IFERROR(__xludf.DUMMYFUNCTION("""COMPUTED_VALUE"""),"M.")</f>
        <v>M.</v>
      </c>
      <c r="AC311" s="6">
        <f>IFERROR(__xludf.DUMMYFUNCTION("""COMPUTED_VALUE"""),6.07405181E8)</f>
        <v>607405181</v>
      </c>
      <c r="AD311" s="9">
        <f>IFERROR(__xludf.DUMMYFUNCTION("""COMPUTED_VALUE"""),31365.0)</f>
        <v>31365</v>
      </c>
      <c r="AE311" s="6" t="str">
        <f>IFERROR(__xludf.DUMMYFUNCTION("""COMPUTED_VALUE"""),"bg")</f>
        <v>bg</v>
      </c>
      <c r="AF311" s="6" t="str">
        <f>IFERROR(__xludf.DUMMYFUNCTION("""COMPUTED_VALUE"""),"Singereii Noi")</f>
        <v>Singereii Noi</v>
      </c>
      <c r="AG311" s="6" t="str">
        <f>IFERROR(__xludf.DUMMYFUNCTION("""COMPUTED_VALUE"""),"Hr. M. Ostas")</f>
        <v>Hr. M. Ostas</v>
      </c>
      <c r="AH311" s="6"/>
      <c r="AI311" s="6"/>
      <c r="AJ311" s="6" t="str">
        <f>IFERROR(__xludf.DUMMYFUNCTION("""COMPUTED_VALUE"""),"ID Kaart")</f>
        <v>ID Kaart</v>
      </c>
      <c r="AK311" s="6" t="str">
        <f>IFERROR(__xludf.DUMMYFUNCTION("""COMPUTED_VALUE"""),"MZ205295")</f>
        <v>MZ205295</v>
      </c>
      <c r="AL311" s="9">
        <f>IFERROR(__xludf.DUMMYFUNCTION("""COMPUTED_VALUE"""),45244.0)</f>
        <v>45244</v>
      </c>
      <c r="AM311" s="6" t="str">
        <f>IFERROR(__xludf.DUMMYFUNCTION("""COMPUTED_VALUE"""),"Bulgarije")</f>
        <v>Bulgarije</v>
      </c>
      <c r="AN311" s="6" t="str">
        <f>IFERROR(__xludf.DUMMYFUNCTION("""COMPUTED_VALUE"""),"Mihail Ostas")</f>
        <v>Mihail Ostas</v>
      </c>
      <c r="AO311" s="6">
        <f>IFERROR(__xludf.DUMMYFUNCTION("""COMPUTED_VALUE"""),1518.0)</f>
        <v>1518</v>
      </c>
    </row>
    <row r="312">
      <c r="A312" s="6" t="str">
        <f>IFERROR(__xludf.DUMMYFUNCTION("""COMPUTED_VALUE"""),"Mihail Onderhoud")</f>
        <v>Mihail Onderhoud</v>
      </c>
      <c r="B312" s="6" t="str">
        <f>IFERROR(__xludf.DUMMYFUNCTION("""COMPUTED_VALUE"""),"Mihail Onderhoud")</f>
        <v>Mihail Onderhoud</v>
      </c>
      <c r="C312" s="6">
        <f>IFERROR(__xludf.DUMMYFUNCTION("""COMPUTED_VALUE"""),506.0)</f>
        <v>506</v>
      </c>
      <c r="D312" s="7" t="str">
        <f>IFERROR(__xludf.DUMMYFUNCTION("""COMPUTED_VALUE"""),"Mihail Lyubomirov Dankov")</f>
        <v>Mihail Lyubomirov Dankov</v>
      </c>
      <c r="E312" s="7" t="str">
        <f>IFERROR(__xludf.DUMMYFUNCTION("""COMPUTED_VALUE"""),"SBI-code: 4120 - Algemene burgerlijke en utiliteitsbouw")</f>
        <v>SBI-code: 4120 - Algemene burgerlijke en utiliteitsbouw</v>
      </c>
      <c r="F312" s="7" t="str">
        <f>IFERROR(__xludf.DUMMYFUNCTION("""COMPUTED_VALUE"""),"0628388535")</f>
        <v>0628388535</v>
      </c>
      <c r="G312" s="6" t="str">
        <f>IFERROR(__xludf.DUMMYFUNCTION("""COMPUTED_VALUE"""),"dankov_79@abv.bg")</f>
        <v>dankov_79@abv.bg</v>
      </c>
      <c r="H312" s="6" t="str">
        <f>IFERROR(__xludf.DUMMYFUNCTION("""COMPUTED_VALUE"""),"Heer Daniëlstraat 112")</f>
        <v>Heer Daniëlstraat 112</v>
      </c>
      <c r="I312" s="6" t="str">
        <f>IFERROR(__xludf.DUMMYFUNCTION("""COMPUTED_VALUE"""),"3073DG")</f>
        <v>3073DG</v>
      </c>
      <c r="J312" s="6" t="str">
        <f>IFERROR(__xludf.DUMMYFUNCTION("""COMPUTED_VALUE"""),"Rotterdam")</f>
        <v>Rotterdam</v>
      </c>
      <c r="K312" s="6" t="str">
        <f>IFERROR(__xludf.DUMMYFUNCTION("""COMPUTED_VALUE"""),"Nederland")</f>
        <v>Nederland</v>
      </c>
      <c r="L312" s="6" t="str">
        <f>IFERROR(__xludf.DUMMYFUNCTION("""COMPUTED_VALUE"""),"Данков")</f>
        <v>Данков</v>
      </c>
      <c r="M312" s="8">
        <f>IFERROR(__xludf.DUMMYFUNCTION("""COMPUTED_VALUE"""),43175.0)</f>
        <v>43175</v>
      </c>
      <c r="N312" s="6" t="str">
        <f>IFERROR(__xludf.DUMMYFUNCTION("""COMPUTED_VALUE"""),"NL361067173B01")</f>
        <v>NL361067173B01</v>
      </c>
      <c r="O312" s="6">
        <f>IFERROR(__xludf.DUMMYFUNCTION("""COMPUTED_VALUE"""),7.0529418E7)</f>
        <v>70529418</v>
      </c>
      <c r="P312" s="6" t="str">
        <f>IFERROR(__xludf.DUMMYFUNCTION("""COMPUTED_VALUE"""),"NL77INGB0008098425")</f>
        <v>NL77INGB0008098425</v>
      </c>
      <c r="Q312" s="9">
        <f>IFERROR(__xludf.DUMMYFUNCTION("""COMPUTED_VALUE"""),43101.0)</f>
        <v>43101</v>
      </c>
      <c r="R312" s="6"/>
      <c r="S312" s="6" t="str">
        <f>IFERROR(__xludf.DUMMYFUNCTION("""COMPUTED_VALUE"""),"NL002473214B28")</f>
        <v>NL002473214B28</v>
      </c>
      <c r="T312" s="6">
        <f>IFERROR(__xludf.DUMMYFUNCTION("""COMPUTED_VALUE"""),3.61067173E8)</f>
        <v>361067173</v>
      </c>
      <c r="U312" s="7" t="str">
        <f>IFERROR(__xludf.DUMMYFUNCTION("""COMPUTED_VALUE"""),"Eenmanszaak")</f>
        <v>Eenmanszaak</v>
      </c>
      <c r="V312" s="7" t="str">
        <f>IFERROR(__xludf.DUMMYFUNCTION("""COMPUTED_VALUE"""),"000038788152")</f>
        <v>000038788152</v>
      </c>
      <c r="W312" s="6" t="str">
        <f>IFERROR(__xludf.DUMMYFUNCTION("""COMPUTED_VALUE"""),"ink.mihailonderhoud.2288aa@zarabota.nl")</f>
        <v>ink.mihailonderhoud.2288aa@zarabota.nl</v>
      </c>
      <c r="X312" s="6" t="str">
        <f>IFERROR(__xludf.DUMMYFUNCTION("""COMPUTED_VALUE"""),"ver.mihailonderhoud.2288aa@zarabota.nl")</f>
        <v>ver.mihailonderhoud.2288aa@zarabota.nl</v>
      </c>
      <c r="Y312" s="6" t="str">
        <f>IFERROR(__xludf.DUMMYFUNCTION("""COMPUTED_VALUE"""),"Hr.")</f>
        <v>Hr.</v>
      </c>
      <c r="Z312" s="6" t="str">
        <f>IFERROR(__xludf.DUMMYFUNCTION("""COMPUTED_VALUE"""),"Mihail Lyubomirov")</f>
        <v>Mihail Lyubomirov</v>
      </c>
      <c r="AA312" s="6" t="str">
        <f>IFERROR(__xludf.DUMMYFUNCTION("""COMPUTED_VALUE"""),"Dankov")</f>
        <v>Dankov</v>
      </c>
      <c r="AB312" s="6" t="str">
        <f>IFERROR(__xludf.DUMMYFUNCTION("""COMPUTED_VALUE"""),"M.L.")</f>
        <v>M.L.</v>
      </c>
      <c r="AC312" s="6">
        <f>IFERROR(__xludf.DUMMYFUNCTION("""COMPUTED_VALUE"""),3.61067173E8)</f>
        <v>361067173</v>
      </c>
      <c r="AD312" s="9">
        <f>IFERROR(__xludf.DUMMYFUNCTION("""COMPUTED_VALUE"""),29058.0)</f>
        <v>29058</v>
      </c>
      <c r="AE312" s="6" t="str">
        <f>IFERROR(__xludf.DUMMYFUNCTION("""COMPUTED_VALUE"""),"bg")</f>
        <v>bg</v>
      </c>
      <c r="AF312" s="6" t="str">
        <f>IFERROR(__xludf.DUMMYFUNCTION("""COMPUTED_VALUE"""),"Montana")</f>
        <v>Montana</v>
      </c>
      <c r="AG312" s="6" t="str">
        <f>IFERROR(__xludf.DUMMYFUNCTION("""COMPUTED_VALUE"""),"Hr. M.L. Dankov")</f>
        <v>Hr. M.L. Dankov</v>
      </c>
      <c r="AH312" s="6"/>
      <c r="AI312" s="6"/>
      <c r="AJ312" s="6"/>
      <c r="AK312" s="6"/>
      <c r="AL312" s="6"/>
      <c r="AM312" s="6"/>
      <c r="AN312" s="6" t="str">
        <f>IFERROR(__xludf.DUMMYFUNCTION("""COMPUTED_VALUE"""),"Mihail Lyubomirov Dankov")</f>
        <v>Mihail Lyubomirov Dankov</v>
      </c>
      <c r="AO312" s="6"/>
    </row>
    <row r="313">
      <c r="A313" s="6" t="str">
        <f>IFERROR(__xludf.DUMMYFUNCTION("""COMPUTED_VALUE"""),"MIK Bouw VOF")</f>
        <v>MIK Bouw VOF</v>
      </c>
      <c r="B313" s="6" t="str">
        <f>IFERROR(__xludf.DUMMYFUNCTION("""COMPUTED_VALUE"""),"MIK Bouw VOF")</f>
        <v>MIK Bouw VOF</v>
      </c>
      <c r="C313" s="6">
        <f>IFERROR(__xludf.DUMMYFUNCTION("""COMPUTED_VALUE"""),497.0)</f>
        <v>497</v>
      </c>
      <c r="D313" s="7" t="str">
        <f>IFERROR(__xludf.DUMMYFUNCTION("""COMPUTED_VALUE"""),"Milen Ivanchev Kaytsanov")</f>
        <v>Milen Ivanchev Kaytsanov</v>
      </c>
      <c r="E313" s="7" t="str">
        <f>IFERROR(__xludf.DUMMYFUNCTION("""COMPUTED_VALUE"""),"SBI-code: 4120 - Algemene burgerlijke en utiliteitsbouw")</f>
        <v>SBI-code: 4120 - Algemene burgerlijke en utiliteitsbouw</v>
      </c>
      <c r="F313" s="7" t="str">
        <f>IFERROR(__xludf.DUMMYFUNCTION("""COMPUTED_VALUE"""),"0684171919")</f>
        <v>0684171919</v>
      </c>
      <c r="G313" s="6" t="str">
        <f>IFERROR(__xludf.DUMMYFUNCTION("""COMPUTED_VALUE"""),"milen.kaitsanov@gmail.com")</f>
        <v>milen.kaitsanov@gmail.com</v>
      </c>
      <c r="H313" s="6" t="str">
        <f>IFERROR(__xludf.DUMMYFUNCTION("""COMPUTED_VALUE"""),"Gravendreef 65")</f>
        <v>Gravendreef 65</v>
      </c>
      <c r="I313" s="6" t="str">
        <f>IFERROR(__xludf.DUMMYFUNCTION("""COMPUTED_VALUE"""),"2542 NN")</f>
        <v>2542 NN</v>
      </c>
      <c r="J313" s="6" t="str">
        <f>IFERROR(__xludf.DUMMYFUNCTION("""COMPUTED_VALUE"""),"s-Gravenhage")</f>
        <v>s-Gravenhage</v>
      </c>
      <c r="K313" s="6" t="str">
        <f>IFERROR(__xludf.DUMMYFUNCTION("""COMPUTED_VALUE"""),"Nederland")</f>
        <v>Nederland</v>
      </c>
      <c r="L313" s="6" t="str">
        <f>IFERROR(__xludf.DUMMYFUNCTION("""COMPUTED_VALUE"""),"Кайцанов")</f>
        <v>Кайцанов</v>
      </c>
      <c r="M313" s="8">
        <f>IFERROR(__xludf.DUMMYFUNCTION("""COMPUTED_VALUE"""),42970.0)</f>
        <v>42970</v>
      </c>
      <c r="N313" s="6" t="str">
        <f>IFERROR(__xludf.DUMMYFUNCTION("""COMPUTED_VALUE"""),"NL858386872B01")</f>
        <v>NL858386872B01</v>
      </c>
      <c r="O313" s="6">
        <f>IFERROR(__xludf.DUMMYFUNCTION("""COMPUTED_VALUE"""),7.0594112E7)</f>
        <v>70594112</v>
      </c>
      <c r="P313" s="6" t="str">
        <f>IFERROR(__xludf.DUMMYFUNCTION("""COMPUTED_VALUE"""),"NL13INGB0007923813")</f>
        <v>NL13INGB0007923813</v>
      </c>
      <c r="Q313" s="9">
        <f>IFERROR(__xludf.DUMMYFUNCTION("""COMPUTED_VALUE"""),43101.0)</f>
        <v>43101</v>
      </c>
      <c r="R313" s="6"/>
      <c r="S313" s="6" t="str">
        <f>IFERROR(__xludf.DUMMYFUNCTION("""COMPUTED_VALUE"""),"NL858386872B01")</f>
        <v>NL858386872B01</v>
      </c>
      <c r="T313" s="6">
        <f>IFERROR(__xludf.DUMMYFUNCTION("""COMPUTED_VALUE"""),8.58386872E8)</f>
        <v>858386872</v>
      </c>
      <c r="U313" s="7" t="str">
        <f>IFERROR(__xludf.DUMMYFUNCTION("""COMPUTED_VALUE"""),"Vennootschap Onder Firma")</f>
        <v>Vennootschap Onder Firma</v>
      </c>
      <c r="V313" s="7" t="str">
        <f>IFERROR(__xludf.DUMMYFUNCTION("""COMPUTED_VALUE"""),"000037796143")</f>
        <v>000037796143</v>
      </c>
      <c r="W313" s="6" t="str">
        <f>IFERROR(__xludf.DUMMYFUNCTION("""COMPUTED_VALUE"""),"ink.mikbouwvof.2288aa@zarabota.nl")</f>
        <v>ink.mikbouwvof.2288aa@zarabota.nl</v>
      </c>
      <c r="X313" s="6" t="str">
        <f>IFERROR(__xludf.DUMMYFUNCTION("""COMPUTED_VALUE"""),"ver.mikbouwvof.2288aa@zarabota.nl")</f>
        <v>ver.mikbouwvof.2288aa@zarabota.nl</v>
      </c>
      <c r="Y313" s="6" t="str">
        <f>IFERROR(__xludf.DUMMYFUNCTION("""COMPUTED_VALUE"""),"Hr.")</f>
        <v>Hr.</v>
      </c>
      <c r="Z313" s="6" t="str">
        <f>IFERROR(__xludf.DUMMYFUNCTION("""COMPUTED_VALUE"""),"Milen Ivanchev")</f>
        <v>Milen Ivanchev</v>
      </c>
      <c r="AA313" s="6" t="str">
        <f>IFERROR(__xludf.DUMMYFUNCTION("""COMPUTED_VALUE"""),"Kaytsanov")</f>
        <v>Kaytsanov</v>
      </c>
      <c r="AB313" s="6" t="str">
        <f>IFERROR(__xludf.DUMMYFUNCTION("""COMPUTED_VALUE"""),"M.I.")</f>
        <v>M.I.</v>
      </c>
      <c r="AC313" s="6">
        <f>IFERROR(__xludf.DUMMYFUNCTION("""COMPUTED_VALUE"""),3.83228438E8)</f>
        <v>383228438</v>
      </c>
      <c r="AD313" s="9">
        <f>IFERROR(__xludf.DUMMYFUNCTION("""COMPUTED_VALUE"""),27418.0)</f>
        <v>27418</v>
      </c>
      <c r="AE313" s="6" t="str">
        <f>IFERROR(__xludf.DUMMYFUNCTION("""COMPUTED_VALUE"""),"bg")</f>
        <v>bg</v>
      </c>
      <c r="AF313" s="6" t="str">
        <f>IFERROR(__xludf.DUMMYFUNCTION("""COMPUTED_VALUE"""),"Montana")</f>
        <v>Montana</v>
      </c>
      <c r="AG313" s="6" t="str">
        <f>IFERROR(__xludf.DUMMYFUNCTION("""COMPUTED_VALUE"""),"Hr. M.I. Kaytsanov")</f>
        <v>Hr. M.I. Kaytsanov</v>
      </c>
      <c r="AH313" s="6" t="str">
        <f>IFERROR(__xludf.DUMMYFUNCTION("""COMPUTED_VALUE"""),"NL77INGB0655373993")</f>
        <v>NL77INGB0655373993</v>
      </c>
      <c r="AI313" s="6"/>
      <c r="AJ313" s="6"/>
      <c r="AK313" s="6"/>
      <c r="AL313" s="6"/>
      <c r="AM313" s="6"/>
      <c r="AN313" s="6" t="str">
        <f>IFERROR(__xludf.DUMMYFUNCTION("""COMPUTED_VALUE"""),"Milen Ivanchev Kaytsanov")</f>
        <v>Milen Ivanchev Kaytsanov</v>
      </c>
      <c r="AO313" s="6"/>
    </row>
    <row r="314">
      <c r="A314" s="6" t="str">
        <f>IFERROR(__xludf.DUMMYFUNCTION("""COMPUTED_VALUE"""),"Mike Install")</f>
        <v>Mike Install</v>
      </c>
      <c r="B314" s="6" t="str">
        <f>IFERROR(__xludf.DUMMYFUNCTION("""COMPUTED_VALUE"""),"Mike Install")</f>
        <v>Mike Install</v>
      </c>
      <c r="C314" s="6">
        <f>IFERROR(__xludf.DUMMYFUNCTION("""COMPUTED_VALUE"""),1350.0)</f>
        <v>1350</v>
      </c>
      <c r="D314" s="7" t="str">
        <f>IFERROR(__xludf.DUMMYFUNCTION("""COMPUTED_VALUE"""),"Mihail Tsvetkov Ivanov")</f>
        <v>Mihail Tsvetkov Ivanov</v>
      </c>
      <c r="E314" s="7" t="str">
        <f>IFERROR(__xludf.DUMMYFUNCTION("""COMPUTED_VALUE"""),"SBI-code: 4120 - Algemene burgerlijke en utiliteitsbouw")</f>
        <v>SBI-code: 4120 - Algemene burgerlijke en utiliteitsbouw</v>
      </c>
      <c r="F314" s="7" t="str">
        <f>IFERROR(__xludf.DUMMYFUNCTION("""COMPUTED_VALUE"""),"0687563821")</f>
        <v>0687563821</v>
      </c>
      <c r="G314" s="6" t="str">
        <f>IFERROR(__xludf.DUMMYFUNCTION("""COMPUTED_VALUE"""),"mikeinstallnl@gmail.com")</f>
        <v>mikeinstallnl@gmail.com</v>
      </c>
      <c r="H314" s="6" t="str">
        <f>IFERROR(__xludf.DUMMYFUNCTION("""COMPUTED_VALUE"""),"Boschring 28")</f>
        <v>Boschring 28</v>
      </c>
      <c r="I314" s="6" t="str">
        <f>IFERROR(__xludf.DUMMYFUNCTION("""COMPUTED_VALUE"""),"5052HG")</f>
        <v>5052HG</v>
      </c>
      <c r="J314" s="6" t="str">
        <f>IFERROR(__xludf.DUMMYFUNCTION("""COMPUTED_VALUE"""),"Goirle")</f>
        <v>Goirle</v>
      </c>
      <c r="K314" s="6" t="str">
        <f>IFERROR(__xludf.DUMMYFUNCTION("""COMPUTED_VALUE"""),"Nederland")</f>
        <v>Nederland</v>
      </c>
      <c r="L314" s="6" t="str">
        <f>IFERROR(__xludf.DUMMYFUNCTION("""COMPUTED_VALUE"""),"Иванов")</f>
        <v>Иванов</v>
      </c>
      <c r="M314" s="8">
        <f>IFERROR(__xludf.DUMMYFUNCTION("""COMPUTED_VALUE"""),44652.0)</f>
        <v>44652</v>
      </c>
      <c r="N314" s="6" t="str">
        <f>IFERROR(__xludf.DUMMYFUNCTION("""COMPUTED_VALUE"""),"NL297516152B01")</f>
        <v>NL297516152B01</v>
      </c>
      <c r="O314" s="6">
        <f>IFERROR(__xludf.DUMMYFUNCTION("""COMPUTED_VALUE"""),8.6503936E7)</f>
        <v>86503936</v>
      </c>
      <c r="P314" s="6" t="str">
        <f>IFERROR(__xludf.DUMMYFUNCTION("""COMPUTED_VALUE"""),"NL16RABO0339277637")</f>
        <v>NL16RABO0339277637</v>
      </c>
      <c r="Q314" s="9">
        <f>IFERROR(__xludf.DUMMYFUNCTION("""COMPUTED_VALUE"""),44652.0)</f>
        <v>44652</v>
      </c>
      <c r="R314" s="6"/>
      <c r="S314" s="6" t="str">
        <f>IFERROR(__xludf.DUMMYFUNCTION("""COMPUTED_VALUE"""),"NL004257717B82")</f>
        <v>NL004257717B82</v>
      </c>
      <c r="T314" s="6">
        <f>IFERROR(__xludf.DUMMYFUNCTION("""COMPUTED_VALUE"""),2.97516152E8)</f>
        <v>297516152</v>
      </c>
      <c r="U314" s="7" t="str">
        <f>IFERROR(__xludf.DUMMYFUNCTION("""COMPUTED_VALUE"""),"Eenmanszaak")</f>
        <v>Eenmanszaak</v>
      </c>
      <c r="V314" s="7" t="str">
        <f>IFERROR(__xludf.DUMMYFUNCTION("""COMPUTED_VALUE"""),"000052476146")</f>
        <v>000052476146</v>
      </c>
      <c r="W314" s="6" t="str">
        <f>IFERROR(__xludf.DUMMYFUNCTION("""COMPUTED_VALUE"""),"ink.mikeinstall.2288aa@zarabota.nl")</f>
        <v>ink.mikeinstall.2288aa@zarabota.nl</v>
      </c>
      <c r="X314" s="6" t="str">
        <f>IFERROR(__xludf.DUMMYFUNCTION("""COMPUTED_VALUE"""),"ver.mikeinstall.2288aa@zarabota.nl")</f>
        <v>ver.mikeinstall.2288aa@zarabota.nl</v>
      </c>
      <c r="Y314" s="6" t="str">
        <f>IFERROR(__xludf.DUMMYFUNCTION("""COMPUTED_VALUE"""),"Hr.")</f>
        <v>Hr.</v>
      </c>
      <c r="Z314" s="6" t="str">
        <f>IFERROR(__xludf.DUMMYFUNCTION("""COMPUTED_VALUE"""),"Mihail Tsvetanov")</f>
        <v>Mihail Tsvetanov</v>
      </c>
      <c r="AA314" s="6" t="str">
        <f>IFERROR(__xludf.DUMMYFUNCTION("""COMPUTED_VALUE"""),"Ivanov")</f>
        <v>Ivanov</v>
      </c>
      <c r="AB314" s="6" t="str">
        <f>IFERROR(__xludf.DUMMYFUNCTION("""COMPUTED_VALUE"""),"M.T.")</f>
        <v>M.T.</v>
      </c>
      <c r="AC314" s="6">
        <f>IFERROR(__xludf.DUMMYFUNCTION("""COMPUTED_VALUE"""),2.97516152E8)</f>
        <v>297516152</v>
      </c>
      <c r="AD314" s="9">
        <f>IFERROR(__xludf.DUMMYFUNCTION("""COMPUTED_VALUE"""),24175.0)</f>
        <v>24175</v>
      </c>
      <c r="AE314" s="6" t="str">
        <f>IFERROR(__xludf.DUMMYFUNCTION("""COMPUTED_VALUE"""),"bg")</f>
        <v>bg</v>
      </c>
      <c r="AF314" s="6" t="str">
        <f>IFERROR(__xludf.DUMMYFUNCTION("""COMPUTED_VALUE"""),"Montana")</f>
        <v>Montana</v>
      </c>
      <c r="AG314" s="6" t="str">
        <f>IFERROR(__xludf.DUMMYFUNCTION("""COMPUTED_VALUE"""),"Hr. M.T. Ivanov")</f>
        <v>Hr. M.T. Ivanov</v>
      </c>
      <c r="AH314" s="6"/>
      <c r="AI314" s="6"/>
      <c r="AJ314" s="6" t="str">
        <f>IFERROR(__xludf.DUMMYFUNCTION("""COMPUTED_VALUE"""),"ID Kaart")</f>
        <v>ID Kaart</v>
      </c>
      <c r="AK314" s="6"/>
      <c r="AL314" s="6"/>
      <c r="AM314" s="6" t="str">
        <f>IFERROR(__xludf.DUMMYFUNCTION("""COMPUTED_VALUE"""),"Bulgarije")</f>
        <v>Bulgarije</v>
      </c>
      <c r="AN314" s="6" t="str">
        <f>IFERROR(__xludf.DUMMYFUNCTION("""COMPUTED_VALUE"""),"Mihail Tsvetanov Ivanov")</f>
        <v>Mihail Tsvetanov Ivanov</v>
      </c>
      <c r="AO314" s="6">
        <f>IFERROR(__xludf.DUMMYFUNCTION("""COMPUTED_VALUE"""),1350.0)</f>
        <v>1350</v>
      </c>
    </row>
    <row r="315">
      <c r="A315" s="6" t="str">
        <f>IFERROR(__xludf.DUMMYFUNCTION("""COMPUTED_VALUE"""),"Milenium Bouw")</f>
        <v>Milenium Bouw</v>
      </c>
      <c r="B315" s="6" t="str">
        <f>IFERROR(__xludf.DUMMYFUNCTION("""COMPUTED_VALUE"""),"Milenium Bouw")</f>
        <v>Milenium Bouw</v>
      </c>
      <c r="C315" s="6">
        <f>IFERROR(__xludf.DUMMYFUNCTION("""COMPUTED_VALUE"""),600.0)</f>
        <v>600</v>
      </c>
      <c r="D315" s="7" t="str">
        <f>IFERROR(__xludf.DUMMYFUNCTION("""COMPUTED_VALUE"""),"Milen Yuriev Smilyanov")</f>
        <v>Milen Yuriev Smilyanov</v>
      </c>
      <c r="E315" s="7" t="str">
        <f>IFERROR(__xludf.DUMMYFUNCTION("""COMPUTED_VALUE"""),"SBI-code: 4120 - Algemene burgerlijke en utiliteitsbouw")</f>
        <v>SBI-code: 4120 - Algemene burgerlijke en utiliteitsbouw</v>
      </c>
      <c r="F315" s="7" t="str">
        <f>IFERROR(__xludf.DUMMYFUNCTION("""COMPUTED_VALUE"""),"0645808341")</f>
        <v>0645808341</v>
      </c>
      <c r="G315" s="6" t="str">
        <f>IFERROR(__xludf.DUMMYFUNCTION("""COMPUTED_VALUE"""),"milenium1114@abv.bg")</f>
        <v>milenium1114@abv.bg</v>
      </c>
      <c r="H315" s="6" t="str">
        <f>IFERROR(__xludf.DUMMYFUNCTION("""COMPUTED_VALUE"""),"Van Koetsveldstraat 64")</f>
        <v>Van Koetsveldstraat 64</v>
      </c>
      <c r="I315" s="6" t="str">
        <f>IFERROR(__xludf.DUMMYFUNCTION("""COMPUTED_VALUE"""),"2523 EE")</f>
        <v>2523 EE</v>
      </c>
      <c r="J315" s="6" t="str">
        <f>IFERROR(__xludf.DUMMYFUNCTION("""COMPUTED_VALUE"""),"Den Haag")</f>
        <v>Den Haag</v>
      </c>
      <c r="K315" s="6" t="str">
        <f>IFERROR(__xludf.DUMMYFUNCTION("""COMPUTED_VALUE"""),"Nederland")</f>
        <v>Nederland</v>
      </c>
      <c r="L315" s="6" t="str">
        <f>IFERROR(__xludf.DUMMYFUNCTION("""COMPUTED_VALUE"""),"Смилянов")</f>
        <v>Смилянов</v>
      </c>
      <c r="M315" s="8">
        <f>IFERROR(__xludf.DUMMYFUNCTION("""COMPUTED_VALUE"""),43269.0)</f>
        <v>43269</v>
      </c>
      <c r="N315" s="6" t="str">
        <f>IFERROR(__xludf.DUMMYFUNCTION("""COMPUTED_VALUE"""),"NL519442003B01")</f>
        <v>NL519442003B01</v>
      </c>
      <c r="O315" s="6">
        <f>IFERROR(__xludf.DUMMYFUNCTION("""COMPUTED_VALUE"""),7.1924205E7)</f>
        <v>71924205</v>
      </c>
      <c r="P315" s="6" t="str">
        <f>IFERROR(__xludf.DUMMYFUNCTION("""COMPUTED_VALUE"""),"NL02INGB0008459742")</f>
        <v>NL02INGB0008459742</v>
      </c>
      <c r="Q315" s="9">
        <f>IFERROR(__xludf.DUMMYFUNCTION("""COMPUTED_VALUE"""),43269.0)</f>
        <v>43269</v>
      </c>
      <c r="R315" s="6"/>
      <c r="S315" s="6" t="str">
        <f>IFERROR(__xludf.DUMMYFUNCTION("""COMPUTED_VALUE"""),"NL002495482B18")</f>
        <v>NL002495482B18</v>
      </c>
      <c r="T315" s="6">
        <f>IFERROR(__xludf.DUMMYFUNCTION("""COMPUTED_VALUE"""),5.19442003E8)</f>
        <v>519442003</v>
      </c>
      <c r="U315" s="7" t="str">
        <f>IFERROR(__xludf.DUMMYFUNCTION("""COMPUTED_VALUE"""),"Eenmanszaak")</f>
        <v>Eenmanszaak</v>
      </c>
      <c r="V315" s="7" t="str">
        <f>IFERROR(__xludf.DUMMYFUNCTION("""COMPUTED_VALUE"""),"000040072959")</f>
        <v>000040072959</v>
      </c>
      <c r="W315" s="6" t="str">
        <f>IFERROR(__xludf.DUMMYFUNCTION("""COMPUTED_VALUE"""),"ink.mileniumbouw.2288aa@zarabota.nl")</f>
        <v>ink.mileniumbouw.2288aa@zarabota.nl</v>
      </c>
      <c r="X315" s="6" t="str">
        <f>IFERROR(__xludf.DUMMYFUNCTION("""COMPUTED_VALUE"""),"ver.mileniumbouw.2288aa@zarabota.nl")</f>
        <v>ver.mileniumbouw.2288aa@zarabota.nl</v>
      </c>
      <c r="Y315" s="6" t="str">
        <f>IFERROR(__xludf.DUMMYFUNCTION("""COMPUTED_VALUE"""),"Hr.")</f>
        <v>Hr.</v>
      </c>
      <c r="Z315" s="6" t="str">
        <f>IFERROR(__xludf.DUMMYFUNCTION("""COMPUTED_VALUE"""),"Milen Yuriev")</f>
        <v>Milen Yuriev</v>
      </c>
      <c r="AA315" s="6" t="str">
        <f>IFERROR(__xludf.DUMMYFUNCTION("""COMPUTED_VALUE"""),"Smilyanov")</f>
        <v>Smilyanov</v>
      </c>
      <c r="AB315" s="6" t="str">
        <f>IFERROR(__xludf.DUMMYFUNCTION("""COMPUTED_VALUE"""),"M.Y.")</f>
        <v>M.Y.</v>
      </c>
      <c r="AC315" s="6">
        <f>IFERROR(__xludf.DUMMYFUNCTION("""COMPUTED_VALUE"""),5.19442003E8)</f>
        <v>519442003</v>
      </c>
      <c r="AD315" s="9">
        <f>IFERROR(__xludf.DUMMYFUNCTION("""COMPUTED_VALUE"""),31913.0)</f>
        <v>31913</v>
      </c>
      <c r="AE315" s="6" t="str">
        <f>IFERROR(__xludf.DUMMYFUNCTION("""COMPUTED_VALUE"""),"bg")</f>
        <v>bg</v>
      </c>
      <c r="AF315" s="6" t="str">
        <f>IFERROR(__xludf.DUMMYFUNCTION("""COMPUTED_VALUE"""),"Smolyan")</f>
        <v>Smolyan</v>
      </c>
      <c r="AG315" s="6" t="str">
        <f>IFERROR(__xludf.DUMMYFUNCTION("""COMPUTED_VALUE"""),"Hr. M.Y. Smilyanov")</f>
        <v>Hr. M.Y. Smilyanov</v>
      </c>
      <c r="AH315" s="6"/>
      <c r="AI315" s="6"/>
      <c r="AJ315" s="6"/>
      <c r="AK315" s="6"/>
      <c r="AL315" s="6"/>
      <c r="AM315" s="6"/>
      <c r="AN315" s="6" t="str">
        <f>IFERROR(__xludf.DUMMYFUNCTION("""COMPUTED_VALUE"""),"Milen Yuriev Smilyanov")</f>
        <v>Milen Yuriev Smilyanov</v>
      </c>
      <c r="AO315" s="6"/>
    </row>
    <row r="316">
      <c r="A316" s="6" t="str">
        <f>IFERROR(__xludf.DUMMYFUNCTION("""COMPUTED_VALUE"""),"Milko 82")</f>
        <v>Milko 82</v>
      </c>
      <c r="B316" s="6" t="str">
        <f>IFERROR(__xludf.DUMMYFUNCTION("""COMPUTED_VALUE"""),"Milko 82")</f>
        <v>Milko 82</v>
      </c>
      <c r="C316" s="6">
        <f>IFERROR(__xludf.DUMMYFUNCTION("""COMPUTED_VALUE"""),934.0)</f>
        <v>934</v>
      </c>
      <c r="D316" s="7" t="str">
        <f>IFERROR(__xludf.DUMMYFUNCTION("""COMPUTED_VALUE"""),"Milko Lazarov Uzunov")</f>
        <v>Milko Lazarov Uzunov</v>
      </c>
      <c r="E316" s="7" t="str">
        <f>IFERROR(__xludf.DUMMYFUNCTION("""COMPUTED_VALUE"""),"SBI-code: 4333 - Afwerking van vloeren en wanden")</f>
        <v>SBI-code: 4333 - Afwerking van vloeren en wanden</v>
      </c>
      <c r="F316" s="7" t="str">
        <f>IFERROR(__xludf.DUMMYFUNCTION("""COMPUTED_VALUE"""),"0639857303")</f>
        <v>0639857303</v>
      </c>
      <c r="G316" s="6" t="str">
        <f>IFERROR(__xludf.DUMMYFUNCTION("""COMPUTED_VALUE"""),"milkomtech1999@gmail.com")</f>
        <v>milkomtech1999@gmail.com</v>
      </c>
      <c r="H316" s="6" t="str">
        <f>IFERROR(__xludf.DUMMYFUNCTION("""COMPUTED_VALUE"""),"Schaarsbergenstraat 107")</f>
        <v>Schaarsbergenstraat 107</v>
      </c>
      <c r="I316" s="6" t="str">
        <f>IFERROR(__xludf.DUMMYFUNCTION("""COMPUTED_VALUE"""),"2573 BR")</f>
        <v>2573 BR</v>
      </c>
      <c r="J316" s="6" t="str">
        <f>IFERROR(__xludf.DUMMYFUNCTION("""COMPUTED_VALUE"""),"s-Gravenhage")</f>
        <v>s-Gravenhage</v>
      </c>
      <c r="K316" s="6" t="str">
        <f>IFERROR(__xludf.DUMMYFUNCTION("""COMPUTED_VALUE"""),"Nederland")</f>
        <v>Nederland</v>
      </c>
      <c r="L316" s="6" t="str">
        <f>IFERROR(__xludf.DUMMYFUNCTION("""COMPUTED_VALUE"""),"Узунов")</f>
        <v>Узунов</v>
      </c>
      <c r="M316" s="8">
        <f>IFERROR(__xludf.DUMMYFUNCTION("""COMPUTED_VALUE"""),43862.0)</f>
        <v>43862</v>
      </c>
      <c r="N316" s="6" t="str">
        <f>IFERROR(__xludf.DUMMYFUNCTION("""COMPUTED_VALUE"""),"NL369317713B01")</f>
        <v>NL369317713B01</v>
      </c>
      <c r="O316" s="6">
        <f>IFERROR(__xludf.DUMMYFUNCTION("""COMPUTED_VALUE"""),7.7475631E7)</f>
        <v>77475631</v>
      </c>
      <c r="P316" s="6" t="str">
        <f>IFERROR(__xludf.DUMMYFUNCTION("""COMPUTED_VALUE"""),"NL23INGB0008290293")</f>
        <v>NL23INGB0008290293</v>
      </c>
      <c r="Q316" s="9">
        <f>IFERROR(__xludf.DUMMYFUNCTION("""COMPUTED_VALUE"""),43862.0)</f>
        <v>43862</v>
      </c>
      <c r="R316" s="6"/>
      <c r="S316" s="6" t="str">
        <f>IFERROR(__xludf.DUMMYFUNCTION("""COMPUTED_VALUE"""),"NL003196516B77")</f>
        <v>NL003196516B77</v>
      </c>
      <c r="T316" s="6">
        <f>IFERROR(__xludf.DUMMYFUNCTION("""COMPUTED_VALUE"""),3.69317713E8)</f>
        <v>369317713</v>
      </c>
      <c r="U316" s="7" t="str">
        <f>IFERROR(__xludf.DUMMYFUNCTION("""COMPUTED_VALUE"""),"Eenmanszaak")</f>
        <v>Eenmanszaak</v>
      </c>
      <c r="V316" s="7" t="str">
        <f>IFERROR(__xludf.DUMMYFUNCTION("""COMPUTED_VALUE"""),"000045175535")</f>
        <v>000045175535</v>
      </c>
      <c r="W316" s="6" t="str">
        <f>IFERROR(__xludf.DUMMYFUNCTION("""COMPUTED_VALUE"""),"ink.milko82.2288aa@zarabota.nl")</f>
        <v>ink.milko82.2288aa@zarabota.nl</v>
      </c>
      <c r="X316" s="6" t="str">
        <f>IFERROR(__xludf.DUMMYFUNCTION("""COMPUTED_VALUE"""),"ver.milko82.2288aa@zarabota.nl")</f>
        <v>ver.milko82.2288aa@zarabota.nl</v>
      </c>
      <c r="Y316" s="6" t="str">
        <f>IFERROR(__xludf.DUMMYFUNCTION("""COMPUTED_VALUE"""),"Hr.")</f>
        <v>Hr.</v>
      </c>
      <c r="Z316" s="6" t="str">
        <f>IFERROR(__xludf.DUMMYFUNCTION("""COMPUTED_VALUE"""),"Milko Lazarov")</f>
        <v>Milko Lazarov</v>
      </c>
      <c r="AA316" s="6" t="str">
        <f>IFERROR(__xludf.DUMMYFUNCTION("""COMPUTED_VALUE"""),"Uzunov")</f>
        <v>Uzunov</v>
      </c>
      <c r="AB316" s="6" t="str">
        <f>IFERROR(__xludf.DUMMYFUNCTION("""COMPUTED_VALUE"""),"M.L.")</f>
        <v>M.L.</v>
      </c>
      <c r="AC316" s="6">
        <f>IFERROR(__xludf.DUMMYFUNCTION("""COMPUTED_VALUE"""),3.69317713E8)</f>
        <v>369317713</v>
      </c>
      <c r="AD316" s="9">
        <f>IFERROR(__xludf.DUMMYFUNCTION("""COMPUTED_VALUE"""),30000.0)</f>
        <v>30000</v>
      </c>
      <c r="AE316" s="6" t="str">
        <f>IFERROR(__xludf.DUMMYFUNCTION("""COMPUTED_VALUE"""),"bg")</f>
        <v>bg</v>
      </c>
      <c r="AF316" s="6" t="str">
        <f>IFERROR(__xludf.DUMMYFUNCTION("""COMPUTED_VALUE"""),"Ardino")</f>
        <v>Ardino</v>
      </c>
      <c r="AG316" s="6" t="str">
        <f>IFERROR(__xludf.DUMMYFUNCTION("""COMPUTED_VALUE"""),"Hr. M.L. Uzunov")</f>
        <v>Hr. M.L. Uzunov</v>
      </c>
      <c r="AH316" s="6" t="str">
        <f>IFERROR(__xludf.DUMMYFUNCTION("""COMPUTED_VALUE"""),"NL22INGB0798494603")</f>
        <v>NL22INGB0798494603</v>
      </c>
      <c r="AI316" s="6"/>
      <c r="AJ316" s="6" t="str">
        <f>IFERROR(__xludf.DUMMYFUNCTION("""COMPUTED_VALUE"""),"ID Kaart")</f>
        <v>ID Kaart</v>
      </c>
      <c r="AK316" s="6">
        <f>IFERROR(__xludf.DUMMYFUNCTION("""COMPUTED_VALUE"""),6.41347769E8)</f>
        <v>641347769</v>
      </c>
      <c r="AL316" s="9">
        <f>IFERROR(__xludf.DUMMYFUNCTION("""COMPUTED_VALUE"""),44180.0)</f>
        <v>44180</v>
      </c>
      <c r="AM316" s="6" t="str">
        <f>IFERROR(__xludf.DUMMYFUNCTION("""COMPUTED_VALUE"""),"Bulgarije")</f>
        <v>Bulgarije</v>
      </c>
      <c r="AN316" s="6" t="str">
        <f>IFERROR(__xludf.DUMMYFUNCTION("""COMPUTED_VALUE"""),"Milko Lazarov Uzunov")</f>
        <v>Milko Lazarov Uzunov</v>
      </c>
      <c r="AO316" s="6"/>
    </row>
    <row r="317">
      <c r="A317" s="6" t="str">
        <f>IFERROR(__xludf.DUMMYFUNCTION("""COMPUTED_VALUE"""),"Mitev Hoofd BV")</f>
        <v>Mitev Hoofd BV</v>
      </c>
      <c r="B317" s="6" t="str">
        <f>IFERROR(__xludf.DUMMYFUNCTION("""COMPUTED_VALUE"""),"Mitev Hoofd BV")</f>
        <v>Mitev Hoofd BV</v>
      </c>
      <c r="C317" s="6">
        <f>IFERROR(__xludf.DUMMYFUNCTION("""COMPUTED_VALUE"""),478.0)</f>
        <v>478</v>
      </c>
      <c r="D317" s="7" t="str">
        <f>IFERROR(__xludf.DUMMYFUNCTION("""COMPUTED_VALUE"""),"Kiril Georgiev Mitev")</f>
        <v>Kiril Georgiev Mitev</v>
      </c>
      <c r="E317" s="7" t="str">
        <f>IFERROR(__xludf.DUMMYFUNCTION("""COMPUTED_VALUE"""),"SBI-code: 4120 - Algemene burgerlijke en utiliteitsbouw")</f>
        <v>SBI-code: 4120 - Algemene burgerlijke en utiliteitsbouw</v>
      </c>
      <c r="F317" s="7" t="str">
        <f>IFERROR(__xludf.DUMMYFUNCTION("""COMPUTED_VALUE"""),"0652028800")</f>
        <v>0652028800</v>
      </c>
      <c r="G317" s="6" t="str">
        <f>IFERROR(__xludf.DUMMYFUNCTION("""COMPUTED_VALUE"""),"kdmitevbouw@axentis.nl")</f>
        <v>kdmitevbouw@axentis.nl</v>
      </c>
      <c r="H317" s="6" t="str">
        <f>IFERROR(__xludf.DUMMYFUNCTION("""COMPUTED_VALUE"""),"Van Diesenstraat 79")</f>
        <v>Van Diesenstraat 79</v>
      </c>
      <c r="I317" s="6" t="str">
        <f>IFERROR(__xludf.DUMMYFUNCTION("""COMPUTED_VALUE"""),"2521EE")</f>
        <v>2521EE</v>
      </c>
      <c r="J317" s="6" t="str">
        <f>IFERROR(__xludf.DUMMYFUNCTION("""COMPUTED_VALUE"""),"`s-Gravenhage")</f>
        <v>`s-Gravenhage</v>
      </c>
      <c r="K317" s="6" t="str">
        <f>IFERROR(__xludf.DUMMYFUNCTION("""COMPUTED_VALUE"""),"Nederland")</f>
        <v>Nederland</v>
      </c>
      <c r="L317" s="6" t="str">
        <f>IFERROR(__xludf.DUMMYFUNCTION("""COMPUTED_VALUE"""),"Митев")</f>
        <v>Митев</v>
      </c>
      <c r="M317" s="8">
        <f>IFERROR(__xludf.DUMMYFUNCTION("""COMPUTED_VALUE"""),43175.0)</f>
        <v>43175</v>
      </c>
      <c r="N317" s="6" t="str">
        <f>IFERROR(__xludf.DUMMYFUNCTION("""COMPUTED_VALUE"""),"NL858166495B01")</f>
        <v>NL858166495B01</v>
      </c>
      <c r="O317" s="6">
        <f>IFERROR(__xludf.DUMMYFUNCTION("""COMPUTED_VALUE"""),7.0157456E7)</f>
        <v>70157456</v>
      </c>
      <c r="P317" s="6" t="str">
        <f>IFERROR(__xludf.DUMMYFUNCTION("""COMPUTED_VALUE"""),"NL79INGB0008275996")</f>
        <v>NL79INGB0008275996</v>
      </c>
      <c r="Q317" s="9">
        <f>IFERROR(__xludf.DUMMYFUNCTION("""COMPUTED_VALUE"""),40603.0)</f>
        <v>40603</v>
      </c>
      <c r="R317" s="6"/>
      <c r="S317" s="6" t="str">
        <f>IFERROR(__xludf.DUMMYFUNCTION("""COMPUTED_VALUE"""),"NL858166495B01")</f>
        <v>NL858166495B01</v>
      </c>
      <c r="T317" s="6">
        <f>IFERROR(__xludf.DUMMYFUNCTION("""COMPUTED_VALUE"""),8.58166495E8)</f>
        <v>858166495</v>
      </c>
      <c r="U317" s="7" t="str">
        <f>IFERROR(__xludf.DUMMYFUNCTION("""COMPUTED_VALUE"""),"Besloten Vennootschap")</f>
        <v>Besloten Vennootschap</v>
      </c>
      <c r="V317" s="7" t="str">
        <f>IFERROR(__xludf.DUMMYFUNCTION("""COMPUTED_VALUE"""),"000022279180")</f>
        <v>000022279180</v>
      </c>
      <c r="W317" s="6" t="str">
        <f>IFERROR(__xludf.DUMMYFUNCTION("""COMPUTED_VALUE"""),"ink.mitevhoofdbv.2288aa@zarabota.nl")</f>
        <v>ink.mitevhoofdbv.2288aa@zarabota.nl</v>
      </c>
      <c r="X317" s="6" t="str">
        <f>IFERROR(__xludf.DUMMYFUNCTION("""COMPUTED_VALUE"""),"ver.mitevhoofdbv.2288aa@zarabota.nl")</f>
        <v>ver.mitevhoofdbv.2288aa@zarabota.nl</v>
      </c>
      <c r="Y317" s="6" t="str">
        <f>IFERROR(__xludf.DUMMYFUNCTION("""COMPUTED_VALUE"""),"Hr.")</f>
        <v>Hr.</v>
      </c>
      <c r="Z317" s="6" t="str">
        <f>IFERROR(__xludf.DUMMYFUNCTION("""COMPUTED_VALUE"""),"Kiril Georgiev")</f>
        <v>Kiril Georgiev</v>
      </c>
      <c r="AA317" s="6" t="str">
        <f>IFERROR(__xludf.DUMMYFUNCTION("""COMPUTED_VALUE"""),"Mitev")</f>
        <v>Mitev</v>
      </c>
      <c r="AB317" s="6" t="str">
        <f>IFERROR(__xludf.DUMMYFUNCTION("""COMPUTED_VALUE"""),"K.G.")</f>
        <v>K.G.</v>
      </c>
      <c r="AC317" s="6">
        <f>IFERROR(__xludf.DUMMYFUNCTION("""COMPUTED_VALUE"""),3.0682414E8)</f>
        <v>306824140</v>
      </c>
      <c r="AD317" s="9">
        <f>IFERROR(__xludf.DUMMYFUNCTION("""COMPUTED_VALUE"""),29507.0)</f>
        <v>29507</v>
      </c>
      <c r="AE317" s="6" t="str">
        <f>IFERROR(__xludf.DUMMYFUNCTION("""COMPUTED_VALUE"""),"bg")</f>
        <v>bg</v>
      </c>
      <c r="AF317" s="6" t="str">
        <f>IFERROR(__xludf.DUMMYFUNCTION("""COMPUTED_VALUE"""),"Harmanli")</f>
        <v>Harmanli</v>
      </c>
      <c r="AG317" s="6" t="str">
        <f>IFERROR(__xludf.DUMMYFUNCTION("""COMPUTED_VALUE"""),"Hr. K.G. Mitev")</f>
        <v>Hr. K.G. Mitev</v>
      </c>
      <c r="AH317" s="6" t="str">
        <f>IFERROR(__xludf.DUMMYFUNCTION("""COMPUTED_VALUE"""),"NL26INGB0758067453")</f>
        <v>NL26INGB0758067453</v>
      </c>
      <c r="AI317" s="6"/>
      <c r="AJ317" s="6" t="str">
        <f>IFERROR(__xludf.DUMMYFUNCTION("""COMPUTED_VALUE"""),"ID Kaart")</f>
        <v>ID Kaart</v>
      </c>
      <c r="AK317" s="6">
        <f>IFERROR(__xludf.DUMMYFUNCTION("""COMPUTED_VALUE"""),6.50741403E8)</f>
        <v>650741403</v>
      </c>
      <c r="AL317" s="9">
        <f>IFERROR(__xludf.DUMMYFUNCTION("""COMPUTED_VALUE"""),48064.0)</f>
        <v>48064</v>
      </c>
      <c r="AM317" s="6" t="str">
        <f>IFERROR(__xludf.DUMMYFUNCTION("""COMPUTED_VALUE"""),"Bulgarije")</f>
        <v>Bulgarije</v>
      </c>
      <c r="AN317" s="6" t="str">
        <f>IFERROR(__xludf.DUMMYFUNCTION("""COMPUTED_VALUE"""),"Kiril Georgiev Mitev")</f>
        <v>Kiril Georgiev Mitev</v>
      </c>
      <c r="AO317" s="6"/>
    </row>
    <row r="318">
      <c r="A318" s="6" t="str">
        <f>IFERROR(__xludf.DUMMYFUNCTION("""COMPUTED_VALUE"""),"Mitko GSM")</f>
        <v>Mitko GSM</v>
      </c>
      <c r="B318" s="6" t="str">
        <f>IFERROR(__xludf.DUMMYFUNCTION("""COMPUTED_VALUE"""),"Mitko GSM")</f>
        <v>Mitko GSM</v>
      </c>
      <c r="C318" s="6">
        <f>IFERROR(__xludf.DUMMYFUNCTION("""COMPUTED_VALUE"""),764.0)</f>
        <v>764</v>
      </c>
      <c r="D318" s="7" t="str">
        <f>IFERROR(__xludf.DUMMYFUNCTION("""COMPUTED_VALUE"""),"Mitko Rusenov Nenkov")</f>
        <v>Mitko Rusenov Nenkov</v>
      </c>
      <c r="E318" s="7" t="str">
        <f>IFERROR(__xludf.DUMMYFUNCTION("""COMPUTED_VALUE"""),"SBI-code: 4120 - Algemene burgerlijke en utiliteitsbouw")</f>
        <v>SBI-code: 4120 - Algemene burgerlijke en utiliteitsbouw</v>
      </c>
      <c r="F318" s="7" t="str">
        <f>IFERROR(__xludf.DUMMYFUNCTION("""COMPUTED_VALUE"""),"0639030330")</f>
        <v>0639030330</v>
      </c>
      <c r="G318" s="6" t="str">
        <f>IFERROR(__xludf.DUMMYFUNCTION("""COMPUTED_VALUE"""),"mitkogsm71@gmail.com")</f>
        <v>mitkogsm71@gmail.com</v>
      </c>
      <c r="H318" s="6" t="str">
        <f>IFERROR(__xludf.DUMMYFUNCTION("""COMPUTED_VALUE"""),"Ruysdaelplein 42")</f>
        <v>Ruysdaelplein 42</v>
      </c>
      <c r="I318" s="6" t="str">
        <f>IFERROR(__xludf.DUMMYFUNCTION("""COMPUTED_VALUE"""),"2282BJ")</f>
        <v>2282BJ</v>
      </c>
      <c r="J318" s="6" t="str">
        <f>IFERROR(__xludf.DUMMYFUNCTION("""COMPUTED_VALUE"""),"Rijswijk")</f>
        <v>Rijswijk</v>
      </c>
      <c r="K318" s="6" t="str">
        <f>IFERROR(__xludf.DUMMYFUNCTION("""COMPUTED_VALUE"""),"Nederland")</f>
        <v>Nederland</v>
      </c>
      <c r="L318" s="6" t="str">
        <f>IFERROR(__xludf.DUMMYFUNCTION("""COMPUTED_VALUE"""),"Ненков")</f>
        <v>Ненков</v>
      </c>
      <c r="M318" s="8">
        <f>IFERROR(__xludf.DUMMYFUNCTION("""COMPUTED_VALUE"""),43571.0)</f>
        <v>43571</v>
      </c>
      <c r="N318" s="6" t="str">
        <f>IFERROR(__xludf.DUMMYFUNCTION("""COMPUTED_VALUE"""),"NL691636503B01")</f>
        <v>NL691636503B01</v>
      </c>
      <c r="O318" s="6">
        <f>IFERROR(__xludf.DUMMYFUNCTION("""COMPUTED_VALUE"""),7.4630881E7)</f>
        <v>74630881</v>
      </c>
      <c r="P318" s="6" t="str">
        <f>IFERROR(__xludf.DUMMYFUNCTION("""COMPUTED_VALUE"""),"NL04INGB0008908040")</f>
        <v>NL04INGB0008908040</v>
      </c>
      <c r="Q318" s="9">
        <f>IFERROR(__xludf.DUMMYFUNCTION("""COMPUTED_VALUE"""),43571.0)</f>
        <v>43571</v>
      </c>
      <c r="R318" s="6"/>
      <c r="S318" s="6" t="str">
        <f>IFERROR(__xludf.DUMMYFUNCTION("""COMPUTED_VALUE"""),"NL002517994B43")</f>
        <v>NL002517994B43</v>
      </c>
      <c r="T318" s="6">
        <f>IFERROR(__xludf.DUMMYFUNCTION("""COMPUTED_VALUE"""),6.91636503E8)</f>
        <v>691636503</v>
      </c>
      <c r="U318" s="7" t="str">
        <f>IFERROR(__xludf.DUMMYFUNCTION("""COMPUTED_VALUE"""),"Eenmanszaak")</f>
        <v>Eenmanszaak</v>
      </c>
      <c r="V318" s="7" t="str">
        <f>IFERROR(__xludf.DUMMYFUNCTION("""COMPUTED_VALUE"""),"000042573076")</f>
        <v>000042573076</v>
      </c>
      <c r="W318" s="6" t="str">
        <f>IFERROR(__xludf.DUMMYFUNCTION("""COMPUTED_VALUE"""),"ink.mitkogsm.2288aa@zarabota.nl")</f>
        <v>ink.mitkogsm.2288aa@zarabota.nl</v>
      </c>
      <c r="X318" s="6" t="str">
        <f>IFERROR(__xludf.DUMMYFUNCTION("""COMPUTED_VALUE"""),"ver.mitkogsm.2288aa@zarabota.nl")</f>
        <v>ver.mitkogsm.2288aa@zarabota.nl</v>
      </c>
      <c r="Y318" s="6" t="str">
        <f>IFERROR(__xludf.DUMMYFUNCTION("""COMPUTED_VALUE"""),"Hr.")</f>
        <v>Hr.</v>
      </c>
      <c r="Z318" s="6" t="str">
        <f>IFERROR(__xludf.DUMMYFUNCTION("""COMPUTED_VALUE"""),"Mitko Rusenov")</f>
        <v>Mitko Rusenov</v>
      </c>
      <c r="AA318" s="6" t="str">
        <f>IFERROR(__xludf.DUMMYFUNCTION("""COMPUTED_VALUE"""),"Nenkov")</f>
        <v>Nenkov</v>
      </c>
      <c r="AB318" s="6" t="str">
        <f>IFERROR(__xludf.DUMMYFUNCTION("""COMPUTED_VALUE"""),"M.R.")</f>
        <v>M.R.</v>
      </c>
      <c r="AC318" s="6">
        <f>IFERROR(__xludf.DUMMYFUNCTION("""COMPUTED_VALUE"""),6.91636503E8)</f>
        <v>691636503</v>
      </c>
      <c r="AD318" s="9">
        <f>IFERROR(__xludf.DUMMYFUNCTION("""COMPUTED_VALUE"""),26274.0)</f>
        <v>26274</v>
      </c>
      <c r="AE318" s="6" t="str">
        <f>IFERROR(__xludf.DUMMYFUNCTION("""COMPUTED_VALUE"""),"bg")</f>
        <v>bg</v>
      </c>
      <c r="AF318" s="6" t="str">
        <f>IFERROR(__xludf.DUMMYFUNCTION("""COMPUTED_VALUE"""),"Benkovski")</f>
        <v>Benkovski</v>
      </c>
      <c r="AG318" s="6" t="str">
        <f>IFERROR(__xludf.DUMMYFUNCTION("""COMPUTED_VALUE"""),"Hr. M.R. Nenkov")</f>
        <v>Hr. M.R. Nenkov</v>
      </c>
      <c r="AH318" s="6" t="str">
        <f>IFERROR(__xludf.DUMMYFUNCTION("""COMPUTED_VALUE"""),"NL23INGB0795316283")</f>
        <v>NL23INGB0795316283</v>
      </c>
      <c r="AI318" s="9">
        <f>IFERROR(__xludf.DUMMYFUNCTION("""COMPUTED_VALUE"""),43570.0)</f>
        <v>43570</v>
      </c>
      <c r="AJ318" s="6" t="str">
        <f>IFERROR(__xludf.DUMMYFUNCTION("""COMPUTED_VALUE"""),"ID Kaart")</f>
        <v>ID Kaart</v>
      </c>
      <c r="AK318" s="6">
        <f>IFERROR(__xludf.DUMMYFUNCTION("""COMPUTED_VALUE"""),6.42104923E8)</f>
        <v>642104923</v>
      </c>
      <c r="AL318" s="9">
        <f>IFERROR(__xludf.DUMMYFUNCTION("""COMPUTED_VALUE"""),44270.0)</f>
        <v>44270</v>
      </c>
      <c r="AM318" s="6"/>
      <c r="AN318" s="6" t="str">
        <f>IFERROR(__xludf.DUMMYFUNCTION("""COMPUTED_VALUE"""),"Mitko Rusenov Nenkov")</f>
        <v>Mitko Rusenov Nenkov</v>
      </c>
      <c r="AO318" s="6"/>
    </row>
    <row r="319">
      <c r="A319" s="6" t="str">
        <f>IFERROR(__xludf.DUMMYFUNCTION("""COMPUTED_VALUE"""),"MN IT Holding B.V.")</f>
        <v>MN IT Holding B.V.</v>
      </c>
      <c r="B319" s="6" t="str">
        <f>IFERROR(__xludf.DUMMYFUNCTION("""COMPUTED_VALUE"""),"MN IT Holding B.V. - geen BTWnr")</f>
        <v>MN IT Holding B.V. - geen BTWnr</v>
      </c>
      <c r="C319" s="6">
        <f>IFERROR(__xludf.DUMMYFUNCTION("""COMPUTED_VALUE"""),1714.0)</f>
        <v>1714</v>
      </c>
      <c r="D319" s="7" t="str">
        <f>IFERROR(__xludf.DUMMYFUNCTION("""COMPUTED_VALUE"""),"Aleksandar Plamenov Kehayov")</f>
        <v>Aleksandar Plamenov Kehayov</v>
      </c>
      <c r="E319" s="7" t="str">
        <f>IFERROR(__xludf.DUMMYFUNCTION("""COMPUTED_VALUE"""),"SBI-code: 6420 - Financiële holdings")</f>
        <v>SBI-code: 6420 - Financiële holdings</v>
      </c>
      <c r="F319" s="7" t="str">
        <f>IFERROR(__xludf.DUMMYFUNCTION("""COMPUTED_VALUE"""),"0624174669")</f>
        <v>0624174669</v>
      </c>
      <c r="G319" s="6" t="str">
        <f>IFERROR(__xludf.DUMMYFUNCTION("""COMPUTED_VALUE"""),"aleks_kehayov@hotmail.com")</f>
        <v>aleks_kehayov@hotmail.com</v>
      </c>
      <c r="H319" s="6" t="str">
        <f>IFERROR(__xludf.DUMMYFUNCTION("""COMPUTED_VALUE"""),"Loenensestraat 187")</f>
        <v>Loenensestraat 187</v>
      </c>
      <c r="I319" s="6" t="str">
        <f>IFERROR(__xludf.DUMMYFUNCTION("""COMPUTED_VALUE"""),"2574RL")</f>
        <v>2574RL</v>
      </c>
      <c r="J319" s="6" t="str">
        <f>IFERROR(__xludf.DUMMYFUNCTION("""COMPUTED_VALUE"""),"s-Gravenhage")</f>
        <v>s-Gravenhage</v>
      </c>
      <c r="K319" s="6" t="str">
        <f>IFERROR(__xludf.DUMMYFUNCTION("""COMPUTED_VALUE"""),"Nederland")</f>
        <v>Nederland</v>
      </c>
      <c r="L319" s="6"/>
      <c r="M319" s="8">
        <f>IFERROR(__xludf.DUMMYFUNCTION("""COMPUTED_VALUE"""),45468.0)</f>
        <v>45468</v>
      </c>
      <c r="N319" s="6" t="str">
        <f>IFERROR(__xludf.DUMMYFUNCTION("""COMPUTED_VALUE"""),"NL866691716B01")</f>
        <v>NL866691716B01</v>
      </c>
      <c r="O319" s="6">
        <f>IFERROR(__xludf.DUMMYFUNCTION("""COMPUTED_VALUE"""),9.4247994E7)</f>
        <v>94247994</v>
      </c>
      <c r="P319" s="6" t="str">
        <f>IFERROR(__xludf.DUMMYFUNCTION("""COMPUTED_VALUE"""),"NL")</f>
        <v>NL</v>
      </c>
      <c r="Q319" s="9">
        <f>IFERROR(__xludf.DUMMYFUNCTION("""COMPUTED_VALUE"""),45468.0)</f>
        <v>45468</v>
      </c>
      <c r="R319" s="6"/>
      <c r="S319" s="6" t="str">
        <f>IFERROR(__xludf.DUMMYFUNCTION("""COMPUTED_VALUE"""),"NL866691716B01")</f>
        <v>NL866691716B01</v>
      </c>
      <c r="T319" s="6">
        <f>IFERROR(__xludf.DUMMYFUNCTION("""COMPUTED_VALUE"""),8.66691716E8)</f>
        <v>866691716</v>
      </c>
      <c r="U319" s="7" t="str">
        <f>IFERROR(__xludf.DUMMYFUNCTION("""COMPUTED_VALUE"""),"Besloten Vennootschap")</f>
        <v>Besloten Vennootschap</v>
      </c>
      <c r="V319" s="7" t="str">
        <f>IFERROR(__xludf.DUMMYFUNCTION("""COMPUTED_VALUE"""),"000059735503")</f>
        <v>000059735503</v>
      </c>
      <c r="W319" s="6" t="str">
        <f>IFERROR(__xludf.DUMMYFUNCTION("""COMPUTED_VALUE"""),"ink.mnshop.2288aa@zarabota.nl")</f>
        <v>ink.mnshop.2288aa@zarabota.nl</v>
      </c>
      <c r="X319" s="6" t="str">
        <f>IFERROR(__xludf.DUMMYFUNCTION("""COMPUTED_VALUE"""),"ver.mnshop.2288aa@zarabota.nl")</f>
        <v>ver.mnshop.2288aa@zarabota.nl</v>
      </c>
      <c r="Y319" s="6" t="str">
        <f>IFERROR(__xludf.DUMMYFUNCTION("""COMPUTED_VALUE"""),"Hr.")</f>
        <v>Hr.</v>
      </c>
      <c r="Z319" s="6" t="str">
        <f>IFERROR(__xludf.DUMMYFUNCTION("""COMPUTED_VALUE"""),"Aleksandar Plamenov")</f>
        <v>Aleksandar Plamenov</v>
      </c>
      <c r="AA319" s="6" t="str">
        <f>IFERROR(__xludf.DUMMYFUNCTION("""COMPUTED_VALUE"""),"Kehayov")</f>
        <v>Kehayov</v>
      </c>
      <c r="AB319" s="6" t="str">
        <f>IFERROR(__xludf.DUMMYFUNCTION("""COMPUTED_VALUE"""),"A.P.")</f>
        <v>A.P.</v>
      </c>
      <c r="AC319" s="6">
        <f>IFERROR(__xludf.DUMMYFUNCTION("""COMPUTED_VALUE"""),2.50920748E8)</f>
        <v>250920748</v>
      </c>
      <c r="AD319" s="9">
        <f>IFERROR(__xludf.DUMMYFUNCTION("""COMPUTED_VALUE"""),32512.0)</f>
        <v>32512</v>
      </c>
      <c r="AE319" s="6" t="str">
        <f>IFERROR(__xludf.DUMMYFUNCTION("""COMPUTED_VALUE"""),"bg")</f>
        <v>bg</v>
      </c>
      <c r="AF319" s="6"/>
      <c r="AG319" s="6" t="str">
        <f>IFERROR(__xludf.DUMMYFUNCTION("""COMPUTED_VALUE"""),"Hr. A.P. Kehayov")</f>
        <v>Hr. A.P. Kehayov</v>
      </c>
      <c r="AH319" s="6"/>
      <c r="AI319" s="6"/>
      <c r="AJ319" s="6" t="str">
        <f>IFERROR(__xludf.DUMMYFUNCTION("""COMPUTED_VALUE"""),"ID Kaart")</f>
        <v>ID Kaart</v>
      </c>
      <c r="AK319" s="6"/>
      <c r="AL319" s="6"/>
      <c r="AM319" s="6" t="str">
        <f>IFERROR(__xludf.DUMMYFUNCTION("""COMPUTED_VALUE"""),"Bulgarije")</f>
        <v>Bulgarije</v>
      </c>
      <c r="AN319" s="6" t="str">
        <f>IFERROR(__xludf.DUMMYFUNCTION("""COMPUTED_VALUE"""),"Aleksandar Plamenov Kehayov")</f>
        <v>Aleksandar Plamenov Kehayov</v>
      </c>
      <c r="AO319" s="6">
        <f>IFERROR(__xludf.DUMMYFUNCTION("""COMPUTED_VALUE"""),1714.0)</f>
        <v>1714</v>
      </c>
    </row>
    <row r="320">
      <c r="A320" s="6" t="str">
        <f>IFERROR(__xludf.DUMMYFUNCTION("""COMPUTED_VALUE"""),"MNP Safety")</f>
        <v>MNP Safety</v>
      </c>
      <c r="B320" s="6" t="str">
        <f>IFERROR(__xludf.DUMMYFUNCTION("""COMPUTED_VALUE"""),"MNP Safety")</f>
        <v>MNP Safety</v>
      </c>
      <c r="C320" s="6">
        <f>IFERROR(__xludf.DUMMYFUNCTION("""COMPUTED_VALUE"""),1164.0)</f>
        <v>1164</v>
      </c>
      <c r="D320" s="7" t="str">
        <f>IFERROR(__xludf.DUMMYFUNCTION("""COMPUTED_VALUE"""),"Marin Nikolaev Petkov")</f>
        <v>Marin Nikolaev Petkov</v>
      </c>
      <c r="E320" s="7" t="str">
        <f>IFERROR(__xludf.DUMMYFUNCTION("""COMPUTED_VALUE"""),"SBI-code: 4120 - Algemene burgerlijke en utiliteitsbouw")</f>
        <v>SBI-code: 4120 - Algemene burgerlijke en utiliteitsbouw</v>
      </c>
      <c r="F320" s="7" t="str">
        <f>IFERROR(__xludf.DUMMYFUNCTION("""COMPUTED_VALUE"""),"0625420158")</f>
        <v>0625420158</v>
      </c>
      <c r="G320" s="6" t="str">
        <f>IFERROR(__xludf.DUMMYFUNCTION("""COMPUTED_VALUE"""),"marinnikpet@gmail.com")</f>
        <v>marinnikpet@gmail.com</v>
      </c>
      <c r="H320" s="6" t="str">
        <f>IFERROR(__xludf.DUMMYFUNCTION("""COMPUTED_VALUE"""),"Zwedenburg 384")</f>
        <v>Zwedenburg 384</v>
      </c>
      <c r="I320" s="6" t="str">
        <f>IFERROR(__xludf.DUMMYFUNCTION("""COMPUTED_VALUE"""),"2591BP")</f>
        <v>2591BP</v>
      </c>
      <c r="J320" s="6" t="str">
        <f>IFERROR(__xludf.DUMMYFUNCTION("""COMPUTED_VALUE"""),"s-Gravenhage")</f>
        <v>s-Gravenhage</v>
      </c>
      <c r="K320" s="6" t="str">
        <f>IFERROR(__xludf.DUMMYFUNCTION("""COMPUTED_VALUE"""),"Nederland")</f>
        <v>Nederland</v>
      </c>
      <c r="L320" s="6" t="str">
        <f>IFERROR(__xludf.DUMMYFUNCTION("""COMPUTED_VALUE"""),"Петков")</f>
        <v>Петков</v>
      </c>
      <c r="M320" s="8">
        <f>IFERROR(__xludf.DUMMYFUNCTION("""COMPUTED_VALUE"""),44180.0)</f>
        <v>44180</v>
      </c>
      <c r="N320" s="6" t="str">
        <f>IFERROR(__xludf.DUMMYFUNCTION("""COMPUTED_VALUE"""),"NL476743758B03")</f>
        <v>NL476743758B03</v>
      </c>
      <c r="O320" s="6">
        <f>IFERROR(__xludf.DUMMYFUNCTION("""COMPUTED_VALUE"""),8.1185839E7)</f>
        <v>81185839</v>
      </c>
      <c r="P320" s="6" t="str">
        <f>IFERROR(__xludf.DUMMYFUNCTION("""COMPUTED_VALUE"""),"NL76INGB0009696615")</f>
        <v>NL76INGB0009696615</v>
      </c>
      <c r="Q320" s="9">
        <f>IFERROR(__xludf.DUMMYFUNCTION("""COMPUTED_VALUE"""),44180.0)</f>
        <v>44180</v>
      </c>
      <c r="R320" s="6"/>
      <c r="S320" s="6" t="str">
        <f>IFERROR(__xludf.DUMMYFUNCTION("""COMPUTED_VALUE"""),"NL003539964B47")</f>
        <v>NL003539964B47</v>
      </c>
      <c r="T320" s="6">
        <f>IFERROR(__xludf.DUMMYFUNCTION("""COMPUTED_VALUE"""),4.76743758E8)</f>
        <v>476743758</v>
      </c>
      <c r="U320" s="7" t="str">
        <f>IFERROR(__xludf.DUMMYFUNCTION("""COMPUTED_VALUE"""),"Eenmanszaak")</f>
        <v>Eenmanszaak</v>
      </c>
      <c r="V320" s="7" t="str">
        <f>IFERROR(__xludf.DUMMYFUNCTION("""COMPUTED_VALUE"""),"000047499850")</f>
        <v>000047499850</v>
      </c>
      <c r="W320" s="6" t="str">
        <f>IFERROR(__xludf.DUMMYFUNCTION("""COMPUTED_VALUE"""),"ink.mnpsafety.2288aa@zarabota.nl")</f>
        <v>ink.mnpsafety.2288aa@zarabota.nl</v>
      </c>
      <c r="X320" s="6" t="str">
        <f>IFERROR(__xludf.DUMMYFUNCTION("""COMPUTED_VALUE"""),"ver.mnpsafety.2288aa@zarabota.nl")</f>
        <v>ver.mnpsafety.2288aa@zarabota.nl</v>
      </c>
      <c r="Y320" s="6" t="str">
        <f>IFERROR(__xludf.DUMMYFUNCTION("""COMPUTED_VALUE"""),"Mw.")</f>
        <v>Mw.</v>
      </c>
      <c r="Z320" s="6" t="str">
        <f>IFERROR(__xludf.DUMMYFUNCTION("""COMPUTED_VALUE"""),"Marin Nikolaev")</f>
        <v>Marin Nikolaev</v>
      </c>
      <c r="AA320" s="6" t="str">
        <f>IFERROR(__xludf.DUMMYFUNCTION("""COMPUTED_VALUE"""),"Petkov")</f>
        <v>Petkov</v>
      </c>
      <c r="AB320" s="6" t="str">
        <f>IFERROR(__xludf.DUMMYFUNCTION("""COMPUTED_VALUE"""),"M.N.")</f>
        <v>M.N.</v>
      </c>
      <c r="AC320" s="6">
        <f>IFERROR(__xludf.DUMMYFUNCTION("""COMPUTED_VALUE"""),4.76743758E8)</f>
        <v>476743758</v>
      </c>
      <c r="AD320" s="9">
        <f>IFERROR(__xludf.DUMMYFUNCTION("""COMPUTED_VALUE"""),33677.0)</f>
        <v>33677</v>
      </c>
      <c r="AE320" s="6" t="str">
        <f>IFERROR(__xludf.DUMMYFUNCTION("""COMPUTED_VALUE"""),"bg")</f>
        <v>bg</v>
      </c>
      <c r="AF320" s="6" t="str">
        <f>IFERROR(__xludf.DUMMYFUNCTION("""COMPUTED_VALUE"""),"Sliven")</f>
        <v>Sliven</v>
      </c>
      <c r="AG320" s="6" t="str">
        <f>IFERROR(__xludf.DUMMYFUNCTION("""COMPUTED_VALUE"""),"Mw. M.N. Petkov")</f>
        <v>Mw. M.N. Petkov</v>
      </c>
      <c r="AH320" s="6"/>
      <c r="AI320" s="6"/>
      <c r="AJ320" s="6" t="str">
        <f>IFERROR(__xludf.DUMMYFUNCTION("""COMPUTED_VALUE"""),"ID Kaart")</f>
        <v>ID Kaart</v>
      </c>
      <c r="AK320" s="6">
        <f>IFERROR(__xludf.DUMMYFUNCTION("""COMPUTED_VALUE"""),6.44982023E8)</f>
        <v>644982023</v>
      </c>
      <c r="AL320" s="9">
        <f>IFERROR(__xludf.DUMMYFUNCTION("""COMPUTED_VALUE"""),45297.0)</f>
        <v>45297</v>
      </c>
      <c r="AM320" s="6" t="str">
        <f>IFERROR(__xludf.DUMMYFUNCTION("""COMPUTED_VALUE"""),"Bulgarije")</f>
        <v>Bulgarije</v>
      </c>
      <c r="AN320" s="6" t="str">
        <f>IFERROR(__xludf.DUMMYFUNCTION("""COMPUTED_VALUE"""),"Marin Nikolaev Petkov")</f>
        <v>Marin Nikolaev Petkov</v>
      </c>
      <c r="AO320" s="6">
        <f>IFERROR(__xludf.DUMMYFUNCTION("""COMPUTED_VALUE"""),1164.0)</f>
        <v>1164</v>
      </c>
    </row>
    <row r="321">
      <c r="A321" s="6" t="str">
        <f>IFERROR(__xludf.DUMMYFUNCTION("""COMPUTED_VALUE"""),"Moni 93")</f>
        <v>Moni 93</v>
      </c>
      <c r="B321" s="6" t="str">
        <f>IFERROR(__xludf.DUMMYFUNCTION("""COMPUTED_VALUE"""),"Moni 93")</f>
        <v>Moni 93</v>
      </c>
      <c r="C321" s="6">
        <f>IFERROR(__xludf.DUMMYFUNCTION("""COMPUTED_VALUE"""),1110.0)</f>
        <v>1110</v>
      </c>
      <c r="D321" s="7" t="str">
        <f>IFERROR(__xludf.DUMMYFUNCTION("""COMPUTED_VALUE"""),"Venelin Ivanov Georgiev")</f>
        <v>Venelin Ivanov Georgiev</v>
      </c>
      <c r="E321" s="7" t="str">
        <f>IFERROR(__xludf.DUMMYFUNCTION("""COMPUTED_VALUE"""),"SBI-code: 4120 - Algemene burgerlijke en utiliteitsbouw")</f>
        <v>SBI-code: 4120 - Algemene burgerlijke en utiliteitsbouw</v>
      </c>
      <c r="F321" s="7" t="str">
        <f>IFERROR(__xludf.DUMMYFUNCTION("""COMPUTED_VALUE"""),"0618873649")</f>
        <v>0618873649</v>
      </c>
      <c r="G321" s="6" t="str">
        <f>IFERROR(__xludf.DUMMYFUNCTION("""COMPUTED_VALUE"""),"cifkata333@abv.bg")</f>
        <v>cifkata333@abv.bg</v>
      </c>
      <c r="H321" s="6" t="str">
        <f>IFERROR(__xludf.DUMMYFUNCTION("""COMPUTED_VALUE"""),"Boerenstraat 93")</f>
        <v>Boerenstraat 93</v>
      </c>
      <c r="I321" s="6" t="str">
        <f>IFERROR(__xludf.DUMMYFUNCTION("""COMPUTED_VALUE"""),"2572HV")</f>
        <v>2572HV</v>
      </c>
      <c r="J321" s="6" t="str">
        <f>IFERROR(__xludf.DUMMYFUNCTION("""COMPUTED_VALUE"""),"s-Gravenhage")</f>
        <v>s-Gravenhage</v>
      </c>
      <c r="K321" s="6" t="str">
        <f>IFERROR(__xludf.DUMMYFUNCTION("""COMPUTED_VALUE"""),"Nederland")</f>
        <v>Nederland</v>
      </c>
      <c r="L321" s="6" t="str">
        <f>IFERROR(__xludf.DUMMYFUNCTION("""COMPUTED_VALUE"""),"Георгиев")</f>
        <v>Георгиев</v>
      </c>
      <c r="M321" s="8">
        <f>IFERROR(__xludf.DUMMYFUNCTION("""COMPUTED_VALUE"""),44197.0)</f>
        <v>44197</v>
      </c>
      <c r="N321" s="6" t="str">
        <f>IFERROR(__xludf.DUMMYFUNCTION("""COMPUTED_VALUE"""),"NL691511950B01")</f>
        <v>NL691511950B01</v>
      </c>
      <c r="O321" s="6">
        <f>IFERROR(__xludf.DUMMYFUNCTION("""COMPUTED_VALUE"""),7.1903461E7)</f>
        <v>71903461</v>
      </c>
      <c r="P321" s="6" t="str">
        <f>IFERROR(__xludf.DUMMYFUNCTION("""COMPUTED_VALUE"""),"NL03INGB0007044979")</f>
        <v>NL03INGB0007044979</v>
      </c>
      <c r="Q321" s="9">
        <f>IFERROR(__xludf.DUMMYFUNCTION("""COMPUTED_VALUE"""),43269.0)</f>
        <v>43269</v>
      </c>
      <c r="R321" s="6"/>
      <c r="S321" s="6" t="str">
        <f>IFERROR(__xludf.DUMMYFUNCTION("""COMPUTED_VALUE"""),"NL691511950B01")</f>
        <v>NL691511950B01</v>
      </c>
      <c r="T321" s="6">
        <f>IFERROR(__xludf.DUMMYFUNCTION("""COMPUTED_VALUE"""),6.9151195E8)</f>
        <v>691511950</v>
      </c>
      <c r="U321" s="7" t="str">
        <f>IFERROR(__xludf.DUMMYFUNCTION("""COMPUTED_VALUE"""),"Eenmanszaak")</f>
        <v>Eenmanszaak</v>
      </c>
      <c r="V321" s="7" t="str">
        <f>IFERROR(__xludf.DUMMYFUNCTION("""COMPUTED_VALUE"""),"000040054233")</f>
        <v>000040054233</v>
      </c>
      <c r="W321" s="6" t="str">
        <f>IFERROR(__xludf.DUMMYFUNCTION("""COMPUTED_VALUE"""),"ink.moni93.2288aa@zarabota.nl")</f>
        <v>ink.moni93.2288aa@zarabota.nl</v>
      </c>
      <c r="X321" s="6" t="str">
        <f>IFERROR(__xludf.DUMMYFUNCTION("""COMPUTED_VALUE"""),"ver.moni93.2288aa@zarabota.nl")</f>
        <v>ver.moni93.2288aa@zarabota.nl</v>
      </c>
      <c r="Y321" s="6" t="str">
        <f>IFERROR(__xludf.DUMMYFUNCTION("""COMPUTED_VALUE"""),"Hr.")</f>
        <v>Hr.</v>
      </c>
      <c r="Z321" s="6" t="str">
        <f>IFERROR(__xludf.DUMMYFUNCTION("""COMPUTED_VALUE"""),"Venelin Ivanov")</f>
        <v>Venelin Ivanov</v>
      </c>
      <c r="AA321" s="6" t="str">
        <f>IFERROR(__xludf.DUMMYFUNCTION("""COMPUTED_VALUE"""),"Georgiev")</f>
        <v>Georgiev</v>
      </c>
      <c r="AB321" s="6" t="str">
        <f>IFERROR(__xludf.DUMMYFUNCTION("""COMPUTED_VALUE"""),"V.I.")</f>
        <v>V.I.</v>
      </c>
      <c r="AC321" s="6">
        <f>IFERROR(__xludf.DUMMYFUNCTION("""COMPUTED_VALUE"""),6.9151195E8)</f>
        <v>691511950</v>
      </c>
      <c r="AD321" s="9">
        <f>IFERROR(__xludf.DUMMYFUNCTION("""COMPUTED_VALUE"""),34600.0)</f>
        <v>34600</v>
      </c>
      <c r="AE321" s="6" t="str">
        <f>IFERROR(__xludf.DUMMYFUNCTION("""COMPUTED_VALUE"""),"bg")</f>
        <v>bg</v>
      </c>
      <c r="AF321" s="6" t="str">
        <f>IFERROR(__xludf.DUMMYFUNCTION("""COMPUTED_VALUE"""),"Montana")</f>
        <v>Montana</v>
      </c>
      <c r="AG321" s="6" t="str">
        <f>IFERROR(__xludf.DUMMYFUNCTION("""COMPUTED_VALUE"""),"Hr. V.I. Georgiev")</f>
        <v>Hr. V.I. Georgiev</v>
      </c>
      <c r="AH321" s="6"/>
      <c r="AI321" s="6"/>
      <c r="AJ321" s="6" t="str">
        <f>IFERROR(__xludf.DUMMYFUNCTION("""COMPUTED_VALUE"""),"ID Kaart")</f>
        <v>ID Kaart</v>
      </c>
      <c r="AK321" s="6">
        <f>IFERROR(__xludf.DUMMYFUNCTION("""COMPUTED_VALUE"""),6.48105389E8)</f>
        <v>648105389</v>
      </c>
      <c r="AL321" s="9">
        <f>IFERROR(__xludf.DUMMYFUNCTION("""COMPUTED_VALUE"""),47183.0)</f>
        <v>47183</v>
      </c>
      <c r="AM321" s="6" t="str">
        <f>IFERROR(__xludf.DUMMYFUNCTION("""COMPUTED_VALUE"""),"Bulgarije")</f>
        <v>Bulgarije</v>
      </c>
      <c r="AN321" s="6" t="str">
        <f>IFERROR(__xludf.DUMMYFUNCTION("""COMPUTED_VALUE"""),"Venelin Ivanov Georgiev")</f>
        <v>Venelin Ivanov Georgiev</v>
      </c>
      <c r="AO321" s="6">
        <f>IFERROR(__xludf.DUMMYFUNCTION("""COMPUTED_VALUE"""),1110.0)</f>
        <v>1110</v>
      </c>
    </row>
    <row r="322">
      <c r="A322" s="6" t="str">
        <f>IFERROR(__xludf.DUMMYFUNCTION("""COMPUTED_VALUE"""),"Mr. Velkoski VOF")</f>
        <v>Mr. Velkoski VOF</v>
      </c>
      <c r="B322" s="6" t="str">
        <f>IFERROR(__xludf.DUMMYFUNCTION("""COMPUTED_VALUE"""),"Mr. Velkoski VOF (S_nails by Olivera)")</f>
        <v>Mr. Velkoski VOF (S_nails by Olivera)</v>
      </c>
      <c r="C322" s="6">
        <f>IFERROR(__xludf.DUMMYFUNCTION("""COMPUTED_VALUE"""),1592.0)</f>
        <v>1592</v>
      </c>
      <c r="D322" s="7" t="str">
        <f>IFERROR(__xludf.DUMMYFUNCTION("""COMPUTED_VALUE"""),"Martin Velkoski")</f>
        <v>Martin Velkoski</v>
      </c>
      <c r="E322" s="7" t="str">
        <f>IFERROR(__xludf.DUMMYFUNCTION("""COMPUTED_VALUE"""),"SBI-code: 4120 - Algemene burgerlijke en utiliteitsbouw")</f>
        <v>SBI-code: 4120 - Algemene burgerlijke en utiliteitsbouw</v>
      </c>
      <c r="F322" s="7" t="str">
        <f>IFERROR(__xludf.DUMMYFUNCTION("""COMPUTED_VALUE"""),"0686259852")</f>
        <v>0686259852</v>
      </c>
      <c r="G322" s="6" t="str">
        <f>IFERROR(__xludf.DUMMYFUNCTION("""COMPUTED_VALUE"""),"martin_rampo03@hotmail.com")</f>
        <v>martin_rampo03@hotmail.com</v>
      </c>
      <c r="H322" s="6" t="str">
        <f>IFERROR(__xludf.DUMMYFUNCTION("""COMPUTED_VALUE"""),"Stadhoudersweg 151 B")</f>
        <v>Stadhoudersweg 151 B</v>
      </c>
      <c r="I322" s="6" t="str">
        <f>IFERROR(__xludf.DUMMYFUNCTION("""COMPUTED_VALUE"""),"3039EJ")</f>
        <v>3039EJ</v>
      </c>
      <c r="J322" s="6" t="str">
        <f>IFERROR(__xludf.DUMMYFUNCTION("""COMPUTED_VALUE"""),"Rotterdam")</f>
        <v>Rotterdam</v>
      </c>
      <c r="K322" s="6" t="str">
        <f>IFERROR(__xludf.DUMMYFUNCTION("""COMPUTED_VALUE"""),"Nederland")</f>
        <v>Nederland</v>
      </c>
      <c r="L322" s="6" t="str">
        <f>IFERROR(__xludf.DUMMYFUNCTION("""COMPUTED_VALUE"""),"Велкоски")</f>
        <v>Велкоски</v>
      </c>
      <c r="M322" s="8">
        <f>IFERROR(__xludf.DUMMYFUNCTION("""COMPUTED_VALUE"""),44543.0)</f>
        <v>44543</v>
      </c>
      <c r="N322" s="6" t="str">
        <f>IFERROR(__xludf.DUMMYFUNCTION("""COMPUTED_VALUE"""),"NL866410326B01")</f>
        <v>NL866410326B01</v>
      </c>
      <c r="O322" s="6">
        <f>IFERROR(__xludf.DUMMYFUNCTION("""COMPUTED_VALUE"""),9.3458924E7)</f>
        <v>93458924</v>
      </c>
      <c r="P322" s="6" t="str">
        <f>IFERROR(__xludf.DUMMYFUNCTION("""COMPUTED_VALUE"""),"NL28INGB0675342325")</f>
        <v>NL28INGB0675342325</v>
      </c>
      <c r="Q322" s="9">
        <f>IFERROR(__xludf.DUMMYFUNCTION("""COMPUTED_VALUE"""),44543.0)</f>
        <v>44543</v>
      </c>
      <c r="R322" s="6"/>
      <c r="S322" s="6" t="str">
        <f>IFERROR(__xludf.DUMMYFUNCTION("""COMPUTED_VALUE"""),"NL866410326B01")</f>
        <v>NL866410326B01</v>
      </c>
      <c r="T322" s="6">
        <f>IFERROR(__xludf.DUMMYFUNCTION("""COMPUTED_VALUE"""),8.66410326E8)</f>
        <v>866410326</v>
      </c>
      <c r="U322" s="7" t="str">
        <f>IFERROR(__xludf.DUMMYFUNCTION("""COMPUTED_VALUE"""),"Vennootschap Onder Firma")</f>
        <v>Vennootschap Onder Firma</v>
      </c>
      <c r="V322" s="7" t="str">
        <f>IFERROR(__xludf.DUMMYFUNCTION("""COMPUTED_VALUE"""),"000050802747")</f>
        <v>000050802747</v>
      </c>
      <c r="W322" s="6" t="str">
        <f>IFERROR(__xludf.DUMMYFUNCTION("""COMPUTED_VALUE"""),"ink.mrvelkoski.2288aa@zarabota.nl")</f>
        <v>ink.mrvelkoski.2288aa@zarabota.nl</v>
      </c>
      <c r="X322" s="6" t="str">
        <f>IFERROR(__xludf.DUMMYFUNCTION("""COMPUTED_VALUE"""),"ver.mrvelkoski.2288aa@zarabota.nl")</f>
        <v>ver.mrvelkoski.2288aa@zarabota.nl</v>
      </c>
      <c r="Y322" s="6" t="str">
        <f>IFERROR(__xludf.DUMMYFUNCTION("""COMPUTED_VALUE"""),"Hr.")</f>
        <v>Hr.</v>
      </c>
      <c r="Z322" s="6" t="str">
        <f>IFERROR(__xludf.DUMMYFUNCTION("""COMPUTED_VALUE"""),"Martin")</f>
        <v>Martin</v>
      </c>
      <c r="AA322" s="6" t="str">
        <f>IFERROR(__xludf.DUMMYFUNCTION("""COMPUTED_VALUE"""),"Velkoski")</f>
        <v>Velkoski</v>
      </c>
      <c r="AB322" s="6" t="str">
        <f>IFERROR(__xludf.DUMMYFUNCTION("""COMPUTED_VALUE"""),"M.")</f>
        <v>M.</v>
      </c>
      <c r="AC322" s="6">
        <f>IFERROR(__xludf.DUMMYFUNCTION("""COMPUTED_VALUE"""),4.73017489E8)</f>
        <v>473017489</v>
      </c>
      <c r="AD322" s="9">
        <f>IFERROR(__xludf.DUMMYFUNCTION("""COMPUTED_VALUE"""),32759.0)</f>
        <v>32759</v>
      </c>
      <c r="AE322" s="6" t="str">
        <f>IFERROR(__xludf.DUMMYFUNCTION("""COMPUTED_VALUE"""),"bg")</f>
        <v>bg</v>
      </c>
      <c r="AF322" s="6" t="str">
        <f>IFERROR(__xludf.DUMMYFUNCTION("""COMPUTED_VALUE"""),"Severna Macedonija")</f>
        <v>Severna Macedonija</v>
      </c>
      <c r="AG322" s="6" t="str">
        <f>IFERROR(__xludf.DUMMYFUNCTION("""COMPUTED_VALUE"""),"Hr. M. Velkoski")</f>
        <v>Hr. M. Velkoski</v>
      </c>
      <c r="AH322" s="6" t="str">
        <f>IFERROR(__xludf.DUMMYFUNCTION("""COMPUTED_VALUE"""),"NL66INGB0445387815")</f>
        <v>NL66INGB0445387815</v>
      </c>
      <c r="AI322" s="6"/>
      <c r="AJ322" s="6" t="str">
        <f>IFERROR(__xludf.DUMMYFUNCTION("""COMPUTED_VALUE"""),"ID Kaart")</f>
        <v>ID Kaart</v>
      </c>
      <c r="AK322" s="6">
        <f>IFERROR(__xludf.DUMMYFUNCTION("""COMPUTED_VALUE"""),6.51024479E8)</f>
        <v>651024479</v>
      </c>
      <c r="AL322" s="9">
        <f>IFERROR(__xludf.DUMMYFUNCTION("""COMPUTED_VALUE"""),48084.0)</f>
        <v>48084</v>
      </c>
      <c r="AM322" s="6" t="str">
        <f>IFERROR(__xludf.DUMMYFUNCTION("""COMPUTED_VALUE"""),"Bulgarije")</f>
        <v>Bulgarije</v>
      </c>
      <c r="AN322" s="6" t="str">
        <f>IFERROR(__xludf.DUMMYFUNCTION("""COMPUTED_VALUE"""),"Martin Velkoski")</f>
        <v>Martin Velkoski</v>
      </c>
      <c r="AO322" s="6">
        <f>IFERROR(__xludf.DUMMYFUNCTION("""COMPUTED_VALUE"""),1284.0)</f>
        <v>1284</v>
      </c>
    </row>
    <row r="323">
      <c r="A323" s="6" t="str">
        <f>IFERROR(__xludf.DUMMYFUNCTION("""COMPUTED_VALUE"""),"MSI Transport BV")</f>
        <v>MSI Transport BV</v>
      </c>
      <c r="B323" s="6" t="str">
        <f>IFERROR(__xludf.DUMMYFUNCTION("""COMPUTED_VALUE"""),"MSI Transport BV")</f>
        <v>MSI Transport BV</v>
      </c>
      <c r="C323" s="6">
        <f>IFERROR(__xludf.DUMMYFUNCTION("""COMPUTED_VALUE"""),383.0)</f>
        <v>383</v>
      </c>
      <c r="D323" s="7" t="str">
        <f>IFERROR(__xludf.DUMMYFUNCTION("""COMPUTED_VALUE"""),"Muzafer Ismailov Saliev")</f>
        <v>Muzafer Ismailov Saliev</v>
      </c>
      <c r="E323" s="7" t="str">
        <f>IFERROR(__xludf.DUMMYFUNCTION("""COMPUTED_VALUE"""),"SBI-code: 4941 - Goederenvervoer over de weg (geen verhuizingen)")</f>
        <v>SBI-code: 4941 - Goederenvervoer over de weg (geen verhuizingen)</v>
      </c>
      <c r="F323" s="7" t="str">
        <f>IFERROR(__xludf.DUMMYFUNCTION("""COMPUTED_VALUE"""),"0628994466")</f>
        <v>0628994466</v>
      </c>
      <c r="G323" s="6" t="str">
        <f>IFERROR(__xludf.DUMMYFUNCTION("""COMPUTED_VALUE"""),"info@msitransport.nl")</f>
        <v>info@msitransport.nl</v>
      </c>
      <c r="H323" s="6" t="str">
        <f>IFERROR(__xludf.DUMMYFUNCTION("""COMPUTED_VALUE"""),"Zuideinde 2")</f>
        <v>Zuideinde 2</v>
      </c>
      <c r="I323" s="6" t="str">
        <f>IFERROR(__xludf.DUMMYFUNCTION("""COMPUTED_VALUE"""),"2991LK")</f>
        <v>2991LK</v>
      </c>
      <c r="J323" s="6" t="str">
        <f>IFERROR(__xludf.DUMMYFUNCTION("""COMPUTED_VALUE"""),"Barendrecht")</f>
        <v>Barendrecht</v>
      </c>
      <c r="K323" s="6" t="str">
        <f>IFERROR(__xludf.DUMMYFUNCTION("""COMPUTED_VALUE"""),"Nederland")</f>
        <v>Nederland</v>
      </c>
      <c r="L323" s="6" t="str">
        <f>IFERROR(__xludf.DUMMYFUNCTION("""COMPUTED_VALUE"""),"Салиев")</f>
        <v>Салиев</v>
      </c>
      <c r="M323" s="8">
        <f>IFERROR(__xludf.DUMMYFUNCTION("""COMPUTED_VALUE"""),42103.0)</f>
        <v>42103</v>
      </c>
      <c r="N323" s="6" t="str">
        <f>IFERROR(__xludf.DUMMYFUNCTION("""COMPUTED_VALUE"""),"NL857335893B01")</f>
        <v>NL857335893B01</v>
      </c>
      <c r="O323" s="6">
        <f>IFERROR(__xludf.DUMMYFUNCTION("""COMPUTED_VALUE"""),6.8183585E7)</f>
        <v>68183585</v>
      </c>
      <c r="P323" s="6" t="str">
        <f>IFERROR(__xludf.DUMMYFUNCTION("""COMPUTED_VALUE"""),"NL91INGB0007672731")</f>
        <v>NL91INGB0007672731</v>
      </c>
      <c r="Q323" s="9">
        <f>IFERROR(__xludf.DUMMYFUNCTION("""COMPUTED_VALUE"""),42794.0)</f>
        <v>42794</v>
      </c>
      <c r="R323" s="6"/>
      <c r="S323" s="6" t="str">
        <f>IFERROR(__xludf.DUMMYFUNCTION("""COMPUTED_VALUE"""),"NL857335893B01")</f>
        <v>NL857335893B01</v>
      </c>
      <c r="T323" s="6">
        <f>IFERROR(__xludf.DUMMYFUNCTION("""COMPUTED_VALUE"""),8.57335893E8)</f>
        <v>857335893</v>
      </c>
      <c r="U323" s="7" t="str">
        <f>IFERROR(__xludf.DUMMYFUNCTION("""COMPUTED_VALUE"""),"Besloten Vennootschap")</f>
        <v>Besloten Vennootschap</v>
      </c>
      <c r="V323" s="7" t="str">
        <f>IFERROR(__xludf.DUMMYFUNCTION("""COMPUTED_VALUE"""),"000036647470")</f>
        <v>000036647470</v>
      </c>
      <c r="W323" s="6" t="str">
        <f>IFERROR(__xludf.DUMMYFUNCTION("""COMPUTED_VALUE"""),"ink.msitransportbv.2288aa@zarabota.nl")</f>
        <v>ink.msitransportbv.2288aa@zarabota.nl</v>
      </c>
      <c r="X323" s="6" t="str">
        <f>IFERROR(__xludf.DUMMYFUNCTION("""COMPUTED_VALUE"""),"ver.msitransportbv.2288aa@zarabota.nl")</f>
        <v>ver.msitransportbv.2288aa@zarabota.nl</v>
      </c>
      <c r="Y323" s="6" t="str">
        <f>IFERROR(__xludf.DUMMYFUNCTION("""COMPUTED_VALUE"""),"Hr.")</f>
        <v>Hr.</v>
      </c>
      <c r="Z323" s="6" t="str">
        <f>IFERROR(__xludf.DUMMYFUNCTION("""COMPUTED_VALUE"""),"Muzafer Ismailov")</f>
        <v>Muzafer Ismailov</v>
      </c>
      <c r="AA323" s="6" t="str">
        <f>IFERROR(__xludf.DUMMYFUNCTION("""COMPUTED_VALUE"""),"Saliev")</f>
        <v>Saliev</v>
      </c>
      <c r="AB323" s="6" t="str">
        <f>IFERROR(__xludf.DUMMYFUNCTION("""COMPUTED_VALUE"""),"M.I.")</f>
        <v>M.I.</v>
      </c>
      <c r="AC323" s="6">
        <f>IFERROR(__xludf.DUMMYFUNCTION("""COMPUTED_VALUE"""),2.64234686E8)</f>
        <v>264234686</v>
      </c>
      <c r="AD323" s="9">
        <f>IFERROR(__xludf.DUMMYFUNCTION("""COMPUTED_VALUE"""),26120.0)</f>
        <v>26120</v>
      </c>
      <c r="AE323" s="6" t="str">
        <f>IFERROR(__xludf.DUMMYFUNCTION("""COMPUTED_VALUE"""),"bg")</f>
        <v>bg</v>
      </c>
      <c r="AF323" s="6" t="str">
        <f>IFERROR(__xludf.DUMMYFUNCTION("""COMPUTED_VALUE"""),"Kubrat")</f>
        <v>Kubrat</v>
      </c>
      <c r="AG323" s="6" t="str">
        <f>IFERROR(__xludf.DUMMYFUNCTION("""COMPUTED_VALUE"""),"Hr. M.I. Saliev")</f>
        <v>Hr. M.I. Saliev</v>
      </c>
      <c r="AH323" s="6"/>
      <c r="AI323" s="6"/>
      <c r="AJ323" s="6"/>
      <c r="AK323" s="6"/>
      <c r="AL323" s="6"/>
      <c r="AM323" s="6"/>
      <c r="AN323" s="6" t="str">
        <f>IFERROR(__xludf.DUMMYFUNCTION("""COMPUTED_VALUE"""),"Muzafer Ismailov Saliev")</f>
        <v>Muzafer Ismailov Saliev</v>
      </c>
      <c r="AO323" s="6"/>
    </row>
    <row r="324">
      <c r="A324" s="6" t="str">
        <f>IFERROR(__xludf.DUMMYFUNCTION("""COMPUTED_VALUE"""),"MSK Hoofd B.V.")</f>
        <v>MSK Hoofd B.V.</v>
      </c>
      <c r="B324" s="6" t="str">
        <f>IFERROR(__xludf.DUMMYFUNCTION("""COMPUTED_VALUE"""),"MSK Hoofd B.V.")</f>
        <v>MSK Hoofd B.V.</v>
      </c>
      <c r="C324" s="6">
        <f>IFERROR(__xludf.DUMMYFUNCTION("""COMPUTED_VALUE"""),1738.0)</f>
        <v>1738</v>
      </c>
      <c r="D324" s="7" t="str">
        <f>IFERROR(__xludf.DUMMYFUNCTION("""COMPUTED_VALUE"""),"Myumyun Shaban Kalendzhi")</f>
        <v>Myumyun Shaban Kalendzhi</v>
      </c>
      <c r="E324" s="7" t="str">
        <f>IFERROR(__xludf.DUMMYFUNCTION("""COMPUTED_VALUE"""),"SBI-code: 70102 Holdings (geen financiele")</f>
        <v>SBI-code: 70102 Holdings (geen financiele</v>
      </c>
      <c r="F324" s="7" t="str">
        <f>IFERROR(__xludf.DUMMYFUNCTION("""COMPUTED_VALUE"""),"+310630066510")</f>
        <v>+310630066510</v>
      </c>
      <c r="G324" s="6"/>
      <c r="H324" s="6" t="str">
        <f>IFERROR(__xludf.DUMMYFUNCTION("""COMPUTED_VALUE"""),"Vrederustlaan 140")</f>
        <v>Vrederustlaan 140</v>
      </c>
      <c r="I324" s="6" t="str">
        <f>IFERROR(__xludf.DUMMYFUNCTION("""COMPUTED_VALUE"""),"2543SV")</f>
        <v>2543SV</v>
      </c>
      <c r="J324" s="6" t="str">
        <f>IFERROR(__xludf.DUMMYFUNCTION("""COMPUTED_VALUE"""),"s-Gravenhage")</f>
        <v>s-Gravenhage</v>
      </c>
      <c r="K324" s="6" t="str">
        <f>IFERROR(__xludf.DUMMYFUNCTION("""COMPUTED_VALUE"""),"Nederland")</f>
        <v>Nederland</v>
      </c>
      <c r="L324" s="6" t="str">
        <f>IFERROR(__xludf.DUMMYFUNCTION("""COMPUTED_VALUE"""),"Календжи")</f>
        <v>Календжи</v>
      </c>
      <c r="M324" s="8">
        <f>IFERROR(__xludf.DUMMYFUNCTION("""COMPUTED_VALUE"""),45937.0)</f>
        <v>45937</v>
      </c>
      <c r="N324" s="6" t="str">
        <f>IFERROR(__xludf.DUMMYFUNCTION("""COMPUTED_VALUE"""),"NL868519510B01")</f>
        <v>NL868519510B01</v>
      </c>
      <c r="O324" s="6">
        <f>IFERROR(__xludf.DUMMYFUNCTION("""COMPUTED_VALUE"""),9.8495968E7)</f>
        <v>98495968</v>
      </c>
      <c r="P324" s="6" t="str">
        <f>IFERROR(__xludf.DUMMYFUNCTION("""COMPUTED_VALUE"""),"NL64INGB0112953816")</f>
        <v>NL64INGB0112953816</v>
      </c>
      <c r="Q324" s="9">
        <f>IFERROR(__xludf.DUMMYFUNCTION("""COMPUTED_VALUE"""),45937.0)</f>
        <v>45937</v>
      </c>
      <c r="R324" s="6"/>
      <c r="S324" s="6" t="str">
        <f>IFERROR(__xludf.DUMMYFUNCTION("""COMPUTED_VALUE"""),"NL868519510B01")</f>
        <v>NL868519510B01</v>
      </c>
      <c r="T324" s="6">
        <f>IFERROR(__xludf.DUMMYFUNCTION("""COMPUTED_VALUE"""),8.6851951E8)</f>
        <v>868519510</v>
      </c>
      <c r="U324" s="7" t="str">
        <f>IFERROR(__xludf.DUMMYFUNCTION("""COMPUTED_VALUE"""),"Besloten Vennootschap")</f>
        <v>Besloten Vennootschap</v>
      </c>
      <c r="V324" s="7" t="str">
        <f>IFERROR(__xludf.DUMMYFUNCTION("""COMPUTED_VALUE"""),"000063655594")</f>
        <v>000063655594</v>
      </c>
      <c r="W324" s="6" t="str">
        <f>IFERROR(__xludf.DUMMYFUNCTION("""COMPUTED_VALUE"""),"ink.mskhoofd.2288aa@zarabota.nl")</f>
        <v>ink.mskhoofd.2288aa@zarabota.nl</v>
      </c>
      <c r="X324" s="6" t="str">
        <f>IFERROR(__xludf.DUMMYFUNCTION("""COMPUTED_VALUE"""),"ver.mskhoofd.2288aa@zarabota.nl")</f>
        <v>ver.mskhoofd.2288aa@zarabota.nl</v>
      </c>
      <c r="Y324" s="6" t="str">
        <f>IFERROR(__xludf.DUMMYFUNCTION("""COMPUTED_VALUE"""),"Hr.")</f>
        <v>Hr.</v>
      </c>
      <c r="Z324" s="6" t="str">
        <f>IFERROR(__xludf.DUMMYFUNCTION("""COMPUTED_VALUE"""),"Myumyun Shaban")</f>
        <v>Myumyun Shaban</v>
      </c>
      <c r="AA324" s="6" t="str">
        <f>IFERROR(__xludf.DUMMYFUNCTION("""COMPUTED_VALUE"""),"Kalendzhi")</f>
        <v>Kalendzhi</v>
      </c>
      <c r="AB324" s="6" t="str">
        <f>IFERROR(__xludf.DUMMYFUNCTION("""COMPUTED_VALUE"""),"M S")</f>
        <v>M S</v>
      </c>
      <c r="AC324" s="6">
        <f>IFERROR(__xludf.DUMMYFUNCTION("""COMPUTED_VALUE"""),5.52947076E8)</f>
        <v>552947076</v>
      </c>
      <c r="AD324" s="9">
        <f>IFERROR(__xludf.DUMMYFUNCTION("""COMPUTED_VALUE"""),32380.0)</f>
        <v>32380</v>
      </c>
      <c r="AE324" s="6" t="str">
        <f>IFERROR(__xludf.DUMMYFUNCTION("""COMPUTED_VALUE"""),"bg")</f>
        <v>bg</v>
      </c>
      <c r="AF324" s="6" t="str">
        <f>IFERROR(__xludf.DUMMYFUNCTION("""COMPUTED_VALUE"""),"Sungurlare")</f>
        <v>Sungurlare</v>
      </c>
      <c r="AG324" s="6" t="str">
        <f>IFERROR(__xludf.DUMMYFUNCTION("""COMPUTED_VALUE"""),"Hr. M S Kalendzhi")</f>
        <v>Hr. M S Kalendzhi</v>
      </c>
      <c r="AH324" s="6" t="str">
        <f>IFERROR(__xludf.DUMMYFUNCTION("""COMPUTED_VALUE"""),"NL61INGB0682004952")</f>
        <v>NL61INGB0682004952</v>
      </c>
      <c r="AI324" s="6"/>
      <c r="AJ324" s="6"/>
      <c r="AK324" s="6"/>
      <c r="AL324" s="6"/>
      <c r="AM324" s="6"/>
      <c r="AN324" s="6" t="str">
        <f>IFERROR(__xludf.DUMMYFUNCTION("""COMPUTED_VALUE"""),"Myumyun Shaban Kalendzhi")</f>
        <v>Myumyun Shaban Kalendzhi</v>
      </c>
      <c r="AO324" s="6">
        <f>IFERROR(__xludf.DUMMYFUNCTION("""COMPUTED_VALUE"""),1738.0)</f>
        <v>1738</v>
      </c>
    </row>
    <row r="325">
      <c r="A325" s="6" t="str">
        <f>IFERROR(__xludf.DUMMYFUNCTION("""COMPUTED_VALUE"""),"MSK Staal B.V.")</f>
        <v>MSK Staal B.V.</v>
      </c>
      <c r="B325" s="6" t="str">
        <f>IFERROR(__xludf.DUMMYFUNCTION("""COMPUTED_VALUE"""),"MSK Staal B.V.")</f>
        <v>MSK Staal B.V.</v>
      </c>
      <c r="C325" s="6">
        <f>IFERROR(__xludf.DUMMYFUNCTION("""COMPUTED_VALUE"""),1739.0)</f>
        <v>1739</v>
      </c>
      <c r="D325" s="7" t="str">
        <f>IFERROR(__xludf.DUMMYFUNCTION("""COMPUTED_VALUE"""),"Myumyun Shaban Kalendzhi")</f>
        <v>Myumyun Shaban Kalendzhi</v>
      </c>
      <c r="E325" s="7" t="str">
        <f>IFERROR(__xludf.DUMMYFUNCTION("""COMPUTED_VALUE"""),"SBI-code: 43992 - Vlechten van betonstaal")</f>
        <v>SBI-code: 43992 - Vlechten van betonstaal</v>
      </c>
      <c r="F325" s="7" t="str">
        <f>IFERROR(__xludf.DUMMYFUNCTION("""COMPUTED_VALUE"""),"+31630066510")</f>
        <v>+31630066510</v>
      </c>
      <c r="G325" s="6" t="str">
        <f>IFERROR(__xludf.DUMMYFUNCTION("""COMPUTED_VALUE"""),"mumunbouw@gmail.com")</f>
        <v>mumunbouw@gmail.com</v>
      </c>
      <c r="H325" s="6" t="str">
        <f>IFERROR(__xludf.DUMMYFUNCTION("""COMPUTED_VALUE"""),"Vrederustlaan 140")</f>
        <v>Vrederustlaan 140</v>
      </c>
      <c r="I325" s="6" t="str">
        <f>IFERROR(__xludf.DUMMYFUNCTION("""COMPUTED_VALUE"""),"2543SV")</f>
        <v>2543SV</v>
      </c>
      <c r="J325" s="6" t="str">
        <f>IFERROR(__xludf.DUMMYFUNCTION("""COMPUTED_VALUE"""),"s-Gravenhage")</f>
        <v>s-Gravenhage</v>
      </c>
      <c r="K325" s="6" t="str">
        <f>IFERROR(__xludf.DUMMYFUNCTION("""COMPUTED_VALUE"""),"Nederland")</f>
        <v>Nederland</v>
      </c>
      <c r="L325" s="6" t="str">
        <f>IFERROR(__xludf.DUMMYFUNCTION("""COMPUTED_VALUE"""),"Календжи")</f>
        <v>Календжи</v>
      </c>
      <c r="M325" s="8">
        <f>IFERROR(__xludf.DUMMYFUNCTION("""COMPUTED_VALUE"""),45937.0)</f>
        <v>45937</v>
      </c>
      <c r="N325" s="6" t="str">
        <f>IFERROR(__xludf.DUMMYFUNCTION("""COMPUTED_VALUE"""),"NL868521255B01")</f>
        <v>NL868521255B01</v>
      </c>
      <c r="O325" s="6">
        <f>IFERROR(__xludf.DUMMYFUNCTION("""COMPUTED_VALUE"""),9.8499556E7)</f>
        <v>98499556</v>
      </c>
      <c r="P325" s="6" t="str">
        <f>IFERROR(__xludf.DUMMYFUNCTION("""COMPUTED_VALUE"""),"NL28INGB0112664822")</f>
        <v>NL28INGB0112664822</v>
      </c>
      <c r="Q325" s="9">
        <f>IFERROR(__xludf.DUMMYFUNCTION("""COMPUTED_VALUE"""),45937.0)</f>
        <v>45937</v>
      </c>
      <c r="R325" s="6"/>
      <c r="S325" s="6" t="str">
        <f>IFERROR(__xludf.DUMMYFUNCTION("""COMPUTED_VALUE"""),"NL868521255B01")</f>
        <v>NL868521255B01</v>
      </c>
      <c r="T325" s="6">
        <f>IFERROR(__xludf.DUMMYFUNCTION("""COMPUTED_VALUE"""),8.68521255E8)</f>
        <v>868521255</v>
      </c>
      <c r="U325" s="7" t="str">
        <f>IFERROR(__xludf.DUMMYFUNCTION("""COMPUTED_VALUE"""),"Besloten Vennootschap")</f>
        <v>Besloten Vennootschap</v>
      </c>
      <c r="V325" s="7" t="str">
        <f>IFERROR(__xludf.DUMMYFUNCTION("""COMPUTED_VALUE"""),"000063658720")</f>
        <v>000063658720</v>
      </c>
      <c r="W325" s="6" t="str">
        <f>IFERROR(__xludf.DUMMYFUNCTION("""COMPUTED_VALUE"""),"ink.mskstaal.2288aa@zarabota.nl")</f>
        <v>ink.mskstaal.2288aa@zarabota.nl</v>
      </c>
      <c r="X325" s="6" t="str">
        <f>IFERROR(__xludf.DUMMYFUNCTION("""COMPUTED_VALUE"""),"ver.mskstaal.2288aa@zarabota.nl")</f>
        <v>ver.mskstaal.2288aa@zarabota.nl</v>
      </c>
      <c r="Y325" s="6" t="str">
        <f>IFERROR(__xludf.DUMMYFUNCTION("""COMPUTED_VALUE"""),"Hr.")</f>
        <v>Hr.</v>
      </c>
      <c r="Z325" s="6" t="str">
        <f>IFERROR(__xludf.DUMMYFUNCTION("""COMPUTED_VALUE"""),"Myumyun Shaban")</f>
        <v>Myumyun Shaban</v>
      </c>
      <c r="AA325" s="6" t="str">
        <f>IFERROR(__xludf.DUMMYFUNCTION("""COMPUTED_VALUE"""),"Kalendzhi")</f>
        <v>Kalendzhi</v>
      </c>
      <c r="AB325" s="6" t="str">
        <f>IFERROR(__xludf.DUMMYFUNCTION("""COMPUTED_VALUE"""),"M S")</f>
        <v>M S</v>
      </c>
      <c r="AC325" s="6">
        <f>IFERROR(__xludf.DUMMYFUNCTION("""COMPUTED_VALUE"""),5.52947076E8)</f>
        <v>552947076</v>
      </c>
      <c r="AD325" s="9">
        <f>IFERROR(__xludf.DUMMYFUNCTION("""COMPUTED_VALUE"""),32380.0)</f>
        <v>32380</v>
      </c>
      <c r="AE325" s="6" t="str">
        <f>IFERROR(__xludf.DUMMYFUNCTION("""COMPUTED_VALUE"""),"bg")</f>
        <v>bg</v>
      </c>
      <c r="AF325" s="6" t="str">
        <f>IFERROR(__xludf.DUMMYFUNCTION("""COMPUTED_VALUE"""),"Sungurlare")</f>
        <v>Sungurlare</v>
      </c>
      <c r="AG325" s="6" t="str">
        <f>IFERROR(__xludf.DUMMYFUNCTION("""COMPUTED_VALUE"""),"Hr. M S Kalendzhi")</f>
        <v>Hr. M S Kalendzhi</v>
      </c>
      <c r="AH325" s="6" t="str">
        <f>IFERROR(__xludf.DUMMYFUNCTION("""COMPUTED_VALUE"""),"NL61INGB0682004952")</f>
        <v>NL61INGB0682004952</v>
      </c>
      <c r="AI325" s="6"/>
      <c r="AJ325" s="6"/>
      <c r="AK325" s="6"/>
      <c r="AL325" s="6"/>
      <c r="AM325" s="6"/>
      <c r="AN325" s="6" t="str">
        <f>IFERROR(__xludf.DUMMYFUNCTION("""COMPUTED_VALUE"""),"Myumyun Shaban Kalendzhi")</f>
        <v>Myumyun Shaban Kalendzhi</v>
      </c>
      <c r="AO325" s="6">
        <f>IFERROR(__xludf.DUMMYFUNCTION("""COMPUTED_VALUE"""),1739.0)</f>
        <v>1739</v>
      </c>
    </row>
    <row r="326">
      <c r="A326" s="6" t="str">
        <f>IFERROR(__xludf.DUMMYFUNCTION("""COMPUTED_VALUE"""),"MSM Mehmedov")</f>
        <v>MSM Mehmedov</v>
      </c>
      <c r="B326" s="6" t="str">
        <f>IFERROR(__xludf.DUMMYFUNCTION("""COMPUTED_VALUE"""),"MSM Mehmedov")</f>
        <v>MSM Mehmedov</v>
      </c>
      <c r="C326" s="6">
        <f>IFERROR(__xludf.DUMMYFUNCTION("""COMPUTED_VALUE"""),994.0)</f>
        <v>994</v>
      </c>
      <c r="D326" s="7" t="str">
        <f>IFERROR(__xludf.DUMMYFUNCTION("""COMPUTED_VALUE"""),"Mehmed Saliev Mehmedov")</f>
        <v>Mehmed Saliev Mehmedov</v>
      </c>
      <c r="E326" s="7" t="str">
        <f>IFERROR(__xludf.DUMMYFUNCTION("""COMPUTED_VALUE"""),"SBI-code: 4120 - Algemene burgerlijke en utiliteitsbouw")</f>
        <v>SBI-code: 4120 - Algemene burgerlijke en utiliteitsbouw</v>
      </c>
      <c r="F326" s="7" t="str">
        <f>IFERROR(__xludf.DUMMYFUNCTION("""COMPUTED_VALUE"""),"0634182890")</f>
        <v>0634182890</v>
      </c>
      <c r="G326" s="6" t="str">
        <f>IFERROR(__xludf.DUMMYFUNCTION("""COMPUTED_VALUE"""),"m.mehmedov757@gmail.com")</f>
        <v>m.mehmedov757@gmail.com</v>
      </c>
      <c r="H326" s="6" t="str">
        <f>IFERROR(__xludf.DUMMYFUNCTION("""COMPUTED_VALUE"""),"Capadosestraat 94")</f>
        <v>Capadosestraat 94</v>
      </c>
      <c r="I326" s="6" t="str">
        <f>IFERROR(__xludf.DUMMYFUNCTION("""COMPUTED_VALUE"""),"2523AH")</f>
        <v>2523AH</v>
      </c>
      <c r="J326" s="6" t="str">
        <f>IFERROR(__xludf.DUMMYFUNCTION("""COMPUTED_VALUE"""),"s-Gravenhage")</f>
        <v>s-Gravenhage</v>
      </c>
      <c r="K326" s="6" t="str">
        <f>IFERROR(__xludf.DUMMYFUNCTION("""COMPUTED_VALUE"""),"Nederland")</f>
        <v>Nederland</v>
      </c>
      <c r="L326" s="6" t="str">
        <f>IFERROR(__xludf.DUMMYFUNCTION("""COMPUTED_VALUE"""),"Мехмедов")</f>
        <v>Мехмедов</v>
      </c>
      <c r="M326" s="8">
        <f>IFERROR(__xludf.DUMMYFUNCTION("""COMPUTED_VALUE"""),43997.0)</f>
        <v>43997</v>
      </c>
      <c r="N326" s="6" t="str">
        <f>IFERROR(__xludf.DUMMYFUNCTION("""COMPUTED_VALUE"""),"NL264125812B01")</f>
        <v>NL264125812B01</v>
      </c>
      <c r="O326" s="6">
        <f>IFERROR(__xludf.DUMMYFUNCTION("""COMPUTED_VALUE"""),7.8257395E7)</f>
        <v>78257395</v>
      </c>
      <c r="P326" s="6" t="str">
        <f>IFERROR(__xludf.DUMMYFUNCTION("""COMPUTED_VALUE"""),"NL72INGB0009491823")</f>
        <v>NL72INGB0009491823</v>
      </c>
      <c r="Q326" s="9">
        <f>IFERROR(__xludf.DUMMYFUNCTION("""COMPUTED_VALUE"""),43997.0)</f>
        <v>43997</v>
      </c>
      <c r="R326" s="6"/>
      <c r="S326" s="6" t="str">
        <f>IFERROR(__xludf.DUMMYFUNCTION("""COMPUTED_VALUE"""),"NL003311213B78")</f>
        <v>NL003311213B78</v>
      </c>
      <c r="T326" s="6">
        <f>IFERROR(__xludf.DUMMYFUNCTION("""COMPUTED_VALUE"""),2.64125812E8)</f>
        <v>264125812</v>
      </c>
      <c r="U326" s="7" t="str">
        <f>IFERROR(__xludf.DUMMYFUNCTION("""COMPUTED_VALUE"""),"Eenmanszaak")</f>
        <v>Eenmanszaak</v>
      </c>
      <c r="V326" s="7" t="str">
        <f>IFERROR(__xludf.DUMMYFUNCTION("""COMPUTED_VALUE"""),"000045899479")</f>
        <v>000045899479</v>
      </c>
      <c r="W326" s="6" t="str">
        <f>IFERROR(__xludf.DUMMYFUNCTION("""COMPUTED_VALUE"""),"ink.msmmehmedov.2288aa@zarabota.nl")</f>
        <v>ink.msmmehmedov.2288aa@zarabota.nl</v>
      </c>
      <c r="X326" s="6" t="str">
        <f>IFERROR(__xludf.DUMMYFUNCTION("""COMPUTED_VALUE"""),"ver.msmmehmedov.2288aa@zarabota.nl")</f>
        <v>ver.msmmehmedov.2288aa@zarabota.nl</v>
      </c>
      <c r="Y326" s="6" t="str">
        <f>IFERROR(__xludf.DUMMYFUNCTION("""COMPUTED_VALUE"""),"Hr.")</f>
        <v>Hr.</v>
      </c>
      <c r="Z326" s="6" t="str">
        <f>IFERROR(__xludf.DUMMYFUNCTION("""COMPUTED_VALUE"""),"Mehmed Saliev")</f>
        <v>Mehmed Saliev</v>
      </c>
      <c r="AA326" s="6" t="str">
        <f>IFERROR(__xludf.DUMMYFUNCTION("""COMPUTED_VALUE"""),"Mehmedov")</f>
        <v>Mehmedov</v>
      </c>
      <c r="AB326" s="6" t="str">
        <f>IFERROR(__xludf.DUMMYFUNCTION("""COMPUTED_VALUE"""),"M.S.")</f>
        <v>M.S.</v>
      </c>
      <c r="AC326" s="6">
        <f>IFERROR(__xludf.DUMMYFUNCTION("""COMPUTED_VALUE"""),2.64125812E8)</f>
        <v>264125812</v>
      </c>
      <c r="AD326" s="9">
        <f>IFERROR(__xludf.DUMMYFUNCTION("""COMPUTED_VALUE"""),27590.0)</f>
        <v>27590</v>
      </c>
      <c r="AE326" s="6" t="str">
        <f>IFERROR(__xludf.DUMMYFUNCTION("""COMPUTED_VALUE"""),"bg")</f>
        <v>bg</v>
      </c>
      <c r="AF326" s="6" t="str">
        <f>IFERROR(__xludf.DUMMYFUNCTION("""COMPUTED_VALUE"""),"Konarsko")</f>
        <v>Konarsko</v>
      </c>
      <c r="AG326" s="6" t="str">
        <f>IFERROR(__xludf.DUMMYFUNCTION("""COMPUTED_VALUE"""),"Hr. M.S. Mehmedov")</f>
        <v>Hr. M.S. Mehmedov</v>
      </c>
      <c r="AH326" s="6" t="str">
        <f>IFERROR(__xludf.DUMMYFUNCTION("""COMPUTED_VALUE"""),"NL53INGB0672033690")</f>
        <v>NL53INGB0672033690</v>
      </c>
      <c r="AI326" s="9">
        <f>IFERROR(__xludf.DUMMYFUNCTION("""COMPUTED_VALUE"""),39097.0)</f>
        <v>39097</v>
      </c>
      <c r="AJ326" s="6" t="str">
        <f>IFERROR(__xludf.DUMMYFUNCTION("""COMPUTED_VALUE"""),"ID Kaart")</f>
        <v>ID Kaart</v>
      </c>
      <c r="AK326" s="6">
        <f>IFERROR(__xludf.DUMMYFUNCTION("""COMPUTED_VALUE"""),6.48172834E8)</f>
        <v>648172834</v>
      </c>
      <c r="AL326" s="9">
        <f>IFERROR(__xludf.DUMMYFUNCTION("""COMPUTED_VALUE"""),47247.0)</f>
        <v>47247</v>
      </c>
      <c r="AM326" s="6" t="str">
        <f>IFERROR(__xludf.DUMMYFUNCTION("""COMPUTED_VALUE"""),"Bulgarije")</f>
        <v>Bulgarije</v>
      </c>
      <c r="AN326" s="6" t="str">
        <f>IFERROR(__xludf.DUMMYFUNCTION("""COMPUTED_VALUE"""),"Mehmed Saliev Mehmedov")</f>
        <v>Mehmed Saliev Mehmedov</v>
      </c>
      <c r="AO326" s="6"/>
    </row>
    <row r="327">
      <c r="A327" s="6" t="str">
        <f>IFERROR(__xludf.DUMMYFUNCTION("""COMPUTED_VALUE"""),"MTT Bouw")</f>
        <v>MTT Bouw</v>
      </c>
      <c r="B327" s="6" t="str">
        <f>IFERROR(__xludf.DUMMYFUNCTION("""COMPUTED_VALUE"""),"MTT Bouw")</f>
        <v>MTT Bouw</v>
      </c>
      <c r="C327" s="6">
        <f>IFERROR(__xludf.DUMMYFUNCTION("""COMPUTED_VALUE"""),1459.0)</f>
        <v>1459</v>
      </c>
      <c r="D327" s="7" t="str">
        <f>IFERROR(__xludf.DUMMYFUNCTION("""COMPUTED_VALUE"""),"Mohammed Tajjiou Tajjiou")</f>
        <v>Mohammed Tajjiou Tajjiou</v>
      </c>
      <c r="E327" s="7" t="str">
        <f>IFERROR(__xludf.DUMMYFUNCTION("""COMPUTED_VALUE"""),"SBI-code: 4120 - Algemene burgerlijke en utiliteitsbouw")</f>
        <v>SBI-code: 4120 - Algemene burgerlijke en utiliteitsbouw</v>
      </c>
      <c r="F327" s="7" t="str">
        <f>IFERROR(__xludf.DUMMYFUNCTION("""COMPUTED_VALUE"""),"0630256359")</f>
        <v>0630256359</v>
      </c>
      <c r="G327" s="6" t="str">
        <f>IFERROR(__xludf.DUMMYFUNCTION("""COMPUTED_VALUE"""),"mohammedtt@outlook.com")</f>
        <v>mohammedtt@outlook.com</v>
      </c>
      <c r="H327" s="6" t="str">
        <f>IFERROR(__xludf.DUMMYFUNCTION("""COMPUTED_VALUE"""),"Meppelweg 968")</f>
        <v>Meppelweg 968</v>
      </c>
      <c r="I327" s="6" t="str">
        <f>IFERROR(__xludf.DUMMYFUNCTION("""COMPUTED_VALUE"""),"2544CE")</f>
        <v>2544CE</v>
      </c>
      <c r="J327" s="6" t="str">
        <f>IFERROR(__xludf.DUMMYFUNCTION("""COMPUTED_VALUE"""),"s-Gravenhage")</f>
        <v>s-Gravenhage</v>
      </c>
      <c r="K327" s="6" t="str">
        <f>IFERROR(__xludf.DUMMYFUNCTION("""COMPUTED_VALUE"""),"Nederland")</f>
        <v>Nederland</v>
      </c>
      <c r="L327" s="6" t="str">
        <f>IFERROR(__xludf.DUMMYFUNCTION("""COMPUTED_VALUE"""),"Tajjiou")</f>
        <v>Tajjiou</v>
      </c>
      <c r="M327" s="8">
        <f>IFERROR(__xludf.DUMMYFUNCTION("""COMPUTED_VALUE"""),44967.0)</f>
        <v>44967</v>
      </c>
      <c r="N327" s="6" t="str">
        <f>IFERROR(__xludf.DUMMYFUNCTION("""COMPUTED_VALUE"""),"NL441334271B01")</f>
        <v>NL441334271B01</v>
      </c>
      <c r="O327" s="6">
        <f>IFERROR(__xludf.DUMMYFUNCTION("""COMPUTED_VALUE"""),8.9139119E7)</f>
        <v>89139119</v>
      </c>
      <c r="P327" s="6" t="str">
        <f>IFERROR(__xludf.DUMMYFUNCTION("""COMPUTED_VALUE"""),"NL34INGB0101426003")</f>
        <v>NL34INGB0101426003</v>
      </c>
      <c r="Q327" s="9">
        <f>IFERROR(__xludf.DUMMYFUNCTION("""COMPUTED_VALUE"""),44967.0)</f>
        <v>44967</v>
      </c>
      <c r="R327" s="6"/>
      <c r="S327" s="6" t="str">
        <f>IFERROR(__xludf.DUMMYFUNCTION("""COMPUTED_VALUE"""),"NL004704416B53")</f>
        <v>NL004704416B53</v>
      </c>
      <c r="T327" s="6">
        <f>IFERROR(__xludf.DUMMYFUNCTION("""COMPUTED_VALUE"""),4.41334271E8)</f>
        <v>441334271</v>
      </c>
      <c r="U327" s="7" t="str">
        <f>IFERROR(__xludf.DUMMYFUNCTION("""COMPUTED_VALUE"""),"Eenmanszaak")</f>
        <v>Eenmanszaak</v>
      </c>
      <c r="V327" s="7" t="str">
        <f>IFERROR(__xludf.DUMMYFUNCTION("""COMPUTED_VALUE"""),"000054948029")</f>
        <v>000054948029</v>
      </c>
      <c r="W327" s="6" t="str">
        <f>IFERROR(__xludf.DUMMYFUNCTION("""COMPUTED_VALUE"""),"ink.mttbouw.2288aa@zarabota.nl")</f>
        <v>ink.mttbouw.2288aa@zarabota.nl</v>
      </c>
      <c r="X327" s="6" t="str">
        <f>IFERROR(__xludf.DUMMYFUNCTION("""COMPUTED_VALUE"""),"ver.mttbouw.2288aa@zarabota.nl")</f>
        <v>ver.mttbouw.2288aa@zarabota.nl</v>
      </c>
      <c r="Y327" s="6" t="str">
        <f>IFERROR(__xludf.DUMMYFUNCTION("""COMPUTED_VALUE"""),"Hr.")</f>
        <v>Hr.</v>
      </c>
      <c r="Z327" s="6" t="str">
        <f>IFERROR(__xludf.DUMMYFUNCTION("""COMPUTED_VALUE"""),"Mohammed Tajjiou")</f>
        <v>Mohammed Tajjiou</v>
      </c>
      <c r="AA327" s="6" t="str">
        <f>IFERROR(__xludf.DUMMYFUNCTION("""COMPUTED_VALUE"""),"Tajjiou")</f>
        <v>Tajjiou</v>
      </c>
      <c r="AB327" s="6" t="str">
        <f>IFERROR(__xludf.DUMMYFUNCTION("""COMPUTED_VALUE"""),"M.T.")</f>
        <v>M.T.</v>
      </c>
      <c r="AC327" s="6">
        <f>IFERROR(__xludf.DUMMYFUNCTION("""COMPUTED_VALUE"""),4.41334271E8)</f>
        <v>441334271</v>
      </c>
      <c r="AD327" s="9">
        <f>IFERROR(__xludf.DUMMYFUNCTION("""COMPUTED_VALUE"""),27769.0)</f>
        <v>27769</v>
      </c>
      <c r="AE327" s="6" t="str">
        <f>IFERROR(__xludf.DUMMYFUNCTION("""COMPUTED_VALUE"""),"bg")</f>
        <v>bg</v>
      </c>
      <c r="AF327" s="6" t="str">
        <f>IFERROR(__xludf.DUMMYFUNCTION("""COMPUTED_VALUE"""),"Kebdana")</f>
        <v>Kebdana</v>
      </c>
      <c r="AG327" s="6" t="str">
        <f>IFERROR(__xludf.DUMMYFUNCTION("""COMPUTED_VALUE"""),"Hr. M.T. Tajjiou")</f>
        <v>Hr. M.T. Tajjiou</v>
      </c>
      <c r="AH327" s="6"/>
      <c r="AI327" s="6"/>
      <c r="AJ327" s="6" t="str">
        <f>IFERROR(__xludf.DUMMYFUNCTION("""COMPUTED_VALUE"""),"ID Kaart")</f>
        <v>ID Kaart</v>
      </c>
      <c r="AK327" s="6" t="str">
        <f>IFERROR(__xludf.DUMMYFUNCTION("""COMPUTED_VALUE"""),"41604915P")</f>
        <v>41604915P</v>
      </c>
      <c r="AL327" s="9">
        <f>IFERROR(__xludf.DUMMYFUNCTION("""COMPUTED_VALUE"""),47402.0)</f>
        <v>47402</v>
      </c>
      <c r="AM327" s="6" t="str">
        <f>IFERROR(__xludf.DUMMYFUNCTION("""COMPUTED_VALUE"""),"Bulgarije")</f>
        <v>Bulgarije</v>
      </c>
      <c r="AN327" s="6" t="str">
        <f>IFERROR(__xludf.DUMMYFUNCTION("""COMPUTED_VALUE"""),"Mohammed Tajjiou Tajjiou")</f>
        <v>Mohammed Tajjiou Tajjiou</v>
      </c>
      <c r="AO327" s="6">
        <f>IFERROR(__xludf.DUMMYFUNCTION("""COMPUTED_VALUE"""),1459.0)</f>
        <v>1459</v>
      </c>
    </row>
    <row r="328">
      <c r="A328" s="6" t="str">
        <f>IFERROR(__xludf.DUMMYFUNCTION("""COMPUTED_VALUE"""),"Mus Best")</f>
        <v>Mus Best</v>
      </c>
      <c r="B328" s="6" t="str">
        <f>IFERROR(__xludf.DUMMYFUNCTION("""COMPUTED_VALUE"""),"Mus Best")</f>
        <v>Mus Best</v>
      </c>
      <c r="C328" s="6">
        <f>IFERROR(__xludf.DUMMYFUNCTION("""COMPUTED_VALUE"""),505.0)</f>
        <v>505</v>
      </c>
      <c r="D328" s="7" t="str">
        <f>IFERROR(__xludf.DUMMYFUNCTION("""COMPUTED_VALUE"""),"Krasimir Alekov Dzhivgov")</f>
        <v>Krasimir Alekov Dzhivgov</v>
      </c>
      <c r="E328" s="7" t="str">
        <f>IFERROR(__xludf.DUMMYFUNCTION("""COMPUTED_VALUE"""),"SBI-code: 0161 - Dienstverlening voor de akker- en/of tuinbouw")</f>
        <v>SBI-code: 0161 - Dienstverlening voor de akker- en/of tuinbouw</v>
      </c>
      <c r="F328" s="7" t="str">
        <f>IFERROR(__xludf.DUMMYFUNCTION("""COMPUTED_VALUE"""),"0634193514")</f>
        <v>0634193514</v>
      </c>
      <c r="G328" s="6" t="str">
        <f>IFERROR(__xludf.DUMMYFUNCTION("""COMPUTED_VALUE"""),"krasimirdzhivgov1971@gmail.com")</f>
        <v>krasimirdzhivgov1971@gmail.com</v>
      </c>
      <c r="H328" s="6" t="str">
        <f>IFERROR(__xludf.DUMMYFUNCTION("""COMPUTED_VALUE"""),"Groenesteinstraat 12")</f>
        <v>Groenesteinstraat 12</v>
      </c>
      <c r="I328" s="6" t="str">
        <f>IFERROR(__xludf.DUMMYFUNCTION("""COMPUTED_VALUE"""),"2512SK")</f>
        <v>2512SK</v>
      </c>
      <c r="J328" s="6" t="str">
        <f>IFERROR(__xludf.DUMMYFUNCTION("""COMPUTED_VALUE"""),"s-Gravenhage")</f>
        <v>s-Gravenhage</v>
      </c>
      <c r="K328" s="6" t="str">
        <f>IFERROR(__xludf.DUMMYFUNCTION("""COMPUTED_VALUE"""),"Nederland")</f>
        <v>Nederland</v>
      </c>
      <c r="L328" s="6" t="str">
        <f>IFERROR(__xludf.DUMMYFUNCTION("""COMPUTED_VALUE"""),"Дживгов")</f>
        <v>Дживгов</v>
      </c>
      <c r="M328" s="8">
        <f>IFERROR(__xludf.DUMMYFUNCTION("""COMPUTED_VALUE"""),43175.0)</f>
        <v>43175</v>
      </c>
      <c r="N328" s="6" t="str">
        <f>IFERROR(__xludf.DUMMYFUNCTION("""COMPUTED_VALUE"""),"NL264049822B02")</f>
        <v>NL264049822B02</v>
      </c>
      <c r="O328" s="6">
        <f>IFERROR(__xludf.DUMMYFUNCTION("""COMPUTED_VALUE"""),2.7301926E7)</f>
        <v>27301926</v>
      </c>
      <c r="P328" s="6" t="str">
        <f>IFERROR(__xludf.DUMMYFUNCTION("""COMPUTED_VALUE"""),"NL09INGB0003391172")</f>
        <v>NL09INGB0003391172</v>
      </c>
      <c r="Q328" s="9">
        <f>IFERROR(__xludf.DUMMYFUNCTION("""COMPUTED_VALUE"""),39244.0)</f>
        <v>39244</v>
      </c>
      <c r="R328" s="6"/>
      <c r="S328" s="6" t="str">
        <f>IFERROR(__xludf.DUMMYFUNCTION("""COMPUTED_VALUE"""),"NL002455780B85")</f>
        <v>NL002455780B85</v>
      </c>
      <c r="T328" s="6">
        <f>IFERROR(__xludf.DUMMYFUNCTION("""COMPUTED_VALUE"""),2.64049822E8)</f>
        <v>264049822</v>
      </c>
      <c r="U328" s="7" t="str">
        <f>IFERROR(__xludf.DUMMYFUNCTION("""COMPUTED_VALUE"""),"Eenmanszaak")</f>
        <v>Eenmanszaak</v>
      </c>
      <c r="V328" s="7" t="str">
        <f>IFERROR(__xludf.DUMMYFUNCTION("""COMPUTED_VALUE"""),"000015426785")</f>
        <v>000015426785</v>
      </c>
      <c r="W328" s="6" t="str">
        <f>IFERROR(__xludf.DUMMYFUNCTION("""COMPUTED_VALUE"""),"ink.musbest.2288aa@zarabota.nl")</f>
        <v>ink.musbest.2288aa@zarabota.nl</v>
      </c>
      <c r="X328" s="6" t="str">
        <f>IFERROR(__xludf.DUMMYFUNCTION("""COMPUTED_VALUE"""),"ver.musbest.2288aa@zarabota.nl")</f>
        <v>ver.musbest.2288aa@zarabota.nl</v>
      </c>
      <c r="Y328" s="6" t="str">
        <f>IFERROR(__xludf.DUMMYFUNCTION("""COMPUTED_VALUE"""),"Hr.")</f>
        <v>Hr.</v>
      </c>
      <c r="Z328" s="6" t="str">
        <f>IFERROR(__xludf.DUMMYFUNCTION("""COMPUTED_VALUE"""),"Krasimir Alekov")</f>
        <v>Krasimir Alekov</v>
      </c>
      <c r="AA328" s="6" t="str">
        <f>IFERROR(__xludf.DUMMYFUNCTION("""COMPUTED_VALUE"""),"Dzhivgov")</f>
        <v>Dzhivgov</v>
      </c>
      <c r="AB328" s="6" t="str">
        <f>IFERROR(__xludf.DUMMYFUNCTION("""COMPUTED_VALUE"""),"K.A.")</f>
        <v>K.A.</v>
      </c>
      <c r="AC328" s="6">
        <f>IFERROR(__xludf.DUMMYFUNCTION("""COMPUTED_VALUE"""),2.64049822E8)</f>
        <v>264049822</v>
      </c>
      <c r="AD328" s="9">
        <f>IFERROR(__xludf.DUMMYFUNCTION("""COMPUTED_VALUE"""),25998.0)</f>
        <v>25998</v>
      </c>
      <c r="AE328" s="6" t="str">
        <f>IFERROR(__xludf.DUMMYFUNCTION("""COMPUTED_VALUE"""),"bg")</f>
        <v>bg</v>
      </c>
      <c r="AF328" s="6" t="str">
        <f>IFERROR(__xludf.DUMMYFUNCTION("""COMPUTED_VALUE"""),"Tsvetino")</f>
        <v>Tsvetino</v>
      </c>
      <c r="AG328" s="6" t="str">
        <f>IFERROR(__xludf.DUMMYFUNCTION("""COMPUTED_VALUE"""),"Hr. K.A. Dzhivgov")</f>
        <v>Hr. K.A. Dzhivgov</v>
      </c>
      <c r="AH328" s="6" t="str">
        <f>IFERROR(__xludf.DUMMYFUNCTION("""COMPUTED_VALUE"""),"NL37INGB0004074227")</f>
        <v>NL37INGB0004074227</v>
      </c>
      <c r="AI328" s="6"/>
      <c r="AJ328" s="6"/>
      <c r="AK328" s="6"/>
      <c r="AL328" s="6"/>
      <c r="AM328" s="6"/>
      <c r="AN328" s="6" t="str">
        <f>IFERROR(__xludf.DUMMYFUNCTION("""COMPUTED_VALUE"""),"Krasimir Alekov Dzhivgov")</f>
        <v>Krasimir Alekov Dzhivgov</v>
      </c>
      <c r="AO328" s="6"/>
    </row>
    <row r="329">
      <c r="A329" s="6" t="str">
        <f>IFERROR(__xludf.DUMMYFUNCTION("""COMPUTED_VALUE"""),"Musa Dienstverlening")</f>
        <v>Musa Dienstverlening</v>
      </c>
      <c r="B329" s="6" t="str">
        <f>IFERROR(__xludf.DUMMYFUNCTION("""COMPUTED_VALUE"""),"Musa Dienstverlening")</f>
        <v>Musa Dienstverlening</v>
      </c>
      <c r="C329" s="6">
        <f>IFERROR(__xludf.DUMMYFUNCTION("""COMPUTED_VALUE"""),846.0)</f>
        <v>846</v>
      </c>
      <c r="D329" s="7" t="str">
        <f>IFERROR(__xludf.DUMMYFUNCTION("""COMPUTED_VALUE"""),"Musa Salih Mehmed")</f>
        <v>Musa Salih Mehmed</v>
      </c>
      <c r="E329" s="7" t="str">
        <f>IFERROR(__xludf.DUMMYFUNCTION("""COMPUTED_VALUE"""),"SBI-code: 4120 - Algemene burgerlijke en utiliteitsbouw")</f>
        <v>SBI-code: 4120 - Algemene burgerlijke en utiliteitsbouw</v>
      </c>
      <c r="F329" s="7" t="str">
        <f>IFERROR(__xludf.DUMMYFUNCTION("""COMPUTED_VALUE"""),"0657500786")</f>
        <v>0657500786</v>
      </c>
      <c r="G329" s="6" t="str">
        <f>IFERROR(__xludf.DUMMYFUNCTION("""COMPUTED_VALUE"""),"musa.mehmed1990@gmail.com")</f>
        <v>musa.mehmed1990@gmail.com</v>
      </c>
      <c r="H329" s="6" t="str">
        <f>IFERROR(__xludf.DUMMYFUNCTION("""COMPUTED_VALUE"""),"Vollevensstraat 26")</f>
        <v>Vollevensstraat 26</v>
      </c>
      <c r="I329" s="6" t="str">
        <f>IFERROR(__xludf.DUMMYFUNCTION("""COMPUTED_VALUE"""),"2525VS")</f>
        <v>2525VS</v>
      </c>
      <c r="J329" s="6" t="str">
        <f>IFERROR(__xludf.DUMMYFUNCTION("""COMPUTED_VALUE"""),"s-Gravenhage")</f>
        <v>s-Gravenhage</v>
      </c>
      <c r="K329" s="6" t="str">
        <f>IFERROR(__xludf.DUMMYFUNCTION("""COMPUTED_VALUE"""),"Nederland")</f>
        <v>Nederland</v>
      </c>
      <c r="L329" s="6" t="str">
        <f>IFERROR(__xludf.DUMMYFUNCTION("""COMPUTED_VALUE"""),"Мехмед")</f>
        <v>Мехмед</v>
      </c>
      <c r="M329" s="8">
        <f>IFERROR(__xludf.DUMMYFUNCTION("""COMPUTED_VALUE"""),43661.0)</f>
        <v>43661</v>
      </c>
      <c r="N329" s="6" t="str">
        <f>IFERROR(__xludf.DUMMYFUNCTION("""COMPUTED_VALUE"""),"NL336508761B01")</f>
        <v>NL336508761B01</v>
      </c>
      <c r="O329" s="6">
        <f>IFERROR(__xludf.DUMMYFUNCTION("""COMPUTED_VALUE"""),7.5363402E7)</f>
        <v>75363402</v>
      </c>
      <c r="P329" s="6" t="str">
        <f>IFERROR(__xludf.DUMMYFUNCTION("""COMPUTED_VALUE"""),"NL04INGB0009449106")</f>
        <v>NL04INGB0009449106</v>
      </c>
      <c r="Q329" s="9">
        <f>IFERROR(__xludf.DUMMYFUNCTION("""COMPUTED_VALUE"""),43661.0)</f>
        <v>43661</v>
      </c>
      <c r="R329" s="6"/>
      <c r="S329" s="6" t="str">
        <f>IFERROR(__xludf.DUMMYFUNCTION("""COMPUTED_VALUE"""),"NL002470571B50")</f>
        <v>NL002470571B50</v>
      </c>
      <c r="T329" s="6">
        <f>IFERROR(__xludf.DUMMYFUNCTION("""COMPUTED_VALUE"""),3.36508761E8)</f>
        <v>336508761</v>
      </c>
      <c r="U329" s="7" t="str">
        <f>IFERROR(__xludf.DUMMYFUNCTION("""COMPUTED_VALUE"""),"Eenmanszaak")</f>
        <v>Eenmanszaak</v>
      </c>
      <c r="V329" s="7" t="str">
        <f>IFERROR(__xludf.DUMMYFUNCTION("""COMPUTED_VALUE"""),"000043237355")</f>
        <v>000043237355</v>
      </c>
      <c r="W329" s="6" t="str">
        <f>IFERROR(__xludf.DUMMYFUNCTION("""COMPUTED_VALUE"""),"ink.musadienstverlening.2288aa@zarabota.nl")</f>
        <v>ink.musadienstverlening.2288aa@zarabota.nl</v>
      </c>
      <c r="X329" s="6" t="str">
        <f>IFERROR(__xludf.DUMMYFUNCTION("""COMPUTED_VALUE"""),"ver.musadienstverlening.2288aa@zarabota.nl")</f>
        <v>ver.musadienstverlening.2288aa@zarabota.nl</v>
      </c>
      <c r="Y329" s="6" t="str">
        <f>IFERROR(__xludf.DUMMYFUNCTION("""COMPUTED_VALUE"""),"Hr.")</f>
        <v>Hr.</v>
      </c>
      <c r="Z329" s="6" t="str">
        <f>IFERROR(__xludf.DUMMYFUNCTION("""COMPUTED_VALUE"""),"Musa Salih")</f>
        <v>Musa Salih</v>
      </c>
      <c r="AA329" s="6" t="str">
        <f>IFERROR(__xludf.DUMMYFUNCTION("""COMPUTED_VALUE"""),"Mehmed")</f>
        <v>Mehmed</v>
      </c>
      <c r="AB329" s="6" t="str">
        <f>IFERROR(__xludf.DUMMYFUNCTION("""COMPUTED_VALUE"""),"M.S.")</f>
        <v>M.S.</v>
      </c>
      <c r="AC329" s="6">
        <f>IFERROR(__xludf.DUMMYFUNCTION("""COMPUTED_VALUE"""),3.36508761E8)</f>
        <v>336508761</v>
      </c>
      <c r="AD329" s="9">
        <f>IFERROR(__xludf.DUMMYFUNCTION("""COMPUTED_VALUE"""),33009.0)</f>
        <v>33009</v>
      </c>
      <c r="AE329" s="6" t="str">
        <f>IFERROR(__xludf.DUMMYFUNCTION("""COMPUTED_VALUE"""),"bg")</f>
        <v>bg</v>
      </c>
      <c r="AF329" s="6" t="str">
        <f>IFERROR(__xludf.DUMMYFUNCTION("""COMPUTED_VALUE"""),"Popovo")</f>
        <v>Popovo</v>
      </c>
      <c r="AG329" s="6" t="str">
        <f>IFERROR(__xludf.DUMMYFUNCTION("""COMPUTED_VALUE"""),"Hr. M.S. Mehmed")</f>
        <v>Hr. M.S. Mehmed</v>
      </c>
      <c r="AH329" s="6" t="str">
        <f>IFERROR(__xludf.DUMMYFUNCTION("""COMPUTED_VALUE"""),"NL37INGB0792851358")</f>
        <v>NL37INGB0792851358</v>
      </c>
      <c r="AI329" s="6"/>
      <c r="AJ329" s="6" t="str">
        <f>IFERROR(__xludf.DUMMYFUNCTION("""COMPUTED_VALUE"""),"ID Kaart")</f>
        <v>ID Kaart</v>
      </c>
      <c r="AK329" s="6">
        <f>IFERROR(__xludf.DUMMYFUNCTION("""COMPUTED_VALUE"""),6.48271525E8)</f>
        <v>648271525</v>
      </c>
      <c r="AL329" s="9">
        <f>IFERROR(__xludf.DUMMYFUNCTION("""COMPUTED_VALUE"""),47288.0)</f>
        <v>47288</v>
      </c>
      <c r="AM329" s="6"/>
      <c r="AN329" s="6" t="str">
        <f>IFERROR(__xludf.DUMMYFUNCTION("""COMPUTED_VALUE"""),"Musa Salih Mehmed")</f>
        <v>Musa Salih Mehmed</v>
      </c>
      <c r="AO329" s="6"/>
    </row>
    <row r="330">
      <c r="A330" s="6" t="str">
        <f>IFERROR(__xludf.DUMMYFUNCTION("""COMPUTED_VALUE"""),"Muzyka Klusbedrijf")</f>
        <v>Muzyka Klusbedrijf</v>
      </c>
      <c r="B330" s="6" t="str">
        <f>IFERROR(__xludf.DUMMYFUNCTION("""COMPUTED_VALUE"""),"Muzyka Klusbedrijf")</f>
        <v>Muzyka Klusbedrijf</v>
      </c>
      <c r="C330" s="6">
        <f>IFERROR(__xludf.DUMMYFUNCTION("""COMPUTED_VALUE"""),1503.0)</f>
        <v>1503</v>
      </c>
      <c r="D330" s="7" t="str">
        <f>IFERROR(__xludf.DUMMYFUNCTION("""COMPUTED_VALUE"""),"Vasyl Muzyka")</f>
        <v>Vasyl Muzyka</v>
      </c>
      <c r="E330" s="7" t="str">
        <f>IFERROR(__xludf.DUMMYFUNCTION("""COMPUTED_VALUE"""),"SBI-code: 4120 - Algemene burgerlijke en utiliteitsbouw")</f>
        <v>SBI-code: 4120 - Algemene burgerlijke en utiliteitsbouw</v>
      </c>
      <c r="F330" s="7" t="str">
        <f>IFERROR(__xludf.DUMMYFUNCTION("""COMPUTED_VALUE"""),"0617721731")</f>
        <v>0617721731</v>
      </c>
      <c r="G330" s="6" t="str">
        <f>IFERROR(__xludf.DUMMYFUNCTION("""COMPUTED_VALUE"""),"vasylmuzyka2@gmail.com")</f>
        <v>vasylmuzyka2@gmail.com</v>
      </c>
      <c r="H330" s="6" t="str">
        <f>IFERROR(__xludf.DUMMYFUNCTION("""COMPUTED_VALUE"""),"Elspeetstraat 17")</f>
        <v>Elspeetstraat 17</v>
      </c>
      <c r="I330" s="6" t="str">
        <f>IFERROR(__xludf.DUMMYFUNCTION("""COMPUTED_VALUE"""),"2573HM")</f>
        <v>2573HM</v>
      </c>
      <c r="J330" s="6" t="str">
        <f>IFERROR(__xludf.DUMMYFUNCTION("""COMPUTED_VALUE"""),"s-Gravenhage")</f>
        <v>s-Gravenhage</v>
      </c>
      <c r="K330" s="6" t="str">
        <f>IFERROR(__xludf.DUMMYFUNCTION("""COMPUTED_VALUE"""),"Nederland")</f>
        <v>Nederland</v>
      </c>
      <c r="L330" s="6" t="str">
        <f>IFERROR(__xludf.DUMMYFUNCTION("""COMPUTED_VALUE"""),"Музика")</f>
        <v>Музика</v>
      </c>
      <c r="M330" s="8">
        <f>IFERROR(__xludf.DUMMYFUNCTION("""COMPUTED_VALUE"""),45065.0)</f>
        <v>45065</v>
      </c>
      <c r="N330" s="6" t="str">
        <f>IFERROR(__xludf.DUMMYFUNCTION("""COMPUTED_VALUE"""),"NL659714577B01")</f>
        <v>NL659714577B01</v>
      </c>
      <c r="O330" s="6">
        <f>IFERROR(__xludf.DUMMYFUNCTION("""COMPUTED_VALUE"""),9.024664E7)</f>
        <v>90246640</v>
      </c>
      <c r="P330" s="6" t="str">
        <f>IFERROR(__xludf.DUMMYFUNCTION("""COMPUTED_VALUE"""),"NL21INGB0100396291")</f>
        <v>NL21INGB0100396291</v>
      </c>
      <c r="Q330" s="9">
        <f>IFERROR(__xludf.DUMMYFUNCTION("""COMPUTED_VALUE"""),45065.0)</f>
        <v>45065</v>
      </c>
      <c r="R330" s="6"/>
      <c r="S330" s="6" t="str">
        <f>IFERROR(__xludf.DUMMYFUNCTION("""COMPUTED_VALUE"""),"NL004799200B15")</f>
        <v>NL004799200B15</v>
      </c>
      <c r="T330" s="6">
        <f>IFERROR(__xludf.DUMMYFUNCTION("""COMPUTED_VALUE"""),6.59714577E8)</f>
        <v>659714577</v>
      </c>
      <c r="U330" s="7" t="str">
        <f>IFERROR(__xludf.DUMMYFUNCTION("""COMPUTED_VALUE"""),"Eenmanszaak")</f>
        <v>Eenmanszaak</v>
      </c>
      <c r="V330" s="7" t="str">
        <f>IFERROR(__xludf.DUMMYFUNCTION("""COMPUTED_VALUE"""),"000055987583")</f>
        <v>000055987583</v>
      </c>
      <c r="W330" s="6" t="str">
        <f>IFERROR(__xludf.DUMMYFUNCTION("""COMPUTED_VALUE"""),"ink.muzyka.2288aa@zarabota.nl")</f>
        <v>ink.muzyka.2288aa@zarabota.nl</v>
      </c>
      <c r="X330" s="6" t="str">
        <f>IFERROR(__xludf.DUMMYFUNCTION("""COMPUTED_VALUE"""),"ver.muzyka.2288aa@zarabota.nl")</f>
        <v>ver.muzyka.2288aa@zarabota.nl</v>
      </c>
      <c r="Y330" s="6" t="str">
        <f>IFERROR(__xludf.DUMMYFUNCTION("""COMPUTED_VALUE"""),"Hr.")</f>
        <v>Hr.</v>
      </c>
      <c r="Z330" s="6" t="str">
        <f>IFERROR(__xludf.DUMMYFUNCTION("""COMPUTED_VALUE"""),"Vasyl")</f>
        <v>Vasyl</v>
      </c>
      <c r="AA330" s="6" t="str">
        <f>IFERROR(__xludf.DUMMYFUNCTION("""COMPUTED_VALUE"""),"Muzyka")</f>
        <v>Muzyka</v>
      </c>
      <c r="AB330" s="6" t="str">
        <f>IFERROR(__xludf.DUMMYFUNCTION("""COMPUTED_VALUE"""),"V.")</f>
        <v>V.</v>
      </c>
      <c r="AC330" s="6">
        <f>IFERROR(__xludf.DUMMYFUNCTION("""COMPUTED_VALUE"""),6.59714577E8)</f>
        <v>659714577</v>
      </c>
      <c r="AD330" s="9">
        <f>IFERROR(__xludf.DUMMYFUNCTION("""COMPUTED_VALUE"""),26668.0)</f>
        <v>26668</v>
      </c>
      <c r="AE330" s="6" t="str">
        <f>IFERROR(__xludf.DUMMYFUNCTION("""COMPUTED_VALUE"""),"bg")</f>
        <v>bg</v>
      </c>
      <c r="AF330" s="6">
        <f>IFERROR(__xludf.DUMMYFUNCTION("""COMPUTED_VALUE"""),4601.0)</f>
        <v>4601</v>
      </c>
      <c r="AG330" s="6" t="str">
        <f>IFERROR(__xludf.DUMMYFUNCTION("""COMPUTED_VALUE"""),"Hr. V. Muzyka")</f>
        <v>Hr. V. Muzyka</v>
      </c>
      <c r="AH330" s="6" t="str">
        <f>IFERROR(__xludf.DUMMYFUNCTION("""COMPUTED_VALUE"""),"NL71ABNA0110813634")</f>
        <v>NL71ABNA0110813634</v>
      </c>
      <c r="AI330" s="6"/>
      <c r="AJ330" s="6" t="str">
        <f>IFERROR(__xludf.DUMMYFUNCTION("""COMPUTED_VALUE"""),"Paspoort")</f>
        <v>Paspoort</v>
      </c>
      <c r="AK330" s="6" t="str">
        <f>IFERROR(__xludf.DUMMYFUNCTION("""COMPUTED_VALUE"""),"FF489725")</f>
        <v>FF489725</v>
      </c>
      <c r="AL330" s="9">
        <f>IFERROR(__xludf.DUMMYFUNCTION("""COMPUTED_VALUE"""),46400.0)</f>
        <v>46400</v>
      </c>
      <c r="AM330" s="6" t="str">
        <f>IFERROR(__xludf.DUMMYFUNCTION("""COMPUTED_VALUE"""),"Rusland")</f>
        <v>Rusland</v>
      </c>
      <c r="AN330" s="6" t="str">
        <f>IFERROR(__xludf.DUMMYFUNCTION("""COMPUTED_VALUE"""),"Vasyl Muzyka")</f>
        <v>Vasyl Muzyka</v>
      </c>
      <c r="AO330" s="6">
        <f>IFERROR(__xludf.DUMMYFUNCTION("""COMPUTED_VALUE"""),1503.0)</f>
        <v>1503</v>
      </c>
    </row>
    <row r="331">
      <c r="A331" s="6" t="str">
        <f>IFERROR(__xludf.DUMMYFUNCTION("""COMPUTED_VALUE"""),"Mye Bouw")</f>
        <v>Mye Bouw</v>
      </c>
      <c r="B331" s="6" t="str">
        <f>IFERROR(__xludf.DUMMYFUNCTION("""COMPUTED_VALUE"""),"Mye Bouw")</f>
        <v>Mye Bouw</v>
      </c>
      <c r="C331" s="6">
        <f>IFERROR(__xludf.DUMMYFUNCTION("""COMPUTED_VALUE"""),512.0)</f>
        <v>512</v>
      </c>
      <c r="D331" s="7" t="str">
        <f>IFERROR(__xludf.DUMMYFUNCTION("""COMPUTED_VALUE"""),"Myumyun Yalmaz Emin")</f>
        <v>Myumyun Yalmaz Emin</v>
      </c>
      <c r="E331" s="7" t="str">
        <f>IFERROR(__xludf.DUMMYFUNCTION("""COMPUTED_VALUE"""),"SBI-code: 4120 - Algemene burgerlijke en utiliteitsbouw")</f>
        <v>SBI-code: 4120 - Algemene burgerlijke en utiliteitsbouw</v>
      </c>
      <c r="F331" s="7" t="str">
        <f>IFERROR(__xludf.DUMMYFUNCTION("""COMPUTED_VALUE"""),"0618678089")</f>
        <v>0618678089</v>
      </c>
      <c r="G331" s="6" t="str">
        <f>IFERROR(__xludf.DUMMYFUNCTION("""COMPUTED_VALUE"""),"mumun.emin@mail.bg")</f>
        <v>mumun.emin@mail.bg</v>
      </c>
      <c r="H331" s="6" t="str">
        <f>IFERROR(__xludf.DUMMYFUNCTION("""COMPUTED_VALUE"""),"Barneveldstraat 17")</f>
        <v>Barneveldstraat 17</v>
      </c>
      <c r="I331" s="6" t="str">
        <f>IFERROR(__xludf.DUMMYFUNCTION("""COMPUTED_VALUE"""),"2573WB")</f>
        <v>2573WB</v>
      </c>
      <c r="J331" s="6" t="str">
        <f>IFERROR(__xludf.DUMMYFUNCTION("""COMPUTED_VALUE"""),"s-Gravenhage")</f>
        <v>s-Gravenhage</v>
      </c>
      <c r="K331" s="6" t="str">
        <f>IFERROR(__xludf.DUMMYFUNCTION("""COMPUTED_VALUE"""),"Nederland")</f>
        <v>Nederland</v>
      </c>
      <c r="L331" s="6" t="str">
        <f>IFERROR(__xludf.DUMMYFUNCTION("""COMPUTED_VALUE"""),"Емин")</f>
        <v>Емин</v>
      </c>
      <c r="M331" s="8">
        <f>IFERROR(__xludf.DUMMYFUNCTION("""COMPUTED_VALUE"""),43132.0)</f>
        <v>43132</v>
      </c>
      <c r="N331" s="6" t="str">
        <f>IFERROR(__xludf.DUMMYFUNCTION("""COMPUTED_VALUE"""),"NL561820508B01")</f>
        <v>NL561820508B01</v>
      </c>
      <c r="O331" s="6">
        <f>IFERROR(__xludf.DUMMYFUNCTION("""COMPUTED_VALUE"""),7.0863938E7)</f>
        <v>70863938</v>
      </c>
      <c r="P331" s="6" t="str">
        <f>IFERROR(__xludf.DUMMYFUNCTION("""COMPUTED_VALUE"""),"NL96INGB0008235629")</f>
        <v>NL96INGB0008235629</v>
      </c>
      <c r="Q331" s="9">
        <f>IFERROR(__xludf.DUMMYFUNCTION("""COMPUTED_VALUE"""),43132.0)</f>
        <v>43132</v>
      </c>
      <c r="R331" s="6"/>
      <c r="S331" s="6" t="str">
        <f>IFERROR(__xludf.DUMMYFUNCTION("""COMPUTED_VALUE"""),"NL002499594B64")</f>
        <v>NL002499594B64</v>
      </c>
      <c r="T331" s="6">
        <f>IFERROR(__xludf.DUMMYFUNCTION("""COMPUTED_VALUE"""),5.61820508E8)</f>
        <v>561820508</v>
      </c>
      <c r="U331" s="7" t="str">
        <f>IFERROR(__xludf.DUMMYFUNCTION("""COMPUTED_VALUE"""),"Eenmanszaak")</f>
        <v>Eenmanszaak</v>
      </c>
      <c r="V331" s="7" t="str">
        <f>IFERROR(__xludf.DUMMYFUNCTION("""COMPUTED_VALUE"""),"000039096815")</f>
        <v>000039096815</v>
      </c>
      <c r="W331" s="6" t="str">
        <f>IFERROR(__xludf.DUMMYFUNCTION("""COMPUTED_VALUE"""),"ink.myebouw.2288aa@zarabota.nl")</f>
        <v>ink.myebouw.2288aa@zarabota.nl</v>
      </c>
      <c r="X331" s="6" t="str">
        <f>IFERROR(__xludf.DUMMYFUNCTION("""COMPUTED_VALUE"""),"ver.myebouw.2288aa@zarabota.nl")</f>
        <v>ver.myebouw.2288aa@zarabota.nl</v>
      </c>
      <c r="Y331" s="6" t="str">
        <f>IFERROR(__xludf.DUMMYFUNCTION("""COMPUTED_VALUE"""),"Hr.")</f>
        <v>Hr.</v>
      </c>
      <c r="Z331" s="6" t="str">
        <f>IFERROR(__xludf.DUMMYFUNCTION("""COMPUTED_VALUE"""),"Myumyun Yalmaz")</f>
        <v>Myumyun Yalmaz</v>
      </c>
      <c r="AA331" s="6" t="str">
        <f>IFERROR(__xludf.DUMMYFUNCTION("""COMPUTED_VALUE"""),"Emin")</f>
        <v>Emin</v>
      </c>
      <c r="AB331" s="6" t="str">
        <f>IFERROR(__xludf.DUMMYFUNCTION("""COMPUTED_VALUE"""),"M.Y.")</f>
        <v>M.Y.</v>
      </c>
      <c r="AC331" s="6">
        <f>IFERROR(__xludf.DUMMYFUNCTION("""COMPUTED_VALUE"""),5.61820508E8)</f>
        <v>561820508</v>
      </c>
      <c r="AD331" s="9">
        <f>IFERROR(__xludf.DUMMYFUNCTION("""COMPUTED_VALUE"""),32528.0)</f>
        <v>32528</v>
      </c>
      <c r="AE331" s="6" t="str">
        <f>IFERROR(__xludf.DUMMYFUNCTION("""COMPUTED_VALUE"""),"bg")</f>
        <v>bg</v>
      </c>
      <c r="AF331" s="6"/>
      <c r="AG331" s="6" t="str">
        <f>IFERROR(__xludf.DUMMYFUNCTION("""COMPUTED_VALUE"""),"Hr. M.Y. Emin")</f>
        <v>Hr. M.Y. Emin</v>
      </c>
      <c r="AH331" s="6"/>
      <c r="AI331" s="6"/>
      <c r="AJ331" s="6"/>
      <c r="AK331" s="6"/>
      <c r="AL331" s="6"/>
      <c r="AM331" s="6"/>
      <c r="AN331" s="6" t="str">
        <f>IFERROR(__xludf.DUMMYFUNCTION("""COMPUTED_VALUE"""),"Myumyun Yalmaz Emin")</f>
        <v>Myumyun Yalmaz Emin</v>
      </c>
      <c r="AO331" s="6"/>
    </row>
    <row r="332">
      <c r="A332" s="6" t="str">
        <f>IFERROR(__xludf.DUMMYFUNCTION("""COMPUTED_VALUE"""),"MYG Transport VOF")</f>
        <v>MYG Transport VOF</v>
      </c>
      <c r="B332" s="6" t="str">
        <f>IFERROR(__xludf.DUMMYFUNCTION("""COMPUTED_VALUE"""),"MYG Transport VOF")</f>
        <v>MYG Transport VOF</v>
      </c>
      <c r="C332" s="6">
        <f>IFERROR(__xludf.DUMMYFUNCTION("""COMPUTED_VALUE"""),945.0)</f>
        <v>945</v>
      </c>
      <c r="D332" s="7" t="str">
        <f>IFERROR(__xludf.DUMMYFUNCTION("""COMPUTED_VALUE"""),"Milen Yordanov Gromov")</f>
        <v>Milen Yordanov Gromov</v>
      </c>
      <c r="E332" s="7" t="str">
        <f>IFERROR(__xludf.DUMMYFUNCTION("""COMPUTED_VALUE"""),"SBI-code: 4941 - Goederenvervoer over de weg (geen verhuizingen)")</f>
        <v>SBI-code: 4941 - Goederenvervoer over de weg (geen verhuizingen)</v>
      </c>
      <c r="F332" s="7" t="str">
        <f>IFERROR(__xludf.DUMMYFUNCTION("""COMPUTED_VALUE"""),"0687218975")</f>
        <v>0687218975</v>
      </c>
      <c r="G332" s="6" t="str">
        <f>IFERROR(__xludf.DUMMYFUNCTION("""COMPUTED_VALUE"""),"mygtransport2020@gmail.com")</f>
        <v>mygtransport2020@gmail.com</v>
      </c>
      <c r="H332" s="6" t="str">
        <f>IFERROR(__xludf.DUMMYFUNCTION("""COMPUTED_VALUE"""),"Madroelstraat 75")</f>
        <v>Madroelstraat 75</v>
      </c>
      <c r="I332" s="6" t="str">
        <f>IFERROR(__xludf.DUMMYFUNCTION("""COMPUTED_VALUE"""),"3195AL")</f>
        <v>3195AL</v>
      </c>
      <c r="J332" s="6" t="str">
        <f>IFERROR(__xludf.DUMMYFUNCTION("""COMPUTED_VALUE"""),"Pernis Rotterdam")</f>
        <v>Pernis Rotterdam</v>
      </c>
      <c r="K332" s="6" t="str">
        <f>IFERROR(__xludf.DUMMYFUNCTION("""COMPUTED_VALUE"""),"Nederland")</f>
        <v>Nederland</v>
      </c>
      <c r="L332" s="6" t="str">
        <f>IFERROR(__xludf.DUMMYFUNCTION("""COMPUTED_VALUE"""),"Громов")</f>
        <v>Громов</v>
      </c>
      <c r="M332" s="8">
        <f>IFERROR(__xludf.DUMMYFUNCTION("""COMPUTED_VALUE"""),43891.0)</f>
        <v>43891</v>
      </c>
      <c r="N332" s="6" t="str">
        <f>IFERROR(__xludf.DUMMYFUNCTION("""COMPUTED_VALUE"""),"NL868997614B01")</f>
        <v>NL868997614B01</v>
      </c>
      <c r="O332" s="6">
        <f>IFERROR(__xludf.DUMMYFUNCTION("""COMPUTED_VALUE"""),9.9451484E7)</f>
        <v>99451484</v>
      </c>
      <c r="P332" s="6" t="str">
        <f>IFERROR(__xludf.DUMMYFUNCTION("""COMPUTED_VALUE"""),"NL48INGB0007017300")</f>
        <v>NL48INGB0007017300</v>
      </c>
      <c r="Q332" s="9">
        <f>IFERROR(__xludf.DUMMYFUNCTION("""COMPUTED_VALUE"""),46023.0)</f>
        <v>46023</v>
      </c>
      <c r="R332" s="6"/>
      <c r="S332" s="6" t="str">
        <f>IFERROR(__xludf.DUMMYFUNCTION("""COMPUTED_VALUE"""),"NL868997614B01")</f>
        <v>NL868997614B01</v>
      </c>
      <c r="T332" s="6">
        <f>IFERROR(__xludf.DUMMYFUNCTION("""COMPUTED_VALUE"""),8.68997614E8)</f>
        <v>868997614</v>
      </c>
      <c r="U332" s="7" t="str">
        <f>IFERROR(__xludf.DUMMYFUNCTION("""COMPUTED_VALUE"""),"Vennootschap Onder Firma")</f>
        <v>Vennootschap Onder Firma</v>
      </c>
      <c r="V332" s="7" t="str">
        <f>IFERROR(__xludf.DUMMYFUNCTION("""COMPUTED_VALUE"""),"000045199892")</f>
        <v>000045199892</v>
      </c>
      <c r="W332" s="6" t="str">
        <f>IFERROR(__xludf.DUMMYFUNCTION("""COMPUTED_VALUE"""),"ink.mygtransport.2288aa@zarabota.nl")</f>
        <v>ink.mygtransport.2288aa@zarabota.nl</v>
      </c>
      <c r="X332" s="6" t="str">
        <f>IFERROR(__xludf.DUMMYFUNCTION("""COMPUTED_VALUE"""),"ver.mygtransport.2288aa@zarabota.nl")</f>
        <v>ver.mygtransport.2288aa@zarabota.nl</v>
      </c>
      <c r="Y332" s="6" t="str">
        <f>IFERROR(__xludf.DUMMYFUNCTION("""COMPUTED_VALUE"""),"Hr.")</f>
        <v>Hr.</v>
      </c>
      <c r="Z332" s="6" t="str">
        <f>IFERROR(__xludf.DUMMYFUNCTION("""COMPUTED_VALUE"""),"Milen Yordanov")</f>
        <v>Milen Yordanov</v>
      </c>
      <c r="AA332" s="6" t="str">
        <f>IFERROR(__xludf.DUMMYFUNCTION("""COMPUTED_VALUE"""),"Gromov")</f>
        <v>Gromov</v>
      </c>
      <c r="AB332" s="6" t="str">
        <f>IFERROR(__xludf.DUMMYFUNCTION("""COMPUTED_VALUE"""),"M.Y.")</f>
        <v>M.Y.</v>
      </c>
      <c r="AC332" s="6">
        <f>IFERROR(__xludf.DUMMYFUNCTION("""COMPUTED_VALUE"""),6.41236347E8)</f>
        <v>641236347</v>
      </c>
      <c r="AD332" s="9">
        <f>IFERROR(__xludf.DUMMYFUNCTION("""COMPUTED_VALUE"""),26856.0)</f>
        <v>26856</v>
      </c>
      <c r="AE332" s="6" t="str">
        <f>IFERROR(__xludf.DUMMYFUNCTION("""COMPUTED_VALUE"""),"bg")</f>
        <v>bg</v>
      </c>
      <c r="AF332" s="6" t="str">
        <f>IFERROR(__xludf.DUMMYFUNCTION("""COMPUTED_VALUE"""),"Sliven")</f>
        <v>Sliven</v>
      </c>
      <c r="AG332" s="6" t="str">
        <f>IFERROR(__xludf.DUMMYFUNCTION("""COMPUTED_VALUE"""),"Hr. M.Y. Gromov")</f>
        <v>Hr. M.Y. Gromov</v>
      </c>
      <c r="AH332" s="6" t="str">
        <f>IFERROR(__xludf.DUMMYFUNCTION("""COMPUTED_VALUE"""),"NL93INGB0797260358")</f>
        <v>NL93INGB0797260358</v>
      </c>
      <c r="AI332" s="6"/>
      <c r="AJ332" s="6" t="str">
        <f>IFERROR(__xludf.DUMMYFUNCTION("""COMPUTED_VALUE"""),"ID Kaart")</f>
        <v>ID Kaart</v>
      </c>
      <c r="AK332" s="6">
        <f>IFERROR(__xludf.DUMMYFUNCTION("""COMPUTED_VALUE"""),6.49140128E8)</f>
        <v>649140128</v>
      </c>
      <c r="AL332" s="9">
        <f>IFERROR(__xludf.DUMMYFUNCTION("""COMPUTED_VALUE"""),44006.0)</f>
        <v>44006</v>
      </c>
      <c r="AM332" s="6" t="str">
        <f>IFERROR(__xludf.DUMMYFUNCTION("""COMPUTED_VALUE"""),"Bulgarije")</f>
        <v>Bulgarije</v>
      </c>
      <c r="AN332" s="6" t="str">
        <f>IFERROR(__xludf.DUMMYFUNCTION("""COMPUTED_VALUE"""),"Milen Yordanov Gromov")</f>
        <v>Milen Yordanov Gromov</v>
      </c>
      <c r="AO332" s="6">
        <f>IFERROR(__xludf.DUMMYFUNCTION("""COMPUTED_VALUE"""),945.0)</f>
        <v>945</v>
      </c>
    </row>
    <row r="333">
      <c r="A333" s="6" t="str">
        <f>IFERROR(__xludf.DUMMYFUNCTION("""COMPUTED_VALUE"""),"Myros")</f>
        <v>Myros</v>
      </c>
      <c r="B333" s="6" t="str">
        <f>IFERROR(__xludf.DUMMYFUNCTION("""COMPUTED_VALUE"""),"Myros")</f>
        <v>Myros</v>
      </c>
      <c r="C333" s="6">
        <f>IFERROR(__xludf.DUMMYFUNCTION("""COMPUTED_VALUE"""),285.0)</f>
        <v>285</v>
      </c>
      <c r="D333" s="7" t="str">
        <f>IFERROR(__xludf.DUMMYFUNCTION("""COMPUTED_VALUE"""),"Mihail Yuriev Yavorov")</f>
        <v>Mihail Yuriev Yavorov</v>
      </c>
      <c r="E333" s="7" t="str">
        <f>IFERROR(__xludf.DUMMYFUNCTION("""COMPUTED_VALUE"""),"SBI-code: 4120 - Algemene burgerlijke en utiliteitsbouw")</f>
        <v>SBI-code: 4120 - Algemene burgerlijke en utiliteitsbouw</v>
      </c>
      <c r="F333" s="7" t="str">
        <f>IFERROR(__xludf.DUMMYFUNCTION("""COMPUTED_VALUE"""),"0628274412")</f>
        <v>0628274412</v>
      </c>
      <c r="G333" s="6" t="str">
        <f>IFERROR(__xludf.DUMMYFUNCTION("""COMPUTED_VALUE"""),"myros.bg@yahoo.com")</f>
        <v>myros.bg@yahoo.com</v>
      </c>
      <c r="H333" s="6" t="str">
        <f>IFERROR(__xludf.DUMMYFUNCTION("""COMPUTED_VALUE"""),"Van Swietenstraat 120 B")</f>
        <v>Van Swietenstraat 120 B</v>
      </c>
      <c r="I333" s="6" t="str">
        <f>IFERROR(__xludf.DUMMYFUNCTION("""COMPUTED_VALUE"""),"2518 SM")</f>
        <v>2518 SM</v>
      </c>
      <c r="J333" s="6" t="str">
        <f>IFERROR(__xludf.DUMMYFUNCTION("""COMPUTED_VALUE"""),"s-Gravenhage")</f>
        <v>s-Gravenhage</v>
      </c>
      <c r="K333" s="6" t="str">
        <f>IFERROR(__xludf.DUMMYFUNCTION("""COMPUTED_VALUE"""),"Nederland")</f>
        <v>Nederland</v>
      </c>
      <c r="L333" s="6" t="str">
        <f>IFERROR(__xludf.DUMMYFUNCTION("""COMPUTED_VALUE"""),"Яворов")</f>
        <v>Яворов</v>
      </c>
      <c r="M333" s="8">
        <f>IFERROR(__xludf.DUMMYFUNCTION("""COMPUTED_VALUE"""),43175.0)</f>
        <v>43175</v>
      </c>
      <c r="N333" s="6" t="str">
        <f>IFERROR(__xludf.DUMMYFUNCTION("""COMPUTED_VALUE"""),"NL635262770B01")</f>
        <v>NL635262770B01</v>
      </c>
      <c r="O333" s="6">
        <f>IFERROR(__xludf.DUMMYFUNCTION("""COMPUTED_VALUE"""),6.5239679E7)</f>
        <v>65239679</v>
      </c>
      <c r="P333" s="6" t="str">
        <f>IFERROR(__xludf.DUMMYFUNCTION("""COMPUTED_VALUE"""),"NL97INGB0007160172")</f>
        <v>NL97INGB0007160172</v>
      </c>
      <c r="Q333" s="9">
        <f>IFERROR(__xludf.DUMMYFUNCTION("""COMPUTED_VALUE"""),42401.0)</f>
        <v>42401</v>
      </c>
      <c r="R333" s="6"/>
      <c r="S333" s="6" t="str">
        <f>IFERROR(__xludf.DUMMYFUNCTION("""COMPUTED_VALUE"""),"NL002510750B55")</f>
        <v>NL002510750B55</v>
      </c>
      <c r="T333" s="6">
        <f>IFERROR(__xludf.DUMMYFUNCTION("""COMPUTED_VALUE"""),6.3526277E8)</f>
        <v>635262770</v>
      </c>
      <c r="U333" s="7" t="str">
        <f>IFERROR(__xludf.DUMMYFUNCTION("""COMPUTED_VALUE"""),"Eenmanszaak")</f>
        <v>Eenmanszaak</v>
      </c>
      <c r="V333" s="7" t="str">
        <f>IFERROR(__xludf.DUMMYFUNCTION("""COMPUTED_VALUE"""),"000033981051")</f>
        <v>000033981051</v>
      </c>
      <c r="W333" s="6" t="str">
        <f>IFERROR(__xludf.DUMMYFUNCTION("""COMPUTED_VALUE"""),"ink.myros.2288aa@zarabota.nl")</f>
        <v>ink.myros.2288aa@zarabota.nl</v>
      </c>
      <c r="X333" s="6" t="str">
        <f>IFERROR(__xludf.DUMMYFUNCTION("""COMPUTED_VALUE"""),"ver.myros.2288aa@zarabota.nl")</f>
        <v>ver.myros.2288aa@zarabota.nl</v>
      </c>
      <c r="Y333" s="6" t="str">
        <f>IFERROR(__xludf.DUMMYFUNCTION("""COMPUTED_VALUE"""),"Hr.")</f>
        <v>Hr.</v>
      </c>
      <c r="Z333" s="6" t="str">
        <f>IFERROR(__xludf.DUMMYFUNCTION("""COMPUTED_VALUE"""),"Mihail Yuriev")</f>
        <v>Mihail Yuriev</v>
      </c>
      <c r="AA333" s="6" t="str">
        <f>IFERROR(__xludf.DUMMYFUNCTION("""COMPUTED_VALUE"""),"Yavorov")</f>
        <v>Yavorov</v>
      </c>
      <c r="AB333" s="6" t="str">
        <f>IFERROR(__xludf.DUMMYFUNCTION("""COMPUTED_VALUE"""),"M.Y.")</f>
        <v>M.Y.</v>
      </c>
      <c r="AC333" s="6">
        <f>IFERROR(__xludf.DUMMYFUNCTION("""COMPUTED_VALUE"""),6.3526277E8)</f>
        <v>635262770</v>
      </c>
      <c r="AD333" s="9">
        <f>IFERROR(__xludf.DUMMYFUNCTION("""COMPUTED_VALUE"""),30362.0)</f>
        <v>30362</v>
      </c>
      <c r="AE333" s="6" t="str">
        <f>IFERROR(__xludf.DUMMYFUNCTION("""COMPUTED_VALUE"""),"bg")</f>
        <v>bg</v>
      </c>
      <c r="AF333" s="6" t="str">
        <f>IFERROR(__xludf.DUMMYFUNCTION("""COMPUTED_VALUE"""),"Madan")</f>
        <v>Madan</v>
      </c>
      <c r="AG333" s="6" t="str">
        <f>IFERROR(__xludf.DUMMYFUNCTION("""COMPUTED_VALUE"""),"Hr. M.Y. Yavorov")</f>
        <v>Hr. M.Y. Yavorov</v>
      </c>
      <c r="AH333" s="6" t="str">
        <f>IFERROR(__xludf.DUMMYFUNCTION("""COMPUTED_VALUE"""),"NL93INGB0701926430")</f>
        <v>NL93INGB0701926430</v>
      </c>
      <c r="AI333" s="6"/>
      <c r="AJ333" s="6"/>
      <c r="AK333" s="6"/>
      <c r="AL333" s="6"/>
      <c r="AM333" s="6"/>
      <c r="AN333" s="6" t="str">
        <f>IFERROR(__xludf.DUMMYFUNCTION("""COMPUTED_VALUE"""),"Mihail Yuriev Yavorov")</f>
        <v>Mihail Yuriev Yavorov</v>
      </c>
      <c r="AO333" s="6"/>
    </row>
    <row r="334">
      <c r="A334" s="6" t="str">
        <f>IFERROR(__xludf.DUMMYFUNCTION("""COMPUTED_VALUE"""),"N. Golemanov")</f>
        <v>N. Golemanov</v>
      </c>
      <c r="B334" s="6" t="str">
        <f>IFERROR(__xludf.DUMMYFUNCTION("""COMPUTED_VALUE"""),"N. Golemanov")</f>
        <v>N. Golemanov</v>
      </c>
      <c r="C334" s="6">
        <f>IFERROR(__xludf.DUMMYFUNCTION("""COMPUTED_VALUE"""),1154.0)</f>
        <v>1154</v>
      </c>
      <c r="D334" s="7" t="str">
        <f>IFERROR(__xludf.DUMMYFUNCTION("""COMPUTED_VALUE"""),"Nedko Biserov Golemanov")</f>
        <v>Nedko Biserov Golemanov</v>
      </c>
      <c r="E334" s="7" t="str">
        <f>IFERROR(__xludf.DUMMYFUNCTION("""COMPUTED_VALUE"""),"SBI-code: 4120 - Algemene burgerlijke en utiliteitsbouw")</f>
        <v>SBI-code: 4120 - Algemene burgerlijke en utiliteitsbouw</v>
      </c>
      <c r="F334" s="7" t="str">
        <f>IFERROR(__xludf.DUMMYFUNCTION("""COMPUTED_VALUE"""),"0648441392")</f>
        <v>0648441392</v>
      </c>
      <c r="G334" s="6" t="str">
        <f>IFERROR(__xludf.DUMMYFUNCTION("""COMPUTED_VALUE"""),"nedkogolemanov@gmail.com")</f>
        <v>nedkogolemanov@gmail.com</v>
      </c>
      <c r="H334" s="6" t="str">
        <f>IFERROR(__xludf.DUMMYFUNCTION("""COMPUTED_VALUE"""),"Zaanstraat 6")</f>
        <v>Zaanstraat 6</v>
      </c>
      <c r="I334" s="6" t="str">
        <f>IFERROR(__xludf.DUMMYFUNCTION("""COMPUTED_VALUE"""),"2515TN")</f>
        <v>2515TN</v>
      </c>
      <c r="J334" s="6" t="str">
        <f>IFERROR(__xludf.DUMMYFUNCTION("""COMPUTED_VALUE"""),"s-Gravenhage")</f>
        <v>s-Gravenhage</v>
      </c>
      <c r="K334" s="6" t="str">
        <f>IFERROR(__xludf.DUMMYFUNCTION("""COMPUTED_VALUE"""),"Nederland")</f>
        <v>Nederland</v>
      </c>
      <c r="L334" s="6" t="str">
        <f>IFERROR(__xludf.DUMMYFUNCTION("""COMPUTED_VALUE"""),"Големанов")</f>
        <v>Големанов</v>
      </c>
      <c r="M334" s="8">
        <f>IFERROR(__xludf.DUMMYFUNCTION("""COMPUTED_VALUE"""),44197.0)</f>
        <v>44197</v>
      </c>
      <c r="N334" s="6" t="str">
        <f>IFERROR(__xludf.DUMMYFUNCTION("""COMPUTED_VALUE"""),"NL401855697B01")</f>
        <v>NL401855697B01</v>
      </c>
      <c r="O334" s="6">
        <f>IFERROR(__xludf.DUMMYFUNCTION("""COMPUTED_VALUE"""),7.7476956E7)</f>
        <v>77476956</v>
      </c>
      <c r="P334" s="6" t="str">
        <f>IFERROR(__xludf.DUMMYFUNCTION("""COMPUTED_VALUE"""),"NL58INGB0106043838")</f>
        <v>NL58INGB0106043838</v>
      </c>
      <c r="Q334" s="9">
        <f>IFERROR(__xludf.DUMMYFUNCTION("""COMPUTED_VALUE"""),43853.0)</f>
        <v>43853</v>
      </c>
      <c r="R334" s="6"/>
      <c r="S334" s="6" t="str">
        <f>IFERROR(__xludf.DUMMYFUNCTION("""COMPUTED_VALUE"""),"NL003196429B84")</f>
        <v>NL003196429B84</v>
      </c>
      <c r="T334" s="6">
        <f>IFERROR(__xludf.DUMMYFUNCTION("""COMPUTED_VALUE"""),4.01855697E8)</f>
        <v>401855697</v>
      </c>
      <c r="U334" s="7" t="str">
        <f>IFERROR(__xludf.DUMMYFUNCTION("""COMPUTED_VALUE"""),"Eenmanszaak")</f>
        <v>Eenmanszaak</v>
      </c>
      <c r="V334" s="7" t="str">
        <f>IFERROR(__xludf.DUMMYFUNCTION("""COMPUTED_VALUE"""),"000045176760")</f>
        <v>000045176760</v>
      </c>
      <c r="W334" s="6" t="str">
        <f>IFERROR(__xludf.DUMMYFUNCTION("""COMPUTED_VALUE"""),"ink.n.golemanov.2288aa@zarabota.nl")</f>
        <v>ink.n.golemanov.2288aa@zarabota.nl</v>
      </c>
      <c r="X334" s="6" t="str">
        <f>IFERROR(__xludf.DUMMYFUNCTION("""COMPUTED_VALUE"""),"ver.n.golemanov.2288aa@zarabota.nl")</f>
        <v>ver.n.golemanov.2288aa@zarabota.nl</v>
      </c>
      <c r="Y334" s="6" t="str">
        <f>IFERROR(__xludf.DUMMYFUNCTION("""COMPUTED_VALUE"""),"Hr.")</f>
        <v>Hr.</v>
      </c>
      <c r="Z334" s="6" t="str">
        <f>IFERROR(__xludf.DUMMYFUNCTION("""COMPUTED_VALUE"""),"Nedko Biserov")</f>
        <v>Nedko Biserov</v>
      </c>
      <c r="AA334" s="6" t="str">
        <f>IFERROR(__xludf.DUMMYFUNCTION("""COMPUTED_VALUE"""),"Golemanov")</f>
        <v>Golemanov</v>
      </c>
      <c r="AB334" s="6" t="str">
        <f>IFERROR(__xludf.DUMMYFUNCTION("""COMPUTED_VALUE"""),"N.B.")</f>
        <v>N.B.</v>
      </c>
      <c r="AC334" s="6">
        <f>IFERROR(__xludf.DUMMYFUNCTION("""COMPUTED_VALUE"""),4.01855697E8)</f>
        <v>401855697</v>
      </c>
      <c r="AD334" s="9">
        <f>IFERROR(__xludf.DUMMYFUNCTION("""COMPUTED_VALUE"""),27188.0)</f>
        <v>27188</v>
      </c>
      <c r="AE334" s="6" t="str">
        <f>IFERROR(__xludf.DUMMYFUNCTION("""COMPUTED_VALUE"""),"bg")</f>
        <v>bg</v>
      </c>
      <c r="AF334" s="6" t="str">
        <f>IFERROR(__xludf.DUMMYFUNCTION("""COMPUTED_VALUE"""),"Drangovo")</f>
        <v>Drangovo</v>
      </c>
      <c r="AG334" s="6" t="str">
        <f>IFERROR(__xludf.DUMMYFUNCTION("""COMPUTED_VALUE"""),"Hr. N.B. Golemanov")</f>
        <v>Hr. N.B. Golemanov</v>
      </c>
      <c r="AH334" s="6"/>
      <c r="AI334" s="9">
        <f>IFERROR(__xludf.DUMMYFUNCTION("""COMPUTED_VALUE"""),43853.0)</f>
        <v>43853</v>
      </c>
      <c r="AJ334" s="6"/>
      <c r="AK334" s="6"/>
      <c r="AL334" s="6"/>
      <c r="AM334" s="6" t="str">
        <f>IFERROR(__xludf.DUMMYFUNCTION("""COMPUTED_VALUE"""),"Bulgarije")</f>
        <v>Bulgarije</v>
      </c>
      <c r="AN334" s="6" t="str">
        <f>IFERROR(__xludf.DUMMYFUNCTION("""COMPUTED_VALUE"""),"Nedko Biserov Golemanov")</f>
        <v>Nedko Biserov Golemanov</v>
      </c>
      <c r="AO334" s="6">
        <f>IFERROR(__xludf.DUMMYFUNCTION("""COMPUTED_VALUE"""),1154.0)</f>
        <v>1154</v>
      </c>
    </row>
    <row r="335">
      <c r="A335" s="6" t="str">
        <f>IFERROR(__xludf.DUMMYFUNCTION("""COMPUTED_VALUE"""),"N. Nedim")</f>
        <v>N. Nedim</v>
      </c>
      <c r="B335" s="6" t="str">
        <f>IFERROR(__xludf.DUMMYFUNCTION("""COMPUTED_VALUE"""),"N. Nedim")</f>
        <v>N. Nedim</v>
      </c>
      <c r="C335" s="6">
        <f>IFERROR(__xludf.DUMMYFUNCTION("""COMPUTED_VALUE"""),0.0)</f>
        <v>0</v>
      </c>
      <c r="D335" s="6"/>
      <c r="E335" s="7" t="str">
        <f>IFERROR(__xludf.DUMMYFUNCTION("""COMPUTED_VALUE"""),"SBI-code: 4120 - Algemene burgerlijke en utiliteitsbouw")</f>
        <v>SBI-code: 4120 - Algemene burgerlijke en utiliteitsbouw</v>
      </c>
      <c r="F335" s="7" t="str">
        <f>IFERROR(__xludf.DUMMYFUNCTION("""COMPUTED_VALUE"""),"0638949988")</f>
        <v>0638949988</v>
      </c>
      <c r="G335" s="6" t="str">
        <f>IFERROR(__xludf.DUMMYFUNCTION("""COMPUTED_VALUE"""),"netko_nedim@hotmail.com")</f>
        <v>netko_nedim@hotmail.com</v>
      </c>
      <c r="H335" s="6" t="str">
        <f>IFERROR(__xludf.DUMMYFUNCTION("""COMPUTED_VALUE"""),"Mandarijngaard 15")</f>
        <v>Mandarijngaard 15</v>
      </c>
      <c r="I335" s="6" t="str">
        <f>IFERROR(__xludf.DUMMYFUNCTION("""COMPUTED_VALUE"""),"3206AM")</f>
        <v>3206AM</v>
      </c>
      <c r="J335" s="6" t="str">
        <f>IFERROR(__xludf.DUMMYFUNCTION("""COMPUTED_VALUE"""),"Spijkenisse")</f>
        <v>Spijkenisse</v>
      </c>
      <c r="K335" s="6" t="str">
        <f>IFERROR(__xludf.DUMMYFUNCTION("""COMPUTED_VALUE"""),"Nederland")</f>
        <v>Nederland</v>
      </c>
      <c r="L335" s="6"/>
      <c r="M335" s="6"/>
      <c r="N335" s="6" t="str">
        <f>IFERROR(__xludf.DUMMYFUNCTION("""COMPUTED_VALUE"""),"NL329862753B01")</f>
        <v>NL329862753B01</v>
      </c>
      <c r="O335" s="6">
        <f>IFERROR(__xludf.DUMMYFUNCTION("""COMPUTED_VALUE"""),8.6597949E7)</f>
        <v>86597949</v>
      </c>
      <c r="P335" s="6" t="str">
        <f>IFERROR(__xludf.DUMMYFUNCTION("""COMPUTED_VALUE"""),"NL81 INGB 0709 6292 22")</f>
        <v>NL81 INGB 0709 6292 22</v>
      </c>
      <c r="Q335" s="6"/>
      <c r="R335" s="6"/>
      <c r="S335" s="6" t="str">
        <f>IFERROR(__xludf.DUMMYFUNCTION("""COMPUTED_VALUE"""),"NL004275010B33")</f>
        <v>NL004275010B33</v>
      </c>
      <c r="T335" s="6">
        <f>IFERROR(__xludf.DUMMYFUNCTION("""COMPUTED_VALUE"""),3.29862753E8)</f>
        <v>329862753</v>
      </c>
      <c r="U335" s="7" t="str">
        <f>IFERROR(__xludf.DUMMYFUNCTION("""COMPUTED_VALUE"""),"Eenmanszaak")</f>
        <v>Eenmanszaak</v>
      </c>
      <c r="V335" s="7" t="str">
        <f>IFERROR(__xludf.DUMMYFUNCTION("""COMPUTED_VALUE"""),"000052564452")</f>
        <v>000052564452</v>
      </c>
      <c r="W335" s="6"/>
      <c r="X335" s="6"/>
      <c r="Y335" s="6" t="str">
        <f>IFERROR(__xludf.DUMMYFUNCTION("""COMPUTED_VALUE"""),"Hr.")</f>
        <v>Hr.</v>
      </c>
      <c r="Z335" s="6" t="str">
        <f>IFERROR(__xludf.DUMMYFUNCTION("""COMPUTED_VALUE"""),"Nedim N.")</f>
        <v>Nedim N.</v>
      </c>
      <c r="AA335" s="6" t="str">
        <f>IFERROR(__xludf.DUMMYFUNCTION("""COMPUTED_VALUE"""),"Mehmed")</f>
        <v>Mehmed</v>
      </c>
      <c r="AB335" s="6" t="str">
        <f>IFERROR(__xludf.DUMMYFUNCTION("""COMPUTED_VALUE"""),"N.N.")</f>
        <v>N.N.</v>
      </c>
      <c r="AC335" s="6">
        <f>IFERROR(__xludf.DUMMYFUNCTION("""COMPUTED_VALUE"""),3.29862753E8)</f>
        <v>329862753</v>
      </c>
      <c r="AD335" s="9">
        <f>IFERROR(__xludf.DUMMYFUNCTION("""COMPUTED_VALUE"""),30670.0)</f>
        <v>30670</v>
      </c>
      <c r="AE335" s="6" t="str">
        <f>IFERROR(__xludf.DUMMYFUNCTION("""COMPUTED_VALUE"""),"bg")</f>
        <v>bg</v>
      </c>
      <c r="AF335" s="6" t="str">
        <f>IFERROR(__xludf.DUMMYFUNCTION("""COMPUTED_VALUE"""),"Kardzhali")</f>
        <v>Kardzhali</v>
      </c>
      <c r="AG335" s="6" t="str">
        <f>IFERROR(__xludf.DUMMYFUNCTION("""COMPUTED_VALUE"""),"Hr. N.N. Mehmed")</f>
        <v>Hr. N.N. Mehmed</v>
      </c>
      <c r="AH335" s="6" t="str">
        <f>IFERROR(__xludf.DUMMYFUNCTION("""COMPUTED_VALUE"""),"NL47INGB0388996722")</f>
        <v>NL47INGB0388996722</v>
      </c>
      <c r="AI335" s="6"/>
      <c r="AJ335" s="6" t="str">
        <f>IFERROR(__xludf.DUMMYFUNCTION("""COMPUTED_VALUE"""),"ID Kaart")</f>
        <v>ID Kaart</v>
      </c>
      <c r="AK335" s="6"/>
      <c r="AL335" s="6"/>
      <c r="AM335" s="6" t="str">
        <f>IFERROR(__xludf.DUMMYFUNCTION("""COMPUTED_VALUE"""),"Bulgarije")</f>
        <v>Bulgarije</v>
      </c>
      <c r="AN335" s="6" t="str">
        <f>IFERROR(__xludf.DUMMYFUNCTION("""COMPUTED_VALUE"""),"Nedim N. Mehmed")</f>
        <v>Nedim N. Mehmed</v>
      </c>
      <c r="AO335" s="6"/>
    </row>
    <row r="336">
      <c r="A336" s="6" t="str">
        <f>IFERROR(__xludf.DUMMYFUNCTION("""COMPUTED_VALUE"""),"Natali MAK VOF")</f>
        <v>Natali MAK VOF</v>
      </c>
      <c r="B336" s="6" t="str">
        <f>IFERROR(__xludf.DUMMYFUNCTION("""COMPUTED_VALUE"""),"Natali MAK VOF")</f>
        <v>Natali MAK VOF</v>
      </c>
      <c r="C336" s="6">
        <f>IFERROR(__xludf.DUMMYFUNCTION("""COMPUTED_VALUE"""),1163.0)</f>
        <v>1163</v>
      </c>
      <c r="D336" s="7" t="str">
        <f>IFERROR(__xludf.DUMMYFUNCTION("""COMPUTED_VALUE"""),"Valentin Raykov Mitkov")</f>
        <v>Valentin Raykov Mitkov</v>
      </c>
      <c r="E336" s="7" t="str">
        <f>IFERROR(__xludf.DUMMYFUNCTION("""COMPUTED_VALUE"""),"SBI-code: 4120 - Algemene burgerlijke en utiliteitsbouw")</f>
        <v>SBI-code: 4120 - Algemene burgerlijke en utiliteitsbouw</v>
      </c>
      <c r="F336" s="7" t="str">
        <f>IFERROR(__xludf.DUMMYFUNCTION("""COMPUTED_VALUE"""),"0639181212")</f>
        <v>0639181212</v>
      </c>
      <c r="G336" s="6" t="str">
        <f>IFERROR(__xludf.DUMMYFUNCTION("""COMPUTED_VALUE"""),"mitkovvalentin98@gmail.com")</f>
        <v>mitkovvalentin98@gmail.com</v>
      </c>
      <c r="H336" s="6" t="str">
        <f>IFERROR(__xludf.DUMMYFUNCTION("""COMPUTED_VALUE"""),"David Blesstraat 96")</f>
        <v>David Blesstraat 96</v>
      </c>
      <c r="I336" s="6" t="str">
        <f>IFERROR(__xludf.DUMMYFUNCTION("""COMPUTED_VALUE"""),"2526BL")</f>
        <v>2526BL</v>
      </c>
      <c r="J336" s="6" t="str">
        <f>IFERROR(__xludf.DUMMYFUNCTION("""COMPUTED_VALUE"""),"s-Gravenhage")</f>
        <v>s-Gravenhage</v>
      </c>
      <c r="K336" s="6" t="str">
        <f>IFERROR(__xludf.DUMMYFUNCTION("""COMPUTED_VALUE"""),"Nederland")</f>
        <v>Nederland</v>
      </c>
      <c r="L336" s="6" t="str">
        <f>IFERROR(__xludf.DUMMYFUNCTION("""COMPUTED_VALUE"""),"Митков")</f>
        <v>Митков</v>
      </c>
      <c r="M336" s="8">
        <f>IFERROR(__xludf.DUMMYFUNCTION("""COMPUTED_VALUE"""),44287.0)</f>
        <v>44287</v>
      </c>
      <c r="N336" s="6" t="str">
        <f>IFERROR(__xludf.DUMMYFUNCTION("""COMPUTED_VALUE"""),"NL861086855B01")</f>
        <v>NL861086855B01</v>
      </c>
      <c r="O336" s="6">
        <f>IFERROR(__xludf.DUMMYFUNCTION("""COMPUTED_VALUE"""),7.7664035E7)</f>
        <v>77664035</v>
      </c>
      <c r="P336" s="6" t="str">
        <f>IFERROR(__xludf.DUMMYFUNCTION("""COMPUTED_VALUE"""),"NL86INGB0008401582")</f>
        <v>NL86INGB0008401582</v>
      </c>
      <c r="Q336" s="9">
        <f>IFERROR(__xludf.DUMMYFUNCTION("""COMPUTED_VALUE"""),43909.0)</f>
        <v>43909</v>
      </c>
      <c r="R336" s="6"/>
      <c r="S336" s="6" t="str">
        <f>IFERROR(__xludf.DUMMYFUNCTION("""COMPUTED_VALUE"""),"NL861086855B01")</f>
        <v>NL861086855B01</v>
      </c>
      <c r="T336" s="6">
        <f>IFERROR(__xludf.DUMMYFUNCTION("""COMPUTED_VALUE"""),8.61086855E8)</f>
        <v>861086855</v>
      </c>
      <c r="U336" s="7" t="str">
        <f>IFERROR(__xludf.DUMMYFUNCTION("""COMPUTED_VALUE"""),"Vennootschap Onder Firma")</f>
        <v>Vennootschap Onder Firma</v>
      </c>
      <c r="V336" s="7" t="str">
        <f>IFERROR(__xludf.DUMMYFUNCTION("""COMPUTED_VALUE"""),"000039766608")</f>
        <v>000039766608</v>
      </c>
      <c r="W336" s="6" t="str">
        <f>IFERROR(__xludf.DUMMYFUNCTION("""COMPUTED_VALUE"""),"ink.natalimakvof.2288aa@zarabota.nl")</f>
        <v>ink.natalimakvof.2288aa@zarabota.nl</v>
      </c>
      <c r="X336" s="6" t="str">
        <f>IFERROR(__xludf.DUMMYFUNCTION("""COMPUTED_VALUE"""),"ver.natalimakvof.2288aa@zarabota.nl")</f>
        <v>ver.natalimakvof.2288aa@zarabota.nl</v>
      </c>
      <c r="Y336" s="6" t="str">
        <f>IFERROR(__xludf.DUMMYFUNCTION("""COMPUTED_VALUE"""),"Hr.")</f>
        <v>Hr.</v>
      </c>
      <c r="Z336" s="6" t="str">
        <f>IFERROR(__xludf.DUMMYFUNCTION("""COMPUTED_VALUE"""),"Valentin Raykov")</f>
        <v>Valentin Raykov</v>
      </c>
      <c r="AA336" s="6" t="str">
        <f>IFERROR(__xludf.DUMMYFUNCTION("""COMPUTED_VALUE"""),"Mitkov")</f>
        <v>Mitkov</v>
      </c>
      <c r="AB336" s="6" t="str">
        <f>IFERROR(__xludf.DUMMYFUNCTION("""COMPUTED_VALUE"""),"V.R.")</f>
        <v>V.R.</v>
      </c>
      <c r="AC336" s="6">
        <f>IFERROR(__xludf.DUMMYFUNCTION("""COMPUTED_VALUE"""),6.60099561E8)</f>
        <v>660099561</v>
      </c>
      <c r="AD336" s="9">
        <f>IFERROR(__xludf.DUMMYFUNCTION("""COMPUTED_VALUE"""),32859.0)</f>
        <v>32859</v>
      </c>
      <c r="AE336" s="6" t="str">
        <f>IFERROR(__xludf.DUMMYFUNCTION("""COMPUTED_VALUE"""),"bg")</f>
        <v>bg</v>
      </c>
      <c r="AF336" s="6" t="str">
        <f>IFERROR(__xludf.DUMMYFUNCTION("""COMPUTED_VALUE"""),"Haskovo")</f>
        <v>Haskovo</v>
      </c>
      <c r="AG336" s="6" t="str">
        <f>IFERROR(__xludf.DUMMYFUNCTION("""COMPUTED_VALUE"""),"Hr. V.R. Mitkov")</f>
        <v>Hr. V.R. Mitkov</v>
      </c>
      <c r="AH336" s="6" t="str">
        <f>IFERROR(__xludf.DUMMYFUNCTION("""COMPUTED_VALUE"""),"NL53INGB0702648248")</f>
        <v>NL53INGB0702648248</v>
      </c>
      <c r="AI336" s="6"/>
      <c r="AJ336" s="6" t="str">
        <f>IFERROR(__xludf.DUMMYFUNCTION("""COMPUTED_VALUE"""),"ID Kaart")</f>
        <v>ID Kaart</v>
      </c>
      <c r="AK336" s="6">
        <f>IFERROR(__xludf.DUMMYFUNCTION("""COMPUTED_VALUE"""),6.44552425E8)</f>
        <v>644552425</v>
      </c>
      <c r="AL336" s="9">
        <f>IFERROR(__xludf.DUMMYFUNCTION("""COMPUTED_VALUE"""),44983.0)</f>
        <v>44983</v>
      </c>
      <c r="AM336" s="6" t="str">
        <f>IFERROR(__xludf.DUMMYFUNCTION("""COMPUTED_VALUE"""),"Bulgarije")</f>
        <v>Bulgarije</v>
      </c>
      <c r="AN336" s="6" t="str">
        <f>IFERROR(__xludf.DUMMYFUNCTION("""COMPUTED_VALUE"""),"Valentin Raykov Mitkov")</f>
        <v>Valentin Raykov Mitkov</v>
      </c>
      <c r="AO336" s="6">
        <f>IFERROR(__xludf.DUMMYFUNCTION("""COMPUTED_VALUE"""),1163.0)</f>
        <v>1163</v>
      </c>
    </row>
    <row r="337">
      <c r="A337" s="6" t="str">
        <f>IFERROR(__xludf.DUMMYFUNCTION("""COMPUTED_VALUE"""),"Naydenov EMI")</f>
        <v>Naydenov EMI</v>
      </c>
      <c r="B337" s="6" t="str">
        <f>IFERROR(__xludf.DUMMYFUNCTION("""COMPUTED_VALUE"""),"Naydenov EMI")</f>
        <v>Naydenov EMI</v>
      </c>
      <c r="C337" s="6">
        <f>IFERROR(__xludf.DUMMYFUNCTION("""COMPUTED_VALUE"""),1027.0)</f>
        <v>1027</v>
      </c>
      <c r="D337" s="7" t="str">
        <f>IFERROR(__xludf.DUMMYFUNCTION("""COMPUTED_VALUE"""),"Andi Emilov Naydenov")</f>
        <v>Andi Emilov Naydenov</v>
      </c>
      <c r="E337" s="7" t="str">
        <f>IFERROR(__xludf.DUMMYFUNCTION("""COMPUTED_VALUE"""),"SBI-code: 4222 - Leggen van elektriciteits- en telecommunicatiekabels")</f>
        <v>SBI-code: 4222 - Leggen van elektriciteits- en telecommunicatiekabels</v>
      </c>
      <c r="F337" s="7" t="str">
        <f>IFERROR(__xludf.DUMMYFUNCTION("""COMPUTED_VALUE"""),"0623141711")</f>
        <v>0623141711</v>
      </c>
      <c r="G337" s="6" t="str">
        <f>IFERROR(__xludf.DUMMYFUNCTION("""COMPUTED_VALUE"""),"crystalreed11@abv.bg")</f>
        <v>crystalreed11@abv.bg</v>
      </c>
      <c r="H337" s="6" t="str">
        <f>IFERROR(__xludf.DUMMYFUNCTION("""COMPUTED_VALUE"""),"Loenensestraat 187")</f>
        <v>Loenensestraat 187</v>
      </c>
      <c r="I337" s="6" t="str">
        <f>IFERROR(__xludf.DUMMYFUNCTION("""COMPUTED_VALUE"""),"2574RL")</f>
        <v>2574RL</v>
      </c>
      <c r="J337" s="6" t="str">
        <f>IFERROR(__xludf.DUMMYFUNCTION("""COMPUTED_VALUE"""),"s-Gravenhage")</f>
        <v>s-Gravenhage</v>
      </c>
      <c r="K337" s="6" t="str">
        <f>IFERROR(__xludf.DUMMYFUNCTION("""COMPUTED_VALUE"""),"Nederland")</f>
        <v>Nederland</v>
      </c>
      <c r="L337" s="6" t="str">
        <f>IFERROR(__xludf.DUMMYFUNCTION("""COMPUTED_VALUE"""),"Найденов")</f>
        <v>Найденов</v>
      </c>
      <c r="M337" s="8">
        <f>IFERROR(__xludf.DUMMYFUNCTION("""COMPUTED_VALUE"""),44090.0)</f>
        <v>44090</v>
      </c>
      <c r="N337" s="6" t="str">
        <f>IFERROR(__xludf.DUMMYFUNCTION("""COMPUTED_VALUE"""),"NL491298900B01")</f>
        <v>NL491298900B01</v>
      </c>
      <c r="O337" s="6">
        <f>IFERROR(__xludf.DUMMYFUNCTION("""COMPUTED_VALUE"""),8.0330738E7)</f>
        <v>80330738</v>
      </c>
      <c r="P337" s="6" t="str">
        <f>IFERROR(__xludf.DUMMYFUNCTION("""COMPUTED_VALUE"""),"NL41SNSB0339661119")</f>
        <v>NL41SNSB0339661119</v>
      </c>
      <c r="Q337" s="9">
        <f>IFERROR(__xludf.DUMMYFUNCTION("""COMPUTED_VALUE"""),44090.0)</f>
        <v>44090</v>
      </c>
      <c r="R337" s="6"/>
      <c r="S337" s="6" t="str">
        <f>IFERROR(__xludf.DUMMYFUNCTION("""COMPUTED_VALUE"""),"NL003423434B53")</f>
        <v>NL003423434B53</v>
      </c>
      <c r="T337" s="6">
        <f>IFERROR(__xludf.DUMMYFUNCTION("""COMPUTED_VALUE"""),4.912989E8)</f>
        <v>491298900</v>
      </c>
      <c r="U337" s="7" t="str">
        <f>IFERROR(__xludf.DUMMYFUNCTION("""COMPUTED_VALUE"""),"Eenmanszaak")</f>
        <v>Eenmanszaak</v>
      </c>
      <c r="V337" s="7" t="str">
        <f>IFERROR(__xludf.DUMMYFUNCTION("""COMPUTED_VALUE"""),"000046692037")</f>
        <v>000046692037</v>
      </c>
      <c r="W337" s="6" t="str">
        <f>IFERROR(__xludf.DUMMYFUNCTION("""COMPUTED_VALUE"""),"ink.naydenovemi.2288aa@zarabota.nl")</f>
        <v>ink.naydenovemi.2288aa@zarabota.nl</v>
      </c>
      <c r="X337" s="6" t="str">
        <f>IFERROR(__xludf.DUMMYFUNCTION("""COMPUTED_VALUE"""),"ver.naydenovemi.2288aa@zarabota.nl")</f>
        <v>ver.naydenovemi.2288aa@zarabota.nl</v>
      </c>
      <c r="Y337" s="6" t="str">
        <f>IFERROR(__xludf.DUMMYFUNCTION("""COMPUTED_VALUE"""),"Hr.")</f>
        <v>Hr.</v>
      </c>
      <c r="Z337" s="6" t="str">
        <f>IFERROR(__xludf.DUMMYFUNCTION("""COMPUTED_VALUE"""),"Andi Emilov")</f>
        <v>Andi Emilov</v>
      </c>
      <c r="AA337" s="6" t="str">
        <f>IFERROR(__xludf.DUMMYFUNCTION("""COMPUTED_VALUE"""),"Naydenov")</f>
        <v>Naydenov</v>
      </c>
      <c r="AB337" s="6" t="str">
        <f>IFERROR(__xludf.DUMMYFUNCTION("""COMPUTED_VALUE"""),"A.E.")</f>
        <v>A.E.</v>
      </c>
      <c r="AC337" s="6">
        <f>IFERROR(__xludf.DUMMYFUNCTION("""COMPUTED_VALUE"""),4.912989E8)</f>
        <v>491298900</v>
      </c>
      <c r="AD337" s="9">
        <f>IFERROR(__xludf.DUMMYFUNCTION("""COMPUTED_VALUE"""),37197.0)</f>
        <v>37197</v>
      </c>
      <c r="AE337" s="6" t="str">
        <f>IFERROR(__xludf.DUMMYFUNCTION("""COMPUTED_VALUE"""),"bg")</f>
        <v>bg</v>
      </c>
      <c r="AF337" s="6" t="str">
        <f>IFERROR(__xludf.DUMMYFUNCTION("""COMPUTED_VALUE"""),"Smolyan")</f>
        <v>Smolyan</v>
      </c>
      <c r="AG337" s="6" t="str">
        <f>IFERROR(__xludf.DUMMYFUNCTION("""COMPUTED_VALUE"""),"Hr. A.E. Naydenov")</f>
        <v>Hr. A.E. Naydenov</v>
      </c>
      <c r="AH337" s="6" t="str">
        <f>IFERROR(__xludf.DUMMYFUNCTION("""COMPUTED_VALUE"""),"NL70SNSB0339640324")</f>
        <v>NL70SNSB0339640324</v>
      </c>
      <c r="AI337" s="9">
        <f>IFERROR(__xludf.DUMMYFUNCTION("""COMPUTED_VALUE"""),44074.0)</f>
        <v>44074</v>
      </c>
      <c r="AJ337" s="6" t="str">
        <f>IFERROR(__xludf.DUMMYFUNCTION("""COMPUTED_VALUE"""),"ID Kaart")</f>
        <v>ID Kaart</v>
      </c>
      <c r="AK337" s="6">
        <f>IFERROR(__xludf.DUMMYFUNCTION("""COMPUTED_VALUE"""),6.48592929E8)</f>
        <v>648592929</v>
      </c>
      <c r="AL337" s="9">
        <f>IFERROR(__xludf.DUMMYFUNCTION("""COMPUTED_VALUE"""),47451.0)</f>
        <v>47451</v>
      </c>
      <c r="AM337" s="6" t="str">
        <f>IFERROR(__xludf.DUMMYFUNCTION("""COMPUTED_VALUE"""),"Bulgarije")</f>
        <v>Bulgarije</v>
      </c>
      <c r="AN337" s="6" t="str">
        <f>IFERROR(__xludf.DUMMYFUNCTION("""COMPUTED_VALUE"""),"Andi Emilov Naydenov")</f>
        <v>Andi Emilov Naydenov</v>
      </c>
      <c r="AO337" s="6">
        <f>IFERROR(__xludf.DUMMYFUNCTION("""COMPUTED_VALUE"""),1027.0)</f>
        <v>1027</v>
      </c>
    </row>
    <row r="338">
      <c r="A338" s="6" t="str">
        <f>IFERROR(__xludf.DUMMYFUNCTION("""COMPUTED_VALUE"""),"NG-Dimitrov 2022")</f>
        <v>NG-Dimitrov 2022</v>
      </c>
      <c r="B338" s="6" t="str">
        <f>IFERROR(__xludf.DUMMYFUNCTION("""COMPUTED_VALUE"""),"NG-Dimitrov 2022")</f>
        <v>NG-Dimitrov 2022</v>
      </c>
      <c r="C338" s="6">
        <f>IFERROR(__xludf.DUMMYFUNCTION("""COMPUTED_VALUE"""),1337.0)</f>
        <v>1337</v>
      </c>
      <c r="D338" s="7" t="str">
        <f>IFERROR(__xludf.DUMMYFUNCTION("""COMPUTED_VALUE"""),"Georgi Hristov Dimitrov")</f>
        <v>Georgi Hristov Dimitrov</v>
      </c>
      <c r="E338" s="7" t="str">
        <f>IFERROR(__xludf.DUMMYFUNCTION("""COMPUTED_VALUE"""),"SBI-code: 4120 - Algemene burgerlijke en utiliteitsbouw")</f>
        <v>SBI-code: 4120 - Algemene burgerlijke en utiliteitsbouw</v>
      </c>
      <c r="F338" s="7" t="str">
        <f>IFERROR(__xludf.DUMMYFUNCTION("""COMPUTED_VALUE"""),"+359877004878")</f>
        <v>+359877004878</v>
      </c>
      <c r="G338" s="6" t="str">
        <f>IFERROR(__xludf.DUMMYFUNCTION("""COMPUTED_VALUE"""),"goshkomalkia6@gmail.com")</f>
        <v>goshkomalkia6@gmail.com</v>
      </c>
      <c r="H338" s="6" t="str">
        <f>IFERROR(__xludf.DUMMYFUNCTION("""COMPUTED_VALUE"""),"Van Oestendestraat 37 D")</f>
        <v>Van Oestendestraat 37 D</v>
      </c>
      <c r="I338" s="6" t="str">
        <f>IFERROR(__xludf.DUMMYFUNCTION("""COMPUTED_VALUE"""),"3083MD")</f>
        <v>3083MD</v>
      </c>
      <c r="J338" s="6" t="str">
        <f>IFERROR(__xludf.DUMMYFUNCTION("""COMPUTED_VALUE"""),"Rotterdam")</f>
        <v>Rotterdam</v>
      </c>
      <c r="K338" s="6" t="str">
        <f>IFERROR(__xludf.DUMMYFUNCTION("""COMPUTED_VALUE"""),"Nederland")</f>
        <v>Nederland</v>
      </c>
      <c r="L338" s="6" t="str">
        <f>IFERROR(__xludf.DUMMYFUNCTION("""COMPUTED_VALUE"""),"Димитров")</f>
        <v>Димитров</v>
      </c>
      <c r="M338" s="8">
        <f>IFERROR(__xludf.DUMMYFUNCTION("""COMPUTED_VALUE"""),44606.0)</f>
        <v>44606</v>
      </c>
      <c r="N338" s="6" t="str">
        <f>IFERROR(__xludf.DUMMYFUNCTION("""COMPUTED_VALUE"""),"NL689559550B01")</f>
        <v>NL689559550B01</v>
      </c>
      <c r="O338" s="6">
        <f>IFERROR(__xludf.DUMMYFUNCTION("""COMPUTED_VALUE"""),8.557992E7)</f>
        <v>85579920</v>
      </c>
      <c r="P338" s="6" t="str">
        <f>IFERROR(__xludf.DUMMYFUNCTION("""COMPUTED_VALUE"""),"NL91INGB0675457106")</f>
        <v>NL91INGB0675457106</v>
      </c>
      <c r="Q338" s="9">
        <f>IFERROR(__xludf.DUMMYFUNCTION("""COMPUTED_VALUE"""),44606.0)</f>
        <v>44606</v>
      </c>
      <c r="R338" s="6"/>
      <c r="S338" s="6" t="str">
        <f>IFERROR(__xludf.DUMMYFUNCTION("""COMPUTED_VALUE"""),"NL004116919B56")</f>
        <v>NL004116919B56</v>
      </c>
      <c r="T338" s="6">
        <f>IFERROR(__xludf.DUMMYFUNCTION("""COMPUTED_VALUE"""),6.8955955E8)</f>
        <v>689559550</v>
      </c>
      <c r="U338" s="7" t="str">
        <f>IFERROR(__xludf.DUMMYFUNCTION("""COMPUTED_VALUE"""),"Eenmanszaak")</f>
        <v>Eenmanszaak</v>
      </c>
      <c r="V338" s="7" t="str">
        <f>IFERROR(__xludf.DUMMYFUNCTION("""COMPUTED_VALUE"""),"000051617226")</f>
        <v>000051617226</v>
      </c>
      <c r="W338" s="6" t="str">
        <f>IFERROR(__xludf.DUMMYFUNCTION("""COMPUTED_VALUE"""),"ink.ngdimitrov.2288aa@zarabota.nl")</f>
        <v>ink.ngdimitrov.2288aa@zarabota.nl</v>
      </c>
      <c r="X338" s="6" t="str">
        <f>IFERROR(__xludf.DUMMYFUNCTION("""COMPUTED_VALUE"""),"ver.ngdimitrov.2288aa@zarabota.nl")</f>
        <v>ver.ngdimitrov.2288aa@zarabota.nl</v>
      </c>
      <c r="Y338" s="6" t="str">
        <f>IFERROR(__xludf.DUMMYFUNCTION("""COMPUTED_VALUE"""),"Hr.")</f>
        <v>Hr.</v>
      </c>
      <c r="Z338" s="6" t="str">
        <f>IFERROR(__xludf.DUMMYFUNCTION("""COMPUTED_VALUE"""),"Georgi Hristov")</f>
        <v>Georgi Hristov</v>
      </c>
      <c r="AA338" s="6" t="str">
        <f>IFERROR(__xludf.DUMMYFUNCTION("""COMPUTED_VALUE"""),"Dimitrov")</f>
        <v>Dimitrov</v>
      </c>
      <c r="AB338" s="6" t="str">
        <f>IFERROR(__xludf.DUMMYFUNCTION("""COMPUTED_VALUE"""),"G.H.")</f>
        <v>G.H.</v>
      </c>
      <c r="AC338" s="6">
        <f>IFERROR(__xludf.DUMMYFUNCTION("""COMPUTED_VALUE"""),6.8955955E8)</f>
        <v>689559550</v>
      </c>
      <c r="AD338" s="9">
        <f>IFERROR(__xludf.DUMMYFUNCTION("""COMPUTED_VALUE"""),29210.0)</f>
        <v>29210</v>
      </c>
      <c r="AE338" s="6" t="str">
        <f>IFERROR(__xludf.DUMMYFUNCTION("""COMPUTED_VALUE"""),"bg")</f>
        <v>bg</v>
      </c>
      <c r="AF338" s="6" t="str">
        <f>IFERROR(__xludf.DUMMYFUNCTION("""COMPUTED_VALUE"""),"Gabrovo")</f>
        <v>Gabrovo</v>
      </c>
      <c r="AG338" s="6" t="str">
        <f>IFERROR(__xludf.DUMMYFUNCTION("""COMPUTED_VALUE"""),"Hr. G.H. Dimitrov")</f>
        <v>Hr. G.H. Dimitrov</v>
      </c>
      <c r="AH338" s="6" t="str">
        <f>IFERROR(__xludf.DUMMYFUNCTION("""COMPUTED_VALUE"""),"NL05INGB0636672913")</f>
        <v>NL05INGB0636672913</v>
      </c>
      <c r="AI338" s="6"/>
      <c r="AJ338" s="6" t="str">
        <f>IFERROR(__xludf.DUMMYFUNCTION("""COMPUTED_VALUE"""),"ID Kaart")</f>
        <v>ID Kaart</v>
      </c>
      <c r="AK338" s="6">
        <f>IFERROR(__xludf.DUMMYFUNCTION("""COMPUTED_VALUE"""),6.45425364E8)</f>
        <v>645425364</v>
      </c>
      <c r="AL338" s="6"/>
      <c r="AM338" s="6" t="str">
        <f>IFERROR(__xludf.DUMMYFUNCTION("""COMPUTED_VALUE"""),"Bulgarije")</f>
        <v>Bulgarije</v>
      </c>
      <c r="AN338" s="6" t="str">
        <f>IFERROR(__xludf.DUMMYFUNCTION("""COMPUTED_VALUE"""),"Georgi Hristov Dimitrov")</f>
        <v>Georgi Hristov Dimitrov</v>
      </c>
      <c r="AO338" s="6">
        <f>IFERROR(__xludf.DUMMYFUNCTION("""COMPUTED_VALUE"""),1337.0)</f>
        <v>1337</v>
      </c>
    </row>
    <row r="339">
      <c r="A339" s="6" t="str">
        <f>IFERROR(__xludf.DUMMYFUNCTION("""COMPUTED_VALUE"""),"NIEN MAK")</f>
        <v>NIEN MAK</v>
      </c>
      <c r="B339" s="6" t="str">
        <f>IFERROR(__xludf.DUMMYFUNCTION("""COMPUTED_VALUE"""),"NIEN MAK")</f>
        <v>NIEN MAK</v>
      </c>
      <c r="C339" s="6">
        <f>IFERROR(__xludf.DUMMYFUNCTION("""COMPUTED_VALUE"""),1172.0)</f>
        <v>1172</v>
      </c>
      <c r="D339" s="7" t="str">
        <f>IFERROR(__xludf.DUMMYFUNCTION("""COMPUTED_VALUE"""),"Misho Petrevski")</f>
        <v>Misho Petrevski</v>
      </c>
      <c r="E339" s="7" t="str">
        <f>IFERROR(__xludf.DUMMYFUNCTION("""COMPUTED_VALUE"""),"SBI-code: 4120 - Algemene burgerlijke en utiliteitsbouw")</f>
        <v>SBI-code: 4120 - Algemene burgerlijke en utiliteitsbouw</v>
      </c>
      <c r="F339" s="7" t="str">
        <f>IFERROR(__xludf.DUMMYFUNCTION("""COMPUTED_VALUE"""),"0620664764")</f>
        <v>0620664764</v>
      </c>
      <c r="G339" s="6" t="str">
        <f>IFERROR(__xludf.DUMMYFUNCTION("""COMPUTED_VALUE"""),"misepetrevski84@gmail.com")</f>
        <v>misepetrevski84@gmail.com</v>
      </c>
      <c r="H339" s="6" t="str">
        <f>IFERROR(__xludf.DUMMYFUNCTION("""COMPUTED_VALUE"""),"Veerplein 9")</f>
        <v>Veerplein 9</v>
      </c>
      <c r="I339" s="6" t="str">
        <f>IFERROR(__xludf.DUMMYFUNCTION("""COMPUTED_VALUE"""),"3131CX")</f>
        <v>3131CX</v>
      </c>
      <c r="J339" s="6" t="str">
        <f>IFERROR(__xludf.DUMMYFUNCTION("""COMPUTED_VALUE"""),"Vlaardingen")</f>
        <v>Vlaardingen</v>
      </c>
      <c r="K339" s="6" t="str">
        <f>IFERROR(__xludf.DUMMYFUNCTION("""COMPUTED_VALUE"""),"Nederland")</f>
        <v>Nederland</v>
      </c>
      <c r="L339" s="6" t="str">
        <f>IFERROR(__xludf.DUMMYFUNCTION("""COMPUTED_VALUE"""),"Петревски")</f>
        <v>Петревски</v>
      </c>
      <c r="M339" s="8">
        <f>IFERROR(__xludf.DUMMYFUNCTION("""COMPUTED_VALUE"""),44312.0)</f>
        <v>44312</v>
      </c>
      <c r="N339" s="6" t="str">
        <f>IFERROR(__xludf.DUMMYFUNCTION("""COMPUTED_VALUE"""),"NL359237319B01")</f>
        <v>NL359237319B01</v>
      </c>
      <c r="O339" s="6">
        <f>IFERROR(__xludf.DUMMYFUNCTION("""COMPUTED_VALUE"""),8.2639299E7)</f>
        <v>82639299</v>
      </c>
      <c r="P339" s="6" t="str">
        <f>IFERROR(__xludf.DUMMYFUNCTION("""COMPUTED_VALUE"""),"NL52INGB0009007086")</f>
        <v>NL52INGB0009007086</v>
      </c>
      <c r="Q339" s="9">
        <f>IFERROR(__xludf.DUMMYFUNCTION("""COMPUTED_VALUE"""),44312.0)</f>
        <v>44312</v>
      </c>
      <c r="R339" s="6"/>
      <c r="S339" s="6" t="str">
        <f>IFERROR(__xludf.DUMMYFUNCTION("""COMPUTED_VALUE"""),"NL003708670B34")</f>
        <v>NL003708670B34</v>
      </c>
      <c r="T339" s="6">
        <f>IFERROR(__xludf.DUMMYFUNCTION("""COMPUTED_VALUE"""),3.59237319E8)</f>
        <v>359237319</v>
      </c>
      <c r="U339" s="7" t="str">
        <f>IFERROR(__xludf.DUMMYFUNCTION("""COMPUTED_VALUE"""),"Eenmanszaak")</f>
        <v>Eenmanszaak</v>
      </c>
      <c r="V339" s="7" t="str">
        <f>IFERROR(__xludf.DUMMYFUNCTION("""COMPUTED_VALUE"""),"000048860972")</f>
        <v>000048860972</v>
      </c>
      <c r="W339" s="6" t="str">
        <f>IFERROR(__xludf.DUMMYFUNCTION("""COMPUTED_VALUE"""),"ink.nienmak.2288aa@zarabota.nl")</f>
        <v>ink.nienmak.2288aa@zarabota.nl</v>
      </c>
      <c r="X339" s="6" t="str">
        <f>IFERROR(__xludf.DUMMYFUNCTION("""COMPUTED_VALUE"""),"ver.nienmak.2288aa@zarabota.nl")</f>
        <v>ver.nienmak.2288aa@zarabota.nl</v>
      </c>
      <c r="Y339" s="6" t="str">
        <f>IFERROR(__xludf.DUMMYFUNCTION("""COMPUTED_VALUE"""),"Hr.")</f>
        <v>Hr.</v>
      </c>
      <c r="Z339" s="6" t="str">
        <f>IFERROR(__xludf.DUMMYFUNCTION("""COMPUTED_VALUE"""),"Misho")</f>
        <v>Misho</v>
      </c>
      <c r="AA339" s="6" t="str">
        <f>IFERROR(__xludf.DUMMYFUNCTION("""COMPUTED_VALUE"""),"Petrevski")</f>
        <v>Petrevski</v>
      </c>
      <c r="AB339" s="6" t="str">
        <f>IFERROR(__xludf.DUMMYFUNCTION("""COMPUTED_VALUE"""),"M.")</f>
        <v>M.</v>
      </c>
      <c r="AC339" s="6">
        <f>IFERROR(__xludf.DUMMYFUNCTION("""COMPUTED_VALUE"""),3.59237319E8)</f>
        <v>359237319</v>
      </c>
      <c r="AD339" s="9">
        <f>IFERROR(__xludf.DUMMYFUNCTION("""COMPUTED_VALUE"""),30771.0)</f>
        <v>30771</v>
      </c>
      <c r="AE339" s="6" t="str">
        <f>IFERROR(__xludf.DUMMYFUNCTION("""COMPUTED_VALUE"""),"bg")</f>
        <v>bg</v>
      </c>
      <c r="AF339" s="6"/>
      <c r="AG339" s="6" t="str">
        <f>IFERROR(__xludf.DUMMYFUNCTION("""COMPUTED_VALUE"""),"Hr. M. Petrevski")</f>
        <v>Hr. M. Petrevski</v>
      </c>
      <c r="AH339" s="6"/>
      <c r="AI339" s="6"/>
      <c r="AJ339" s="6"/>
      <c r="AK339" s="6"/>
      <c r="AL339" s="6"/>
      <c r="AM339" s="6" t="str">
        <f>IFERROR(__xludf.DUMMYFUNCTION("""COMPUTED_VALUE"""),"Bulgarije")</f>
        <v>Bulgarije</v>
      </c>
      <c r="AN339" s="6" t="str">
        <f>IFERROR(__xludf.DUMMYFUNCTION("""COMPUTED_VALUE"""),"Misho Petrevski")</f>
        <v>Misho Petrevski</v>
      </c>
      <c r="AO339" s="6">
        <f>IFERROR(__xludf.DUMMYFUNCTION("""COMPUTED_VALUE"""),1172.0)</f>
        <v>1172</v>
      </c>
    </row>
    <row r="340">
      <c r="A340" s="6" t="str">
        <f>IFERROR(__xludf.DUMMYFUNCTION("""COMPUTED_VALUE"""),"NIK TRANS 2011 LTD")</f>
        <v>NIK TRANS 2011 LTD</v>
      </c>
      <c r="B340" s="6" t="str">
        <f>IFERROR(__xludf.DUMMYFUNCTION("""COMPUTED_VALUE"""),"NIK TRANS 2011 LTD")</f>
        <v>NIK TRANS 2011 LTD</v>
      </c>
      <c r="C340" s="6">
        <f>IFERROR(__xludf.DUMMYFUNCTION("""COMPUTED_VALUE"""),0.0)</f>
        <v>0</v>
      </c>
      <c r="D340" s="7" t="str">
        <f>IFERROR(__xludf.DUMMYFUNCTION("""COMPUTED_VALUE"""),"Ivan Kolev Vanchev")</f>
        <v>Ivan Kolev Vanchev</v>
      </c>
      <c r="E340" s="7" t="str">
        <f>IFERROR(__xludf.DUMMYFUNCTION("""COMPUTED_VALUE"""),"SBI-code: 4941 - Goederenvervoer over de weg (geen verhuizingen)")</f>
        <v>SBI-code: 4941 - Goederenvervoer over de weg (geen verhuizingen)</v>
      </c>
      <c r="F340" s="7" t="str">
        <f>IFERROR(__xludf.DUMMYFUNCTION("""COMPUTED_VALUE"""),"+31616119984")</f>
        <v>+31616119984</v>
      </c>
      <c r="G340" s="6" t="str">
        <f>IFERROR(__xludf.DUMMYFUNCTION("""COMPUTED_VALUE"""),"stefani666@abv.bg")</f>
        <v>stefani666@abv.bg</v>
      </c>
      <c r="H340" s="6" t="str">
        <f>IFERROR(__xludf.DUMMYFUNCTION("""COMPUTED_VALUE"""),"Georgi Sava Rakovski 23 et. 4 app. 12")</f>
        <v>Georgi Sava Rakovski 23 et. 4 app. 12</v>
      </c>
      <c r="I340" s="6">
        <f>IFERROR(__xludf.DUMMYFUNCTION("""COMPUTED_VALUE"""),6300.0)</f>
        <v>6300</v>
      </c>
      <c r="J340" s="6" t="str">
        <f>IFERROR(__xludf.DUMMYFUNCTION("""COMPUTED_VALUE"""),"Haskovo")</f>
        <v>Haskovo</v>
      </c>
      <c r="K340" s="6" t="str">
        <f>IFERROR(__xludf.DUMMYFUNCTION("""COMPUTED_VALUE"""),"Bulgarije")</f>
        <v>Bulgarije</v>
      </c>
      <c r="L340" s="6" t="str">
        <f>IFERROR(__xludf.DUMMYFUNCTION("""COMPUTED_VALUE"""),"Ванчев")</f>
        <v>Ванчев</v>
      </c>
      <c r="M340" s="6"/>
      <c r="N340" s="6" t="str">
        <f>IFERROR(__xludf.DUMMYFUNCTION("""COMPUTED_VALUE"""),"BG207357843")</f>
        <v>BG207357843</v>
      </c>
      <c r="O340" s="6" t="str">
        <f>IFERROR(__xludf.DUMMYFUNCTION("""COMPUTED_VALUE"""),"BG207357843")</f>
        <v>BG207357843</v>
      </c>
      <c r="P340" s="6" t="str">
        <f>IFERROR(__xludf.DUMMYFUNCTION("""COMPUTED_VALUE"""),"BG06BPBI79261067804601")</f>
        <v>BG06BPBI79261067804601</v>
      </c>
      <c r="Q340" s="9">
        <f>IFERROR(__xludf.DUMMYFUNCTION("""COMPUTED_VALUE"""),40572.0)</f>
        <v>40572</v>
      </c>
      <c r="R340" s="6"/>
      <c r="S340" s="6" t="str">
        <f>IFERROR(__xludf.DUMMYFUNCTION("""COMPUTED_VALUE"""),"BG207357843")</f>
        <v>BG207357843</v>
      </c>
      <c r="T340" s="6">
        <f>IFERROR(__xludf.DUMMYFUNCTION("""COMPUTED_VALUE"""),7.412128567E9)</f>
        <v>7412128567</v>
      </c>
      <c r="U340" s="7" t="str">
        <f>IFERROR(__xludf.DUMMYFUNCTION("""COMPUTED_VALUE"""),"Eenmanszaak")</f>
        <v>Eenmanszaak</v>
      </c>
      <c r="V340" s="6"/>
      <c r="W340" s="6"/>
      <c r="X340" s="6"/>
      <c r="Y340" s="6" t="str">
        <f>IFERROR(__xludf.DUMMYFUNCTION("""COMPUTED_VALUE"""),"Hr.")</f>
        <v>Hr.</v>
      </c>
      <c r="Z340" s="6" t="str">
        <f>IFERROR(__xludf.DUMMYFUNCTION("""COMPUTED_VALUE"""),"Ivan Kolev")</f>
        <v>Ivan Kolev</v>
      </c>
      <c r="AA340" s="6" t="str">
        <f>IFERROR(__xludf.DUMMYFUNCTION("""COMPUTED_VALUE"""),"Vanchev")</f>
        <v>Vanchev</v>
      </c>
      <c r="AB340" s="6" t="str">
        <f>IFERROR(__xludf.DUMMYFUNCTION("""COMPUTED_VALUE"""),"I.K.")</f>
        <v>I.K.</v>
      </c>
      <c r="AC340" s="6">
        <f>IFERROR(__xludf.DUMMYFUNCTION("""COMPUTED_VALUE"""),7.412128567E9)</f>
        <v>7412128567</v>
      </c>
      <c r="AD340" s="9">
        <f>IFERROR(__xludf.DUMMYFUNCTION("""COMPUTED_VALUE"""),27375.0)</f>
        <v>27375</v>
      </c>
      <c r="AE340" s="6" t="str">
        <f>IFERROR(__xludf.DUMMYFUNCTION("""COMPUTED_VALUE"""),"bg")</f>
        <v>bg</v>
      </c>
      <c r="AF340" s="6" t="str">
        <f>IFERROR(__xludf.DUMMYFUNCTION("""COMPUTED_VALUE"""),"Haskovo")</f>
        <v>Haskovo</v>
      </c>
      <c r="AG340" s="6" t="str">
        <f>IFERROR(__xludf.DUMMYFUNCTION("""COMPUTED_VALUE"""),"Hr. I.K. Vanchev")</f>
        <v>Hr. I.K. Vanchev</v>
      </c>
      <c r="AH340" s="6"/>
      <c r="AI340" s="6"/>
      <c r="AJ340" s="6" t="str">
        <f>IFERROR(__xludf.DUMMYFUNCTION("""COMPUTED_VALUE"""),"ID Kaart")</f>
        <v>ID Kaart</v>
      </c>
      <c r="AK340" s="6">
        <f>IFERROR(__xludf.DUMMYFUNCTION("""COMPUTED_VALUE"""),6.51150849E8)</f>
        <v>651150849</v>
      </c>
      <c r="AL340" s="9">
        <f>IFERROR(__xludf.DUMMYFUNCTION("""COMPUTED_VALUE"""),48147.0)</f>
        <v>48147</v>
      </c>
      <c r="AM340" s="6" t="str">
        <f>IFERROR(__xludf.DUMMYFUNCTION("""COMPUTED_VALUE"""),"Bulgarije")</f>
        <v>Bulgarije</v>
      </c>
      <c r="AN340" s="6" t="str">
        <f>IFERROR(__xludf.DUMMYFUNCTION("""COMPUTED_VALUE"""),"Ivan Kolev Vanchev")</f>
        <v>Ivan Kolev Vanchev</v>
      </c>
      <c r="AO340" s="6"/>
    </row>
    <row r="341">
      <c r="A341" s="6" t="str">
        <f>IFERROR(__xludf.DUMMYFUNCTION("""COMPUTED_VALUE"""),"Niko 81")</f>
        <v>Niko 81</v>
      </c>
      <c r="B341" s="6" t="str">
        <f>IFERROR(__xludf.DUMMYFUNCTION("""COMPUTED_VALUE"""),"Niko 81")</f>
        <v>Niko 81</v>
      </c>
      <c r="C341" s="6">
        <f>IFERROR(__xludf.DUMMYFUNCTION("""COMPUTED_VALUE"""),729.0)</f>
        <v>729</v>
      </c>
      <c r="D341" s="7" t="str">
        <f>IFERROR(__xludf.DUMMYFUNCTION("""COMPUTED_VALUE"""),"Nikolay Hristov Enkov")</f>
        <v>Nikolay Hristov Enkov</v>
      </c>
      <c r="E341" s="7" t="str">
        <f>IFERROR(__xludf.DUMMYFUNCTION("""COMPUTED_VALUE"""),"SBI-code: 4120 - Algemene burgerlijke en utiliteitsbouw")</f>
        <v>SBI-code: 4120 - Algemene burgerlijke en utiliteitsbouw</v>
      </c>
      <c r="F341" s="7" t="str">
        <f>IFERROR(__xludf.DUMMYFUNCTION("""COMPUTED_VALUE"""),"0684747099")</f>
        <v>0684747099</v>
      </c>
      <c r="G341" s="6" t="str">
        <f>IFERROR(__xludf.DUMMYFUNCTION("""COMPUTED_VALUE"""),"nikolay.enkov@yahoo.com")</f>
        <v>nikolay.enkov@yahoo.com</v>
      </c>
      <c r="H341" s="6" t="str">
        <f>IFERROR(__xludf.DUMMYFUNCTION("""COMPUTED_VALUE"""),"Haverschmidststraat 57")</f>
        <v>Haverschmidststraat 57</v>
      </c>
      <c r="I341" s="6" t="str">
        <f>IFERROR(__xludf.DUMMYFUNCTION("""COMPUTED_VALUE"""),"2522VL")</f>
        <v>2522VL</v>
      </c>
      <c r="J341" s="6" t="str">
        <f>IFERROR(__xludf.DUMMYFUNCTION("""COMPUTED_VALUE"""),"s-Gravenhage")</f>
        <v>s-Gravenhage</v>
      </c>
      <c r="K341" s="6" t="str">
        <f>IFERROR(__xludf.DUMMYFUNCTION("""COMPUTED_VALUE"""),"Nederland")</f>
        <v>Nederland</v>
      </c>
      <c r="L341" s="6" t="str">
        <f>IFERROR(__xludf.DUMMYFUNCTION("""COMPUTED_VALUE"""),"Енков")</f>
        <v>Енков</v>
      </c>
      <c r="M341" s="8">
        <f>IFERROR(__xludf.DUMMYFUNCTION("""COMPUTED_VALUE"""),43515.0)</f>
        <v>43515</v>
      </c>
      <c r="N341" s="6" t="str">
        <f>IFERROR(__xludf.DUMMYFUNCTION("""COMPUTED_VALUE"""),"NL413820907B01")</f>
        <v>NL413820907B01</v>
      </c>
      <c r="O341" s="6">
        <f>IFERROR(__xludf.DUMMYFUNCTION("""COMPUTED_VALUE"""),7.404261E7)</f>
        <v>74042610</v>
      </c>
      <c r="P341" s="6" t="str">
        <f>IFERROR(__xludf.DUMMYFUNCTION("""COMPUTED_VALUE"""),"NL94INGB0008892258")</f>
        <v>NL94INGB0008892258</v>
      </c>
      <c r="Q341" s="9">
        <f>IFERROR(__xludf.DUMMYFUNCTION("""COMPUTED_VALUE"""),43515.0)</f>
        <v>43515</v>
      </c>
      <c r="R341" s="6"/>
      <c r="S341" s="6" t="str">
        <f>IFERROR(__xludf.DUMMYFUNCTION("""COMPUTED_VALUE"""),"NL002480205B62")</f>
        <v>NL002480205B62</v>
      </c>
      <c r="T341" s="6">
        <f>IFERROR(__xludf.DUMMYFUNCTION("""COMPUTED_VALUE"""),4.13820907E8)</f>
        <v>413820907</v>
      </c>
      <c r="U341" s="7" t="str">
        <f>IFERROR(__xludf.DUMMYFUNCTION("""COMPUTED_VALUE"""),"Eenmanszaak")</f>
        <v>Eenmanszaak</v>
      </c>
      <c r="V341" s="7" t="str">
        <f>IFERROR(__xludf.DUMMYFUNCTION("""COMPUTED_VALUE"""),"000042030218")</f>
        <v>000042030218</v>
      </c>
      <c r="W341" s="6" t="str">
        <f>IFERROR(__xludf.DUMMYFUNCTION("""COMPUTED_VALUE"""),"ink.niko81.2288aa@zarabota.nl")</f>
        <v>ink.niko81.2288aa@zarabota.nl</v>
      </c>
      <c r="X341" s="6" t="str">
        <f>IFERROR(__xludf.DUMMYFUNCTION("""COMPUTED_VALUE"""),"ver.niko81.2288aa@zarabota.nl")</f>
        <v>ver.niko81.2288aa@zarabota.nl</v>
      </c>
      <c r="Y341" s="6" t="str">
        <f>IFERROR(__xludf.DUMMYFUNCTION("""COMPUTED_VALUE"""),"Hr.")</f>
        <v>Hr.</v>
      </c>
      <c r="Z341" s="6" t="str">
        <f>IFERROR(__xludf.DUMMYFUNCTION("""COMPUTED_VALUE"""),"Nikolay Hristov")</f>
        <v>Nikolay Hristov</v>
      </c>
      <c r="AA341" s="6" t="str">
        <f>IFERROR(__xludf.DUMMYFUNCTION("""COMPUTED_VALUE"""),"Enkov")</f>
        <v>Enkov</v>
      </c>
      <c r="AB341" s="6" t="str">
        <f>IFERROR(__xludf.DUMMYFUNCTION("""COMPUTED_VALUE"""),"N.H.")</f>
        <v>N.H.</v>
      </c>
      <c r="AC341" s="6">
        <f>IFERROR(__xludf.DUMMYFUNCTION("""COMPUTED_VALUE"""),4.13820907E8)</f>
        <v>413820907</v>
      </c>
      <c r="AD341" s="9">
        <f>IFERROR(__xludf.DUMMYFUNCTION("""COMPUTED_VALUE"""),29902.0)</f>
        <v>29902</v>
      </c>
      <c r="AE341" s="6" t="str">
        <f>IFERROR(__xludf.DUMMYFUNCTION("""COMPUTED_VALUE"""),"bg")</f>
        <v>bg</v>
      </c>
      <c r="AF341" s="6" t="str">
        <f>IFERROR(__xludf.DUMMYFUNCTION("""COMPUTED_VALUE"""),"Ardino")</f>
        <v>Ardino</v>
      </c>
      <c r="AG341" s="6" t="str">
        <f>IFERROR(__xludf.DUMMYFUNCTION("""COMPUTED_VALUE"""),"Hr. N.H. Enkov")</f>
        <v>Hr. N.H. Enkov</v>
      </c>
      <c r="AH341" s="6" t="str">
        <f>IFERROR(__xludf.DUMMYFUNCTION("""COMPUTED_VALUE"""),"NL32INGB0672343789")</f>
        <v>NL32INGB0672343789</v>
      </c>
      <c r="AI341" s="6"/>
      <c r="AJ341" s="6" t="str">
        <f>IFERROR(__xludf.DUMMYFUNCTION("""COMPUTED_VALUE"""),"ID Kaart")</f>
        <v>ID Kaart</v>
      </c>
      <c r="AK341" s="6">
        <f>IFERROR(__xludf.DUMMYFUNCTION("""COMPUTED_VALUE"""),6.43043702E8)</f>
        <v>643043702</v>
      </c>
      <c r="AL341" s="9">
        <f>IFERROR(__xludf.DUMMYFUNCTION("""COMPUTED_VALUE"""),44528.0)</f>
        <v>44528</v>
      </c>
      <c r="AM341" s="6" t="str">
        <f>IFERROR(__xludf.DUMMYFUNCTION("""COMPUTED_VALUE"""),"Bulgarije")</f>
        <v>Bulgarije</v>
      </c>
      <c r="AN341" s="6" t="str">
        <f>IFERROR(__xludf.DUMMYFUNCTION("""COMPUTED_VALUE"""),"Nikolay Hristov Enkov")</f>
        <v>Nikolay Hristov Enkov</v>
      </c>
      <c r="AO341" s="6"/>
    </row>
    <row r="342">
      <c r="A342" s="6" t="str">
        <f>IFERROR(__xludf.DUMMYFUNCTION("""COMPUTED_VALUE"""),"NILKEMON VOF")</f>
        <v>NILKEMON VOF</v>
      </c>
      <c r="B342" s="6" t="str">
        <f>IFERROR(__xludf.DUMMYFUNCTION("""COMPUTED_VALUE"""),"NILKEMON VOF")</f>
        <v>NILKEMON VOF</v>
      </c>
      <c r="C342" s="6">
        <f>IFERROR(__xludf.DUMMYFUNCTION("""COMPUTED_VALUE"""),924.0)</f>
        <v>924</v>
      </c>
      <c r="D342" s="7" t="str">
        <f>IFERROR(__xludf.DUMMYFUNCTION("""COMPUTED_VALUE"""),"Hyusein Kemalov Hyuseinov")</f>
        <v>Hyusein Kemalov Hyuseinov</v>
      </c>
      <c r="E342" s="7" t="str">
        <f>IFERROR(__xludf.DUMMYFUNCTION("""COMPUTED_VALUE"""),"SBI-code: 4120 - Algemene burgerlijke en utiliteitsbouw")</f>
        <v>SBI-code: 4120 - Algemene burgerlijke en utiliteitsbouw</v>
      </c>
      <c r="F342" s="7" t="str">
        <f>IFERROR(__xludf.DUMMYFUNCTION("""COMPUTED_VALUE"""),"0642208044")</f>
        <v>0642208044</v>
      </c>
      <c r="G342" s="6" t="str">
        <f>IFERROR(__xludf.DUMMYFUNCTION("""COMPUTED_VALUE"""),"nilkemon@gmail.com")</f>
        <v>nilkemon@gmail.com</v>
      </c>
      <c r="H342" s="6" t="str">
        <f>IFERROR(__xludf.DUMMYFUNCTION("""COMPUTED_VALUE"""),"Cor Witschgestraat 14")</f>
        <v>Cor Witschgestraat 14</v>
      </c>
      <c r="I342" s="6" t="str">
        <f>IFERROR(__xludf.DUMMYFUNCTION("""COMPUTED_VALUE"""),"2033ZW")</f>
        <v>2033ZW</v>
      </c>
      <c r="J342" s="6" t="str">
        <f>IFERROR(__xludf.DUMMYFUNCTION("""COMPUTED_VALUE"""),"Haarlem")</f>
        <v>Haarlem</v>
      </c>
      <c r="K342" s="6" t="str">
        <f>IFERROR(__xludf.DUMMYFUNCTION("""COMPUTED_VALUE"""),"Nederland")</f>
        <v>Nederland</v>
      </c>
      <c r="L342" s="6" t="str">
        <f>IFERROR(__xludf.DUMMYFUNCTION("""COMPUTED_VALUE"""),"Хюсеинов")</f>
        <v>Хюсеинов</v>
      </c>
      <c r="M342" s="8">
        <f>IFERROR(__xludf.DUMMYFUNCTION("""COMPUTED_VALUE"""),43881.0)</f>
        <v>43881</v>
      </c>
      <c r="N342" s="6" t="str">
        <f>IFERROR(__xludf.DUMMYFUNCTION("""COMPUTED_VALUE"""),"NL861047825B01")</f>
        <v>NL861047825B01</v>
      </c>
      <c r="O342" s="6">
        <f>IFERROR(__xludf.DUMMYFUNCTION("""COMPUTED_VALUE"""),7.7564189E7)</f>
        <v>77564189</v>
      </c>
      <c r="P342" s="6" t="str">
        <f>IFERROR(__xludf.DUMMYFUNCTION("""COMPUTED_VALUE"""),"NL69INGB0008306052")</f>
        <v>NL69INGB0008306052</v>
      </c>
      <c r="Q342" s="9">
        <f>IFERROR(__xludf.DUMMYFUNCTION("""COMPUTED_VALUE"""),43881.0)</f>
        <v>43881</v>
      </c>
      <c r="R342" s="6"/>
      <c r="S342" s="6" t="str">
        <f>IFERROR(__xludf.DUMMYFUNCTION("""COMPUTED_VALUE"""),"NL861047825B01")</f>
        <v>NL861047825B01</v>
      </c>
      <c r="T342" s="6">
        <f>IFERROR(__xludf.DUMMYFUNCTION("""COMPUTED_VALUE"""),8.61047825E8)</f>
        <v>861047825</v>
      </c>
      <c r="U342" s="7" t="str">
        <f>IFERROR(__xludf.DUMMYFUNCTION("""COMPUTED_VALUE"""),"Vennootschap Onder Firma")</f>
        <v>Vennootschap Onder Firma</v>
      </c>
      <c r="V342" s="7" t="str">
        <f>IFERROR(__xludf.DUMMYFUNCTION("""COMPUTED_VALUE"""),"000045259313")</f>
        <v>000045259313</v>
      </c>
      <c r="W342" s="6" t="str">
        <f>IFERROR(__xludf.DUMMYFUNCTION("""COMPUTED_VALUE"""),"ink.nilkemonvof.2288aa@zarabota.nl")</f>
        <v>ink.nilkemonvof.2288aa@zarabota.nl</v>
      </c>
      <c r="X342" s="6" t="str">
        <f>IFERROR(__xludf.DUMMYFUNCTION("""COMPUTED_VALUE"""),"ver.nilkemonvof.2288aa@zarabota.nl")</f>
        <v>ver.nilkemonvof.2288aa@zarabota.nl</v>
      </c>
      <c r="Y342" s="6" t="str">
        <f>IFERROR(__xludf.DUMMYFUNCTION("""COMPUTED_VALUE"""),"Hr.")</f>
        <v>Hr.</v>
      </c>
      <c r="Z342" s="6" t="str">
        <f>IFERROR(__xludf.DUMMYFUNCTION("""COMPUTED_VALUE"""),"Hyusein Kemalov")</f>
        <v>Hyusein Kemalov</v>
      </c>
      <c r="AA342" s="6" t="str">
        <f>IFERROR(__xludf.DUMMYFUNCTION("""COMPUTED_VALUE"""),"Hyuseinov")</f>
        <v>Hyuseinov</v>
      </c>
      <c r="AB342" s="6" t="str">
        <f>IFERROR(__xludf.DUMMYFUNCTION("""COMPUTED_VALUE"""),"H.K.")</f>
        <v>H.K.</v>
      </c>
      <c r="AC342" s="6">
        <f>IFERROR(__xludf.DUMMYFUNCTION("""COMPUTED_VALUE"""),2.64127596E8)</f>
        <v>264127596</v>
      </c>
      <c r="AD342" s="9">
        <f>IFERROR(__xludf.DUMMYFUNCTION("""COMPUTED_VALUE"""),31988.0)</f>
        <v>31988</v>
      </c>
      <c r="AE342" s="6" t="str">
        <f>IFERROR(__xludf.DUMMYFUNCTION("""COMPUTED_VALUE"""),"bg")</f>
        <v>bg</v>
      </c>
      <c r="AF342" s="6" t="str">
        <f>IFERROR(__xludf.DUMMYFUNCTION("""COMPUTED_VALUE"""),"Omurtag")</f>
        <v>Omurtag</v>
      </c>
      <c r="AG342" s="6" t="str">
        <f>IFERROR(__xludf.DUMMYFUNCTION("""COMPUTED_VALUE"""),"Hr. H.K. Hyuseinov")</f>
        <v>Hr. H.K. Hyuseinov</v>
      </c>
      <c r="AH342" s="6"/>
      <c r="AI342" s="6"/>
      <c r="AJ342" s="6" t="str">
        <f>IFERROR(__xludf.DUMMYFUNCTION("""COMPUTED_VALUE"""),"ID Kaart")</f>
        <v>ID Kaart</v>
      </c>
      <c r="AK342" s="6">
        <f>IFERROR(__xludf.DUMMYFUNCTION("""COMPUTED_VALUE"""),6.48573513E8)</f>
        <v>648573513</v>
      </c>
      <c r="AL342" s="9">
        <f>IFERROR(__xludf.DUMMYFUNCTION("""COMPUTED_VALUE"""),47471.0)</f>
        <v>47471</v>
      </c>
      <c r="AM342" s="6" t="str">
        <f>IFERROR(__xludf.DUMMYFUNCTION("""COMPUTED_VALUE"""),"Bulgarije")</f>
        <v>Bulgarije</v>
      </c>
      <c r="AN342" s="6" t="str">
        <f>IFERROR(__xludf.DUMMYFUNCTION("""COMPUTED_VALUE"""),"Hyusein Kemalov Hyuseinov")</f>
        <v>Hyusein Kemalov Hyuseinov</v>
      </c>
      <c r="AO342" s="6"/>
    </row>
    <row r="343">
      <c r="A343" s="6" t="str">
        <f>IFERROR(__xludf.DUMMYFUNCTION("""COMPUTED_VALUE"""),"Nova 13 VOF")</f>
        <v>Nova 13 VOF</v>
      </c>
      <c r="B343" s="6" t="str">
        <f>IFERROR(__xludf.DUMMYFUNCTION("""COMPUTED_VALUE"""),"Nova 13 VOF (LHV Bouw VOF)")</f>
        <v>Nova 13 VOF (LHV Bouw VOF)</v>
      </c>
      <c r="C343" s="6">
        <f>IFERROR(__xludf.DUMMYFUNCTION("""COMPUTED_VALUE"""),1766.0)</f>
        <v>1766</v>
      </c>
      <c r="D343" s="7" t="str">
        <f>IFERROR(__xludf.DUMMYFUNCTION("""COMPUTED_VALUE"""),"Lyubomir Hristov Varaykov")</f>
        <v>Lyubomir Hristov Varaykov</v>
      </c>
      <c r="E343" s="7" t="str">
        <f>IFERROR(__xludf.DUMMYFUNCTION("""COMPUTED_VALUE"""),"SBI-code: 4120 - Algemene burgerlijke en utiliteitsbouw")</f>
        <v>SBI-code: 4120 - Algemene burgerlijke en utiliteitsbouw</v>
      </c>
      <c r="F343" s="7" t="str">
        <f>IFERROR(__xludf.DUMMYFUNCTION("""COMPUTED_VALUE"""),"0643743812")</f>
        <v>0643743812</v>
      </c>
      <c r="G343" s="6" t="str">
        <f>IFERROR(__xludf.DUMMYFUNCTION("""COMPUTED_VALUE"""),"nova13vof@gmail.com")</f>
        <v>nova13vof@gmail.com</v>
      </c>
      <c r="H343" s="6" t="str">
        <f>IFERROR(__xludf.DUMMYFUNCTION("""COMPUTED_VALUE"""),"Alpherwetering 20")</f>
        <v>Alpherwetering 20</v>
      </c>
      <c r="I343" s="6" t="str">
        <f>IFERROR(__xludf.DUMMYFUNCTION("""COMPUTED_VALUE"""),"2741MN")</f>
        <v>2741MN</v>
      </c>
      <c r="J343" s="6" t="str">
        <f>IFERROR(__xludf.DUMMYFUNCTION("""COMPUTED_VALUE"""),"Waddinxveen")</f>
        <v>Waddinxveen</v>
      </c>
      <c r="K343" s="6" t="str">
        <f>IFERROR(__xludf.DUMMYFUNCTION("""COMPUTED_VALUE"""),"Nederland")</f>
        <v>Nederland</v>
      </c>
      <c r="L343" s="6" t="str">
        <f>IFERROR(__xludf.DUMMYFUNCTION("""COMPUTED_VALUE"""),"Варайков")</f>
        <v>Варайков</v>
      </c>
      <c r="M343" s="8">
        <f>IFERROR(__xludf.DUMMYFUNCTION("""COMPUTED_VALUE"""),42542.0)</f>
        <v>42542</v>
      </c>
      <c r="N343" s="6" t="str">
        <f>IFERROR(__xludf.DUMMYFUNCTION("""COMPUTED_VALUE"""),"NL868963719B01")</f>
        <v>NL868963719B01</v>
      </c>
      <c r="O343" s="6">
        <f>IFERROR(__xludf.DUMMYFUNCTION("""COMPUTED_VALUE"""),9.937943E7)</f>
        <v>99379430</v>
      </c>
      <c r="P343" s="6" t="str">
        <f>IFERROR(__xludf.DUMMYFUNCTION("""COMPUTED_VALUE"""),"NL56INGB0007385562")</f>
        <v>NL56INGB0007385562</v>
      </c>
      <c r="Q343" s="9">
        <f>IFERROR(__xludf.DUMMYFUNCTION("""COMPUTED_VALUE"""),46023.0)</f>
        <v>46023</v>
      </c>
      <c r="R343" s="6"/>
      <c r="S343" s="6" t="str">
        <f>IFERROR(__xludf.DUMMYFUNCTION("""COMPUTED_VALUE"""),"NL868963719B01")</f>
        <v>NL868963719B01</v>
      </c>
      <c r="T343" s="6">
        <f>IFERROR(__xludf.DUMMYFUNCTION("""COMPUTED_VALUE"""),8.68963719E8)</f>
        <v>868963719</v>
      </c>
      <c r="U343" s="7" t="str">
        <f>IFERROR(__xludf.DUMMYFUNCTION("""COMPUTED_VALUE"""),"Vennootschap Onder Firma")</f>
        <v>Vennootschap Onder Firma</v>
      </c>
      <c r="V343" s="7" t="str">
        <f>IFERROR(__xludf.DUMMYFUNCTION("""COMPUTED_VALUE"""),"000034917810")</f>
        <v>000034917810</v>
      </c>
      <c r="W343" s="6" t="str">
        <f>IFERROR(__xludf.DUMMYFUNCTION("""COMPUTED_VALUE"""),"ink.nova13.2288aa@zarabota.nl")</f>
        <v>ink.nova13.2288aa@zarabota.nl</v>
      </c>
      <c r="X343" s="6" t="str">
        <f>IFERROR(__xludf.DUMMYFUNCTION("""COMPUTED_VALUE"""),"ver.nova13.2288aa@zarabota.nl")</f>
        <v>ver.nova13.2288aa@zarabota.nl</v>
      </c>
      <c r="Y343" s="6" t="str">
        <f>IFERROR(__xludf.DUMMYFUNCTION("""COMPUTED_VALUE"""),"Hr.")</f>
        <v>Hr.</v>
      </c>
      <c r="Z343" s="6" t="str">
        <f>IFERROR(__xludf.DUMMYFUNCTION("""COMPUTED_VALUE"""),"Lyubomir Hristov")</f>
        <v>Lyubomir Hristov</v>
      </c>
      <c r="AA343" s="6" t="str">
        <f>IFERROR(__xludf.DUMMYFUNCTION("""COMPUTED_VALUE"""),"Varaykov")</f>
        <v>Varaykov</v>
      </c>
      <c r="AB343" s="6" t="str">
        <f>IFERROR(__xludf.DUMMYFUNCTION("""COMPUTED_VALUE"""),"L.H.")</f>
        <v>L.H.</v>
      </c>
      <c r="AC343" s="6">
        <f>IFERROR(__xludf.DUMMYFUNCTION("""COMPUTED_VALUE"""),4.78470344E8)</f>
        <v>478470344</v>
      </c>
      <c r="AD343" s="9">
        <f>IFERROR(__xludf.DUMMYFUNCTION("""COMPUTED_VALUE"""),27214.0)</f>
        <v>27214</v>
      </c>
      <c r="AE343" s="6" t="str">
        <f>IFERROR(__xludf.DUMMYFUNCTION("""COMPUTED_VALUE"""),"bg")</f>
        <v>bg</v>
      </c>
      <c r="AF343" s="6" t="str">
        <f>IFERROR(__xludf.DUMMYFUNCTION("""COMPUTED_VALUE"""),"Sofia")</f>
        <v>Sofia</v>
      </c>
      <c r="AG343" s="6" t="str">
        <f>IFERROR(__xludf.DUMMYFUNCTION("""COMPUTED_VALUE"""),"Hr. L.H. Varaykov")</f>
        <v>Hr. L.H. Varaykov</v>
      </c>
      <c r="AH343" s="6" t="str">
        <f>IFERROR(__xludf.DUMMYFUNCTION("""COMPUTED_VALUE"""),"NL96INGB0703679554")</f>
        <v>NL96INGB0703679554</v>
      </c>
      <c r="AI343" s="9">
        <f>IFERROR(__xludf.DUMMYFUNCTION("""COMPUTED_VALUE"""),42541.0)</f>
        <v>42541</v>
      </c>
      <c r="AJ343" s="6" t="str">
        <f>IFERROR(__xludf.DUMMYFUNCTION("""COMPUTED_VALUE"""),"ID Kaart")</f>
        <v>ID Kaart</v>
      </c>
      <c r="AK343" s="6">
        <f>IFERROR(__xludf.DUMMYFUNCTION("""COMPUTED_VALUE"""),6.44308675E8)</f>
        <v>644308675</v>
      </c>
      <c r="AL343" s="9">
        <f>IFERROR(__xludf.DUMMYFUNCTION("""COMPUTED_VALUE"""),44688.0)</f>
        <v>44688</v>
      </c>
      <c r="AM343" s="6" t="str">
        <f>IFERROR(__xludf.DUMMYFUNCTION("""COMPUTED_VALUE"""),"Bulgarije")</f>
        <v>Bulgarije</v>
      </c>
      <c r="AN343" s="6" t="str">
        <f>IFERROR(__xludf.DUMMYFUNCTION("""COMPUTED_VALUE"""),"Lyubomir Hristov Varaykov")</f>
        <v>Lyubomir Hristov Varaykov</v>
      </c>
      <c r="AO343" s="6">
        <f>IFERROR(__xludf.DUMMYFUNCTION("""COMPUTED_VALUE"""),1766.0)</f>
        <v>1766</v>
      </c>
    </row>
    <row r="344">
      <c r="A344" s="6" t="str">
        <f>IFERROR(__xludf.DUMMYFUNCTION("""COMPUTED_VALUE"""),"Nuri Bouw")</f>
        <v>Nuri Bouw</v>
      </c>
      <c r="B344" s="6" t="str">
        <f>IFERROR(__xludf.DUMMYFUNCTION("""COMPUTED_VALUE"""),"Nuri Bouw")</f>
        <v>Nuri Bouw</v>
      </c>
      <c r="C344" s="6">
        <f>IFERROR(__xludf.DUMMYFUNCTION("""COMPUTED_VALUE"""),951.0)</f>
        <v>951</v>
      </c>
      <c r="D344" s="7" t="str">
        <f>IFERROR(__xludf.DUMMYFUNCTION("""COMPUTED_VALUE"""),"Nuri Azizov Zelenkov")</f>
        <v>Nuri Azizov Zelenkov</v>
      </c>
      <c r="E344" s="7" t="str">
        <f>IFERROR(__xludf.DUMMYFUNCTION("""COMPUTED_VALUE"""),"SBI-code: 4120 - Algemene burgerlijke en utiliteitsbouw")</f>
        <v>SBI-code: 4120 - Algemene burgerlijke en utiliteitsbouw</v>
      </c>
      <c r="F344" s="7" t="str">
        <f>IFERROR(__xludf.DUMMYFUNCTION("""COMPUTED_VALUE"""),"0613897215")</f>
        <v>0613897215</v>
      </c>
      <c r="G344" s="6" t="str">
        <f>IFERROR(__xludf.DUMMYFUNCTION("""COMPUTED_VALUE"""),"zelenkov2020nuri@gmail.com")</f>
        <v>zelenkov2020nuri@gmail.com</v>
      </c>
      <c r="H344" s="6" t="str">
        <f>IFERROR(__xludf.DUMMYFUNCTION("""COMPUTED_VALUE"""),"Vreeswijkstraat 663")</f>
        <v>Vreeswijkstraat 663</v>
      </c>
      <c r="I344" s="6" t="str">
        <f>IFERROR(__xludf.DUMMYFUNCTION("""COMPUTED_VALUE"""),"2546 AR")</f>
        <v>2546 AR</v>
      </c>
      <c r="J344" s="6" t="str">
        <f>IFERROR(__xludf.DUMMYFUNCTION("""COMPUTED_VALUE"""),"s-Gravenhage")</f>
        <v>s-Gravenhage</v>
      </c>
      <c r="K344" s="6" t="str">
        <f>IFERROR(__xludf.DUMMYFUNCTION("""COMPUTED_VALUE"""),"Nederland")</f>
        <v>Nederland</v>
      </c>
      <c r="L344" s="6" t="str">
        <f>IFERROR(__xludf.DUMMYFUNCTION("""COMPUTED_VALUE"""),"Зеленков")</f>
        <v>Зеленков</v>
      </c>
      <c r="M344" s="8">
        <f>IFERROR(__xludf.DUMMYFUNCTION("""COMPUTED_VALUE"""),43891.0)</f>
        <v>43891</v>
      </c>
      <c r="N344" s="6" t="str">
        <f>IFERROR(__xludf.DUMMYFUNCTION("""COMPUTED_VALUE"""),"NL565664025B01")</f>
        <v>NL565664025B01</v>
      </c>
      <c r="O344" s="6">
        <f>IFERROR(__xludf.DUMMYFUNCTION("""COMPUTED_VALUE"""),7.7633482E7)</f>
        <v>77633482</v>
      </c>
      <c r="P344" s="6" t="str">
        <f>IFERROR(__xludf.DUMMYFUNCTION("""COMPUTED_VALUE"""),"NL52INGB0007846093")</f>
        <v>NL52INGB0007846093</v>
      </c>
      <c r="Q344" s="9">
        <f>IFERROR(__xludf.DUMMYFUNCTION("""COMPUTED_VALUE"""),43891.0)</f>
        <v>43891</v>
      </c>
      <c r="R344" s="6"/>
      <c r="S344" s="6" t="str">
        <f>IFERROR(__xludf.DUMMYFUNCTION("""COMPUTED_VALUE"""),"NL003216281B90")</f>
        <v>NL003216281B90</v>
      </c>
      <c r="T344" s="6">
        <f>IFERROR(__xludf.DUMMYFUNCTION("""COMPUTED_VALUE"""),5.65664025E8)</f>
        <v>565664025</v>
      </c>
      <c r="U344" s="7" t="str">
        <f>IFERROR(__xludf.DUMMYFUNCTION("""COMPUTED_VALUE"""),"Eenmanszaak")</f>
        <v>Eenmanszaak</v>
      </c>
      <c r="V344" s="7" t="str">
        <f>IFERROR(__xludf.DUMMYFUNCTION("""COMPUTED_VALUE"""),"000045322597")</f>
        <v>000045322597</v>
      </c>
      <c r="W344" s="6" t="str">
        <f>IFERROR(__xludf.DUMMYFUNCTION("""COMPUTED_VALUE"""),"ink.nuribouw.2288aa@zarabota.nl")</f>
        <v>ink.nuribouw.2288aa@zarabota.nl</v>
      </c>
      <c r="X344" s="6" t="str">
        <f>IFERROR(__xludf.DUMMYFUNCTION("""COMPUTED_VALUE"""),"ver.nuribouw.2288aa@zarabota.nl")</f>
        <v>ver.nuribouw.2288aa@zarabota.nl</v>
      </c>
      <c r="Y344" s="6" t="str">
        <f>IFERROR(__xludf.DUMMYFUNCTION("""COMPUTED_VALUE"""),"Hr.")</f>
        <v>Hr.</v>
      </c>
      <c r="Z344" s="6" t="str">
        <f>IFERROR(__xludf.DUMMYFUNCTION("""COMPUTED_VALUE"""),"Nuri Azizov")</f>
        <v>Nuri Azizov</v>
      </c>
      <c r="AA344" s="6" t="str">
        <f>IFERROR(__xludf.DUMMYFUNCTION("""COMPUTED_VALUE"""),"Zelenkov")</f>
        <v>Zelenkov</v>
      </c>
      <c r="AB344" s="6" t="str">
        <f>IFERROR(__xludf.DUMMYFUNCTION("""COMPUTED_VALUE"""),"N.A.")</f>
        <v>N.A.</v>
      </c>
      <c r="AC344" s="6">
        <f>IFERROR(__xludf.DUMMYFUNCTION("""COMPUTED_VALUE"""),5.65664025E8)</f>
        <v>565664025</v>
      </c>
      <c r="AD344" s="9">
        <f>IFERROR(__xludf.DUMMYFUNCTION("""COMPUTED_VALUE"""),28973.0)</f>
        <v>28973</v>
      </c>
      <c r="AE344" s="6" t="str">
        <f>IFERROR(__xludf.DUMMYFUNCTION("""COMPUTED_VALUE"""),"bg")</f>
        <v>bg</v>
      </c>
      <c r="AF344" s="6" t="str">
        <f>IFERROR(__xludf.DUMMYFUNCTION("""COMPUTED_VALUE"""),"Ardino")</f>
        <v>Ardino</v>
      </c>
      <c r="AG344" s="6" t="str">
        <f>IFERROR(__xludf.DUMMYFUNCTION("""COMPUTED_VALUE"""),"Hr. N.A. Zelenkov")</f>
        <v>Hr. N.A. Zelenkov</v>
      </c>
      <c r="AH344" s="6"/>
      <c r="AI344" s="6"/>
      <c r="AJ344" s="6" t="str">
        <f>IFERROR(__xludf.DUMMYFUNCTION("""COMPUTED_VALUE"""),"ID Kaart")</f>
        <v>ID Kaart</v>
      </c>
      <c r="AK344" s="6">
        <f>IFERROR(__xludf.DUMMYFUNCTION("""COMPUTED_VALUE"""),6.41724714E8)</f>
        <v>641724714</v>
      </c>
      <c r="AL344" s="9">
        <f>IFERROR(__xludf.DUMMYFUNCTION("""COMPUTED_VALUE"""),44214.0)</f>
        <v>44214</v>
      </c>
      <c r="AM344" s="6" t="str">
        <f>IFERROR(__xludf.DUMMYFUNCTION("""COMPUTED_VALUE"""),"Bulgarije")</f>
        <v>Bulgarije</v>
      </c>
      <c r="AN344" s="6" t="str">
        <f>IFERROR(__xludf.DUMMYFUNCTION("""COMPUTED_VALUE"""),"Nuri Azizov Zelenkov")</f>
        <v>Nuri Azizov Zelenkov</v>
      </c>
      <c r="AO344" s="6"/>
    </row>
    <row r="345">
      <c r="A345" s="6" t="str">
        <f>IFERROR(__xludf.DUMMYFUNCTION("""COMPUTED_VALUE"""),"Nyshta Bouw")</f>
        <v>Nyshta Bouw</v>
      </c>
      <c r="B345" s="6" t="str">
        <f>IFERROR(__xludf.DUMMYFUNCTION("""COMPUTED_VALUE"""),"Nyshta Bouw")</f>
        <v>Nyshta Bouw</v>
      </c>
      <c r="C345" s="6">
        <f>IFERROR(__xludf.DUMMYFUNCTION("""COMPUTED_VALUE"""),1683.0)</f>
        <v>1683</v>
      </c>
      <c r="D345" s="7" t="str">
        <f>IFERROR(__xludf.DUMMYFUNCTION("""COMPUTED_VALUE"""),"Ivan Nyshta")</f>
        <v>Ivan Nyshta</v>
      </c>
      <c r="E345" s="7" t="str">
        <f>IFERROR(__xludf.DUMMYFUNCTION("""COMPUTED_VALUE"""),"SBI-code: 4331 - Stukadoren")</f>
        <v>SBI-code: 4331 - Stukadoren</v>
      </c>
      <c r="F345" s="7" t="str">
        <f>IFERROR(__xludf.DUMMYFUNCTION("""COMPUTED_VALUE"""),"0685498224")</f>
        <v>0685498224</v>
      </c>
      <c r="G345" s="6" t="str">
        <f>IFERROR(__xludf.DUMMYFUNCTION("""COMPUTED_VALUE"""),"ivannista692@gmail.com")</f>
        <v>ivannista692@gmail.com</v>
      </c>
      <c r="H345" s="6" t="str">
        <f>IFERROR(__xludf.DUMMYFUNCTION("""COMPUTED_VALUE"""),"Convivastraat 91")</f>
        <v>Convivastraat 91</v>
      </c>
      <c r="I345" s="6" t="str">
        <f>IFERROR(__xludf.DUMMYFUNCTION("""COMPUTED_VALUE"""),"2522XG")</f>
        <v>2522XG</v>
      </c>
      <c r="J345" s="6" t="str">
        <f>IFERROR(__xludf.DUMMYFUNCTION("""COMPUTED_VALUE"""),"s-Gravenhage")</f>
        <v>s-Gravenhage</v>
      </c>
      <c r="K345" s="6" t="str">
        <f>IFERROR(__xludf.DUMMYFUNCTION("""COMPUTED_VALUE"""),"Nederland")</f>
        <v>Nederland</v>
      </c>
      <c r="L345" s="6" t="str">
        <f>IFERROR(__xludf.DUMMYFUNCTION("""COMPUTED_VALUE"""),"Ништа")</f>
        <v>Ништа</v>
      </c>
      <c r="M345" s="8">
        <f>IFERROR(__xludf.DUMMYFUNCTION("""COMPUTED_VALUE"""),45658.0)</f>
        <v>45658</v>
      </c>
      <c r="N345" s="6" t="str">
        <f>IFERROR(__xludf.DUMMYFUNCTION("""COMPUTED_VALUE"""),"NL291444969B01")</f>
        <v>NL291444969B01</v>
      </c>
      <c r="O345" s="6">
        <f>IFERROR(__xludf.DUMMYFUNCTION("""COMPUTED_VALUE"""),9.6291443E7)</f>
        <v>96291443</v>
      </c>
      <c r="P345" s="6" t="str">
        <f>IFERROR(__xludf.DUMMYFUNCTION("""COMPUTED_VALUE"""),"NL97INGB0110681967")</f>
        <v>NL97INGB0110681967</v>
      </c>
      <c r="Q345" s="9">
        <f>IFERROR(__xludf.DUMMYFUNCTION("""COMPUTED_VALUE"""),45689.0)</f>
        <v>45689</v>
      </c>
      <c r="R345" s="6"/>
      <c r="S345" s="6" t="str">
        <f>IFERROR(__xludf.DUMMYFUNCTION("""COMPUTED_VALUE"""),"NL005200882B67")</f>
        <v>NL005200882B67</v>
      </c>
      <c r="T345" s="6">
        <f>IFERROR(__xludf.DUMMYFUNCTION("""COMPUTED_VALUE"""),2.91444969E8)</f>
        <v>291444969</v>
      </c>
      <c r="U345" s="7" t="str">
        <f>IFERROR(__xludf.DUMMYFUNCTION("""COMPUTED_VALUE"""),"Eenmanszaak")</f>
        <v>Eenmanszaak</v>
      </c>
      <c r="V345" s="7" t="str">
        <f>IFERROR(__xludf.DUMMYFUNCTION("""COMPUTED_VALUE"""),"000061627178")</f>
        <v>000061627178</v>
      </c>
      <c r="W345" s="6" t="str">
        <f>IFERROR(__xludf.DUMMYFUNCTION("""COMPUTED_VALUE"""),"ink.nyshtabouw.2288aa@zarabota.nl")</f>
        <v>ink.nyshtabouw.2288aa@zarabota.nl</v>
      </c>
      <c r="X345" s="6" t="str">
        <f>IFERROR(__xludf.DUMMYFUNCTION("""COMPUTED_VALUE"""),"ver.nyshtabouw.2288aa@zarabota.nl")</f>
        <v>ver.nyshtabouw.2288aa@zarabota.nl</v>
      </c>
      <c r="Y345" s="6" t="str">
        <f>IFERROR(__xludf.DUMMYFUNCTION("""COMPUTED_VALUE"""),"Hr.")</f>
        <v>Hr.</v>
      </c>
      <c r="Z345" s="6" t="str">
        <f>IFERROR(__xludf.DUMMYFUNCTION("""COMPUTED_VALUE"""),"Ivan")</f>
        <v>Ivan</v>
      </c>
      <c r="AA345" s="6" t="str">
        <f>IFERROR(__xludf.DUMMYFUNCTION("""COMPUTED_VALUE"""),"Nyshta")</f>
        <v>Nyshta</v>
      </c>
      <c r="AB345" s="6" t="str">
        <f>IFERROR(__xludf.DUMMYFUNCTION("""COMPUTED_VALUE"""),"I.")</f>
        <v>I.</v>
      </c>
      <c r="AC345" s="6">
        <f>IFERROR(__xludf.DUMMYFUNCTION("""COMPUTED_VALUE"""),2.91444969E8)</f>
        <v>291444969</v>
      </c>
      <c r="AD345" s="9">
        <f>IFERROR(__xludf.DUMMYFUNCTION("""COMPUTED_VALUE"""),28508.0)</f>
        <v>28508</v>
      </c>
      <c r="AE345" s="6" t="str">
        <f>IFERROR(__xludf.DUMMYFUNCTION("""COMPUTED_VALUE"""),"uk")</f>
        <v>uk</v>
      </c>
      <c r="AF345" s="6" t="str">
        <f>IFERROR(__xludf.DUMMYFUNCTION("""COMPUTED_VALUE"""),"Ternopol")</f>
        <v>Ternopol</v>
      </c>
      <c r="AG345" s="6" t="str">
        <f>IFERROR(__xludf.DUMMYFUNCTION("""COMPUTED_VALUE"""),"Hr. I. Nyshta")</f>
        <v>Hr. I. Nyshta</v>
      </c>
      <c r="AH345" s="6" t="str">
        <f>IFERROR(__xludf.DUMMYFUNCTION("""COMPUTED_VALUE"""),"NL72INGB0105086002")</f>
        <v>NL72INGB0105086002</v>
      </c>
      <c r="AI345" s="6"/>
      <c r="AJ345" s="6" t="str">
        <f>IFERROR(__xludf.DUMMYFUNCTION("""COMPUTED_VALUE"""),"Paspoort")</f>
        <v>Paspoort</v>
      </c>
      <c r="AK345" s="6" t="str">
        <f>IFERROR(__xludf.DUMMYFUNCTION("""COMPUTED_VALUE"""),"FZ646459")</f>
        <v>FZ646459</v>
      </c>
      <c r="AL345" s="9">
        <f>IFERROR(__xludf.DUMMYFUNCTION("""COMPUTED_VALUE"""),47818.0)</f>
        <v>47818</v>
      </c>
      <c r="AM345" s="6" t="str">
        <f>IFERROR(__xludf.DUMMYFUNCTION("""COMPUTED_VALUE"""),"Bulgarije")</f>
        <v>Bulgarije</v>
      </c>
      <c r="AN345" s="6" t="str">
        <f>IFERROR(__xludf.DUMMYFUNCTION("""COMPUTED_VALUE"""),"Ivan Nyshta")</f>
        <v>Ivan Nyshta</v>
      </c>
      <c r="AO345" s="6">
        <f>IFERROR(__xludf.DUMMYFUNCTION("""COMPUTED_VALUE"""),1683.0)</f>
        <v>1683</v>
      </c>
    </row>
    <row r="346">
      <c r="A346" s="6" t="str">
        <f>IFERROR(__xludf.DUMMYFUNCTION("""COMPUTED_VALUE"""),"Nyshta Stukadoor")</f>
        <v>Nyshta Stukadoor</v>
      </c>
      <c r="B346" s="6" t="str">
        <f>IFERROR(__xludf.DUMMYFUNCTION("""COMPUTED_VALUE"""),"Nyshta Stukadoor")</f>
        <v>Nyshta Stukadoor</v>
      </c>
      <c r="C346" s="6">
        <f>IFERROR(__xludf.DUMMYFUNCTION("""COMPUTED_VALUE"""),1675.0)</f>
        <v>1675</v>
      </c>
      <c r="D346" s="7" t="str">
        <f>IFERROR(__xludf.DUMMYFUNCTION("""COMPUTED_VALUE"""),"Mykhailo Nyshta")</f>
        <v>Mykhailo Nyshta</v>
      </c>
      <c r="E346" s="7" t="str">
        <f>IFERROR(__xludf.DUMMYFUNCTION("""COMPUTED_VALUE"""),"SBI-code: 4331 - Stukadoren")</f>
        <v>SBI-code: 4331 - Stukadoren</v>
      </c>
      <c r="F346" s="7" t="str">
        <f>IFERROR(__xludf.DUMMYFUNCTION("""COMPUTED_VALUE"""),"0687140854")</f>
        <v>0687140854</v>
      </c>
      <c r="G346" s="6" t="str">
        <f>IFERROR(__xludf.DUMMYFUNCTION("""COMPUTED_VALUE"""),"misha.nyshta@gmail.com")</f>
        <v>misha.nyshta@gmail.com</v>
      </c>
      <c r="H346" s="6" t="str">
        <f>IFERROR(__xludf.DUMMYFUNCTION("""COMPUTED_VALUE"""),"Dierenselaan 110")</f>
        <v>Dierenselaan 110</v>
      </c>
      <c r="I346" s="6" t="str">
        <f>IFERROR(__xludf.DUMMYFUNCTION("""COMPUTED_VALUE"""),"2573KK")</f>
        <v>2573KK</v>
      </c>
      <c r="J346" s="6" t="str">
        <f>IFERROR(__xludf.DUMMYFUNCTION("""COMPUTED_VALUE"""),"s-Gravenhage")</f>
        <v>s-Gravenhage</v>
      </c>
      <c r="K346" s="6" t="str">
        <f>IFERROR(__xludf.DUMMYFUNCTION("""COMPUTED_VALUE"""),"Nederland")</f>
        <v>Nederland</v>
      </c>
      <c r="L346" s="6" t="str">
        <f>IFERROR(__xludf.DUMMYFUNCTION("""COMPUTED_VALUE"""),"Ништа")</f>
        <v>Ништа</v>
      </c>
      <c r="M346" s="8">
        <f>IFERROR(__xludf.DUMMYFUNCTION("""COMPUTED_VALUE"""),45571.0)</f>
        <v>45571</v>
      </c>
      <c r="N346" s="6" t="str">
        <f>IFERROR(__xludf.DUMMYFUNCTION("""COMPUTED_VALUE"""),"NL650228716B01")</f>
        <v>NL650228716B01</v>
      </c>
      <c r="O346" s="6">
        <f>IFERROR(__xludf.DUMMYFUNCTION("""COMPUTED_VALUE"""),9.5467165E7)</f>
        <v>95467165</v>
      </c>
      <c r="P346" s="6" t="str">
        <f>IFERROR(__xludf.DUMMYFUNCTION("""COMPUTED_VALUE"""),"NL56INGB0109595432")</f>
        <v>NL56INGB0109595432</v>
      </c>
      <c r="Q346" s="9">
        <f>IFERROR(__xludf.DUMMYFUNCTION("""COMPUTED_VALUE"""),45571.0)</f>
        <v>45571</v>
      </c>
      <c r="R346" s="6"/>
      <c r="S346" s="6" t="str">
        <f>IFERROR(__xludf.DUMMYFUNCTION("""COMPUTED_VALUE"""),"NL005154538B63")</f>
        <v>NL005154538B63</v>
      </c>
      <c r="T346" s="6">
        <f>IFERROR(__xludf.DUMMYFUNCTION("""COMPUTED_VALUE"""),6.50228716E8)</f>
        <v>650228716</v>
      </c>
      <c r="U346" s="7" t="str">
        <f>IFERROR(__xludf.DUMMYFUNCTION("""COMPUTED_VALUE"""),"Eenmanszaak")</f>
        <v>Eenmanszaak</v>
      </c>
      <c r="V346" s="7" t="str">
        <f>IFERROR(__xludf.DUMMYFUNCTION("""COMPUTED_VALUE"""),"000060877197")</f>
        <v>000060877197</v>
      </c>
      <c r="W346" s="6" t="str">
        <f>IFERROR(__xludf.DUMMYFUNCTION("""COMPUTED_VALUE"""),"ink.nyshtastuc.2288aa@zarabota.nl")</f>
        <v>ink.nyshtastuc.2288aa@zarabota.nl</v>
      </c>
      <c r="X346" s="6" t="str">
        <f>IFERROR(__xludf.DUMMYFUNCTION("""COMPUTED_VALUE"""),"ver.nyshtastuc.2288aa@zarabota.nl")</f>
        <v>ver.nyshtastuc.2288aa@zarabota.nl</v>
      </c>
      <c r="Y346" s="6" t="str">
        <f>IFERROR(__xludf.DUMMYFUNCTION("""COMPUTED_VALUE"""),"Hr.")</f>
        <v>Hr.</v>
      </c>
      <c r="Z346" s="6" t="str">
        <f>IFERROR(__xludf.DUMMYFUNCTION("""COMPUTED_VALUE"""),"Mykhailo")</f>
        <v>Mykhailo</v>
      </c>
      <c r="AA346" s="6" t="str">
        <f>IFERROR(__xludf.DUMMYFUNCTION("""COMPUTED_VALUE"""),"Nyshta")</f>
        <v>Nyshta</v>
      </c>
      <c r="AB346" s="6" t="str">
        <f>IFERROR(__xludf.DUMMYFUNCTION("""COMPUTED_VALUE"""),"M.")</f>
        <v>M.</v>
      </c>
      <c r="AC346" s="6">
        <f>IFERROR(__xludf.DUMMYFUNCTION("""COMPUTED_VALUE"""),6.50228716E8)</f>
        <v>650228716</v>
      </c>
      <c r="AD346" s="9">
        <f>IFERROR(__xludf.DUMMYFUNCTION("""COMPUTED_VALUE"""),37945.0)</f>
        <v>37945</v>
      </c>
      <c r="AE346" s="6" t="str">
        <f>IFERROR(__xludf.DUMMYFUNCTION("""COMPUTED_VALUE"""),"uk")</f>
        <v>uk</v>
      </c>
      <c r="AF346" s="6"/>
      <c r="AG346" s="6" t="str">
        <f>IFERROR(__xludf.DUMMYFUNCTION("""COMPUTED_VALUE"""),"Hr. M. Nyshta")</f>
        <v>Hr. M. Nyshta</v>
      </c>
      <c r="AH346" s="6"/>
      <c r="AI346" s="6"/>
      <c r="AJ346" s="6"/>
      <c r="AK346" s="6"/>
      <c r="AL346" s="6"/>
      <c r="AM346" s="6" t="str">
        <f>IFERROR(__xludf.DUMMYFUNCTION("""COMPUTED_VALUE"""),"Bulgarije")</f>
        <v>Bulgarije</v>
      </c>
      <c r="AN346" s="6" t="str">
        <f>IFERROR(__xludf.DUMMYFUNCTION("""COMPUTED_VALUE"""),"Mykhailo Nyshta")</f>
        <v>Mykhailo Nyshta</v>
      </c>
      <c r="AO346" s="6">
        <f>IFERROR(__xludf.DUMMYFUNCTION("""COMPUTED_VALUE"""),1675.0)</f>
        <v>1675</v>
      </c>
    </row>
    <row r="347">
      <c r="A347" s="6" t="str">
        <f>IFERROR(__xludf.DUMMYFUNCTION("""COMPUTED_VALUE"""),"NZB Bouw")</f>
        <v>NZB Bouw</v>
      </c>
      <c r="B347" s="6" t="str">
        <f>IFERROR(__xludf.DUMMYFUNCTION("""COMPUTED_VALUE"""),"NZB Bouw")</f>
        <v>NZB Bouw</v>
      </c>
      <c r="C347" s="6">
        <f>IFERROR(__xludf.DUMMYFUNCTION("""COMPUTED_VALUE"""),363.0)</f>
        <v>363</v>
      </c>
      <c r="D347" s="7" t="str">
        <f>IFERROR(__xludf.DUMMYFUNCTION("""COMPUTED_VALUE"""),"Nedyalko Zhivkov Boradzhiev")</f>
        <v>Nedyalko Zhivkov Boradzhiev</v>
      </c>
      <c r="E347" s="7" t="str">
        <f>IFERROR(__xludf.DUMMYFUNCTION("""COMPUTED_VALUE"""),"SBI-code: 4120 - Algemene burgerlijke en utiliteitsbouw")</f>
        <v>SBI-code: 4120 - Algemene burgerlijke en utiliteitsbouw</v>
      </c>
      <c r="F347" s="7" t="str">
        <f>IFERROR(__xludf.DUMMYFUNCTION("""COMPUTED_VALUE"""),"0643435262")</f>
        <v>0643435262</v>
      </c>
      <c r="G347" s="6" t="str">
        <f>IFERROR(__xludf.DUMMYFUNCTION("""COMPUTED_VALUE"""),"nedqlkoboragjiev@gmail.com")</f>
        <v>nedqlkoboragjiev@gmail.com</v>
      </c>
      <c r="H347" s="6" t="str">
        <f>IFERROR(__xludf.DUMMYFUNCTION("""COMPUTED_VALUE"""),"Van Merlenstraat 56 A")</f>
        <v>Van Merlenstraat 56 A</v>
      </c>
      <c r="I347" s="6" t="str">
        <f>IFERROR(__xludf.DUMMYFUNCTION("""COMPUTED_VALUE"""),"2518TG")</f>
        <v>2518TG</v>
      </c>
      <c r="J347" s="6" t="str">
        <f>IFERROR(__xludf.DUMMYFUNCTION("""COMPUTED_VALUE"""),"`s-Gravenhage")</f>
        <v>`s-Gravenhage</v>
      </c>
      <c r="K347" s="6" t="str">
        <f>IFERROR(__xludf.DUMMYFUNCTION("""COMPUTED_VALUE"""),"Nederland")</f>
        <v>Nederland</v>
      </c>
      <c r="L347" s="6" t="str">
        <f>IFERROR(__xludf.DUMMYFUNCTION("""COMPUTED_VALUE"""),"Бораджиев")</f>
        <v>Бораджиев</v>
      </c>
      <c r="M347" s="8">
        <f>IFERROR(__xludf.DUMMYFUNCTION("""COMPUTED_VALUE"""),43175.0)</f>
        <v>43175</v>
      </c>
      <c r="N347" s="6" t="str">
        <f>IFERROR(__xludf.DUMMYFUNCTION("""COMPUTED_VALUE"""),"NL265355473B01")</f>
        <v>NL265355473B01</v>
      </c>
      <c r="O347" s="6">
        <f>IFERROR(__xludf.DUMMYFUNCTION("""COMPUTED_VALUE"""),6.6264383E7)</f>
        <v>66264383</v>
      </c>
      <c r="P347" s="6" t="str">
        <f>IFERROR(__xludf.DUMMYFUNCTION("""COMPUTED_VALUE"""),"NL87INGB0007377438")</f>
        <v>NL87INGB0007377438</v>
      </c>
      <c r="Q347" s="9">
        <f>IFERROR(__xludf.DUMMYFUNCTION("""COMPUTED_VALUE"""),42539.0)</f>
        <v>42539</v>
      </c>
      <c r="R347" s="6"/>
      <c r="S347" s="6" t="str">
        <f>IFERROR(__xludf.DUMMYFUNCTION("""COMPUTED_VALUE"""),"NL002458210B40")</f>
        <v>NL002458210B40</v>
      </c>
      <c r="T347" s="6">
        <f>IFERROR(__xludf.DUMMYFUNCTION("""COMPUTED_VALUE"""),2.65355473E8)</f>
        <v>265355473</v>
      </c>
      <c r="U347" s="7" t="str">
        <f>IFERROR(__xludf.DUMMYFUNCTION("""COMPUTED_VALUE"""),"Eenmanszaak")</f>
        <v>Eenmanszaak</v>
      </c>
      <c r="V347" s="7" t="str">
        <f>IFERROR(__xludf.DUMMYFUNCTION("""COMPUTED_VALUE"""),"000034904271")</f>
        <v>000034904271</v>
      </c>
      <c r="W347" s="6" t="str">
        <f>IFERROR(__xludf.DUMMYFUNCTION("""COMPUTED_VALUE"""),"ink.nzbbouw.2288aa@zarabota.nl")</f>
        <v>ink.nzbbouw.2288aa@zarabota.nl</v>
      </c>
      <c r="X347" s="6" t="str">
        <f>IFERROR(__xludf.DUMMYFUNCTION("""COMPUTED_VALUE"""),"ver.nzbbouw.2288aa@zarabota.nl")</f>
        <v>ver.nzbbouw.2288aa@zarabota.nl</v>
      </c>
      <c r="Y347" s="6" t="str">
        <f>IFERROR(__xludf.DUMMYFUNCTION("""COMPUTED_VALUE"""),"Hr.")</f>
        <v>Hr.</v>
      </c>
      <c r="Z347" s="6" t="str">
        <f>IFERROR(__xludf.DUMMYFUNCTION("""COMPUTED_VALUE"""),"Nedyalko Zhivkov")</f>
        <v>Nedyalko Zhivkov</v>
      </c>
      <c r="AA347" s="6" t="str">
        <f>IFERROR(__xludf.DUMMYFUNCTION("""COMPUTED_VALUE"""),"Boradzhiev")</f>
        <v>Boradzhiev</v>
      </c>
      <c r="AB347" s="6" t="str">
        <f>IFERROR(__xludf.DUMMYFUNCTION("""COMPUTED_VALUE"""),"N.Z.")</f>
        <v>N.Z.</v>
      </c>
      <c r="AC347" s="6">
        <f>IFERROR(__xludf.DUMMYFUNCTION("""COMPUTED_VALUE"""),2.65355473E8)</f>
        <v>265355473</v>
      </c>
      <c r="AD347" s="9">
        <f>IFERROR(__xludf.DUMMYFUNCTION("""COMPUTED_VALUE"""),23107.0)</f>
        <v>23107</v>
      </c>
      <c r="AE347" s="6" t="str">
        <f>IFERROR(__xludf.DUMMYFUNCTION("""COMPUTED_VALUE"""),"bg")</f>
        <v>bg</v>
      </c>
      <c r="AF347" s="6" t="str">
        <f>IFERROR(__xludf.DUMMYFUNCTION("""COMPUTED_VALUE"""),"Rudozem")</f>
        <v>Rudozem</v>
      </c>
      <c r="AG347" s="6" t="str">
        <f>IFERROR(__xludf.DUMMYFUNCTION("""COMPUTED_VALUE"""),"Hr. N.Z. Boradzhiev")</f>
        <v>Hr. N.Z. Boradzhiev</v>
      </c>
      <c r="AH347" s="6"/>
      <c r="AI347" s="6"/>
      <c r="AJ347" s="6" t="str">
        <f>IFERROR(__xludf.DUMMYFUNCTION("""COMPUTED_VALUE"""),"ID Kaart")</f>
        <v>ID Kaart</v>
      </c>
      <c r="AK347" s="6">
        <f>IFERROR(__xludf.DUMMYFUNCTION("""COMPUTED_VALUE"""),6.41643524E8)</f>
        <v>641643524</v>
      </c>
      <c r="AL347" s="9">
        <f>IFERROR(__xludf.DUMMYFUNCTION("""COMPUTED_VALUE"""),44199.0)</f>
        <v>44199</v>
      </c>
      <c r="AM347" s="6"/>
      <c r="AN347" s="6" t="str">
        <f>IFERROR(__xludf.DUMMYFUNCTION("""COMPUTED_VALUE"""),"Nedyalko Zhivkov Boradzhiev")</f>
        <v>Nedyalko Zhivkov Boradzhiev</v>
      </c>
      <c r="AO347" s="6"/>
    </row>
    <row r="348">
      <c r="A348" s="6" t="str">
        <f>IFERROR(__xludf.DUMMYFUNCTION("""COMPUTED_VALUE"""),"Ognev")</f>
        <v>Ognev</v>
      </c>
      <c r="B348" s="6" t="str">
        <f>IFERROR(__xludf.DUMMYFUNCTION("""COMPUTED_VALUE"""),"Ognev")</f>
        <v>Ognev</v>
      </c>
      <c r="C348" s="6">
        <f>IFERROR(__xludf.DUMMYFUNCTION("""COMPUTED_VALUE"""),1606.0)</f>
        <v>1606</v>
      </c>
      <c r="D348" s="7" t="str">
        <f>IFERROR(__xludf.DUMMYFUNCTION("""COMPUTED_VALUE"""),"Ivan Georgiev Ognev")</f>
        <v>Ivan Georgiev Ognev</v>
      </c>
      <c r="E348" s="7" t="str">
        <f>IFERROR(__xludf.DUMMYFUNCTION("""COMPUTED_VALUE"""),"SBI-code: 4120 - Algemene burgerlijke en utiliteitsbouw")</f>
        <v>SBI-code: 4120 - Algemene burgerlijke en utiliteitsbouw</v>
      </c>
      <c r="F348" s="7" t="str">
        <f>IFERROR(__xludf.DUMMYFUNCTION("""COMPUTED_VALUE"""),"0616011705")</f>
        <v>0616011705</v>
      </c>
      <c r="G348" s="6" t="str">
        <f>IFERROR(__xludf.DUMMYFUNCTION("""COMPUTED_VALUE"""),"ivanognev48@gmail.com")</f>
        <v>ivanognev48@gmail.com</v>
      </c>
      <c r="H348" s="6" t="str">
        <f>IFERROR(__xludf.DUMMYFUNCTION("""COMPUTED_VALUE"""),"Oostzeestraat 206")</f>
        <v>Oostzeestraat 206</v>
      </c>
      <c r="I348" s="6" t="str">
        <f>IFERROR(__xludf.DUMMYFUNCTION("""COMPUTED_VALUE"""),"8226 BJ")</f>
        <v>8226 BJ</v>
      </c>
      <c r="J348" s="6" t="str">
        <f>IFERROR(__xludf.DUMMYFUNCTION("""COMPUTED_VALUE"""),"Lelystad")</f>
        <v>Lelystad</v>
      </c>
      <c r="K348" s="6" t="str">
        <f>IFERROR(__xludf.DUMMYFUNCTION("""COMPUTED_VALUE"""),"Nederland")</f>
        <v>Nederland</v>
      </c>
      <c r="L348" s="6" t="str">
        <f>IFERROR(__xludf.DUMMYFUNCTION("""COMPUTED_VALUE"""),"Огнев")</f>
        <v>Огнев</v>
      </c>
      <c r="M348" s="8">
        <f>IFERROR(__xludf.DUMMYFUNCTION("""COMPUTED_VALUE"""),45362.0)</f>
        <v>45362</v>
      </c>
      <c r="N348" s="6" t="str">
        <f>IFERROR(__xludf.DUMMYFUNCTION("""COMPUTED_VALUE"""),"NL389570072B01")</f>
        <v>NL389570072B01</v>
      </c>
      <c r="O348" s="6">
        <f>IFERROR(__xludf.DUMMYFUNCTION("""COMPUTED_VALUE"""),9.3148283E7)</f>
        <v>93148283</v>
      </c>
      <c r="P348" s="6" t="str">
        <f>IFERROR(__xludf.DUMMYFUNCTION("""COMPUTED_VALUE"""),"NL12INGB0105918954")</f>
        <v>NL12INGB0105918954</v>
      </c>
      <c r="Q348" s="9">
        <f>IFERROR(__xludf.DUMMYFUNCTION("""COMPUTED_VALUE"""),45362.0)</f>
        <v>45362</v>
      </c>
      <c r="R348" s="6"/>
      <c r="S348" s="6" t="str">
        <f>IFERROR(__xludf.DUMMYFUNCTION("""COMPUTED_VALUE"""),"NL005005365B43")</f>
        <v>NL005005365B43</v>
      </c>
      <c r="T348" s="6">
        <f>IFERROR(__xludf.DUMMYFUNCTION("""COMPUTED_VALUE"""),3.89570072E8)</f>
        <v>389570072</v>
      </c>
      <c r="U348" s="7" t="str">
        <f>IFERROR(__xludf.DUMMYFUNCTION("""COMPUTED_VALUE"""),"Eenmanszaak")</f>
        <v>Eenmanszaak</v>
      </c>
      <c r="V348" s="7" t="str">
        <f>IFERROR(__xludf.DUMMYFUNCTION("""COMPUTED_VALUE"""),"000058712097")</f>
        <v>000058712097</v>
      </c>
      <c r="W348" s="6" t="str">
        <f>IFERROR(__xludf.DUMMYFUNCTION("""COMPUTED_VALUE"""),"ink.ognev.2288aa@zarabota.nl")</f>
        <v>ink.ognev.2288aa@zarabota.nl</v>
      </c>
      <c r="X348" s="6" t="str">
        <f>IFERROR(__xludf.DUMMYFUNCTION("""COMPUTED_VALUE"""),"ver.ognev.2288aa@zarabota.nl")</f>
        <v>ver.ognev.2288aa@zarabota.nl</v>
      </c>
      <c r="Y348" s="6" t="str">
        <f>IFERROR(__xludf.DUMMYFUNCTION("""COMPUTED_VALUE"""),"Hr.")</f>
        <v>Hr.</v>
      </c>
      <c r="Z348" s="6" t="str">
        <f>IFERROR(__xludf.DUMMYFUNCTION("""COMPUTED_VALUE"""),"Ivan Georgiev")</f>
        <v>Ivan Georgiev</v>
      </c>
      <c r="AA348" s="6" t="str">
        <f>IFERROR(__xludf.DUMMYFUNCTION("""COMPUTED_VALUE"""),"Ognev")</f>
        <v>Ognev</v>
      </c>
      <c r="AB348" s="6" t="str">
        <f>IFERROR(__xludf.DUMMYFUNCTION("""COMPUTED_VALUE"""),"I.G.")</f>
        <v>I.G.</v>
      </c>
      <c r="AC348" s="6">
        <f>IFERROR(__xludf.DUMMYFUNCTION("""COMPUTED_VALUE"""),3.89570072E8)</f>
        <v>389570072</v>
      </c>
      <c r="AD348" s="9">
        <f>IFERROR(__xludf.DUMMYFUNCTION("""COMPUTED_VALUE"""),36767.0)</f>
        <v>36767</v>
      </c>
      <c r="AE348" s="6" t="str">
        <f>IFERROR(__xludf.DUMMYFUNCTION("""COMPUTED_VALUE"""),"bg")</f>
        <v>bg</v>
      </c>
      <c r="AF348" s="6"/>
      <c r="AG348" s="6" t="str">
        <f>IFERROR(__xludf.DUMMYFUNCTION("""COMPUTED_VALUE"""),"Hr. I.G. Ognev")</f>
        <v>Hr. I.G. Ognev</v>
      </c>
      <c r="AH348" s="6" t="str">
        <f>IFERROR(__xludf.DUMMYFUNCTION("""COMPUTED_VALUE"""),"NL12INGB0105918954")</f>
        <v>NL12INGB0105918954</v>
      </c>
      <c r="AI348" s="6"/>
      <c r="AJ348" s="6"/>
      <c r="AK348" s="6"/>
      <c r="AL348" s="6"/>
      <c r="AM348" s="6" t="str">
        <f>IFERROR(__xludf.DUMMYFUNCTION("""COMPUTED_VALUE"""),"Bulgarije")</f>
        <v>Bulgarije</v>
      </c>
      <c r="AN348" s="6" t="str">
        <f>IFERROR(__xludf.DUMMYFUNCTION("""COMPUTED_VALUE"""),"Ivan Georgiev Ognev")</f>
        <v>Ivan Georgiev Ognev</v>
      </c>
      <c r="AO348" s="6">
        <f>IFERROR(__xludf.DUMMYFUNCTION("""COMPUTED_VALUE"""),1606.0)</f>
        <v>1606</v>
      </c>
    </row>
    <row r="349">
      <c r="A349" s="6" t="str">
        <f>IFERROR(__xludf.DUMMYFUNCTION("""COMPUTED_VALUE"""),"Oke Travel")</f>
        <v>Oke Travel</v>
      </c>
      <c r="B349" s="6" t="str">
        <f>IFERROR(__xludf.DUMMYFUNCTION("""COMPUTED_VALUE"""),"VTM-25 B.V.")</f>
        <v>VTM-25 B.V.</v>
      </c>
      <c r="C349" s="6">
        <f>IFERROR(__xludf.DUMMYFUNCTION("""COMPUTED_VALUE"""),1723.0)</f>
        <v>1723</v>
      </c>
      <c r="D349" s="7" t="str">
        <f>IFERROR(__xludf.DUMMYFUNCTION("""COMPUTED_VALUE"""),"Todor Todorov Milkov")</f>
        <v>Todor Todorov Milkov</v>
      </c>
      <c r="E349" s="7" t="str">
        <f>IFERROR(__xludf.DUMMYFUNCTION("""COMPUTED_VALUE"""),"SBI-code: 70102 Holdings (geen financiele")</f>
        <v>SBI-code: 70102 Holdings (geen financiele</v>
      </c>
      <c r="F349" s="7" t="str">
        <f>IFERROR(__xludf.DUMMYFUNCTION("""COMPUTED_VALUE"""),"0624466263")</f>
        <v>0624466263</v>
      </c>
      <c r="G349" s="6" t="str">
        <f>IFERROR(__xludf.DUMMYFUNCTION("""COMPUTED_VALUE"""),"vtm-25@zzp-nl.nl")</f>
        <v>vtm-25@zzp-nl.nl</v>
      </c>
      <c r="H349" s="6" t="str">
        <f>IFERROR(__xludf.DUMMYFUNCTION("""COMPUTED_VALUE"""),"Zuiderparklaan 60")</f>
        <v>Zuiderparklaan 60</v>
      </c>
      <c r="I349" s="6" t="str">
        <f>IFERROR(__xludf.DUMMYFUNCTION("""COMPUTED_VALUE"""),"2574HM")</f>
        <v>2574HM</v>
      </c>
      <c r="J349" s="6" t="str">
        <f>IFERROR(__xludf.DUMMYFUNCTION("""COMPUTED_VALUE"""),"S-GRAVENHAGE")</f>
        <v>S-GRAVENHAGE</v>
      </c>
      <c r="K349" s="6" t="str">
        <f>IFERROR(__xludf.DUMMYFUNCTION("""COMPUTED_VALUE"""),"Nederland")</f>
        <v>Nederland</v>
      </c>
      <c r="L349" s="6" t="str">
        <f>IFERROR(__xludf.DUMMYFUNCTION("""COMPUTED_VALUE"""),"Милков")</f>
        <v>Милков</v>
      </c>
      <c r="M349" s="8">
        <f>IFERROR(__xludf.DUMMYFUNCTION("""COMPUTED_VALUE"""),45884.0)</f>
        <v>45884</v>
      </c>
      <c r="N349" s="6" t="str">
        <f>IFERROR(__xludf.DUMMYFUNCTION("""COMPUTED_VALUE"""),"NL868332859B01")</f>
        <v>NL868332859B01</v>
      </c>
      <c r="O349" s="6">
        <f>IFERROR(__xludf.DUMMYFUNCTION("""COMPUTED_VALUE"""),9.8033883E7)</f>
        <v>98033883</v>
      </c>
      <c r="P349" s="6" t="str">
        <f>IFERROR(__xludf.DUMMYFUNCTION("""COMPUTED_VALUE"""),"NL11ABNA0148922813")</f>
        <v>NL11ABNA0148922813</v>
      </c>
      <c r="Q349" s="9">
        <f>IFERROR(__xludf.DUMMYFUNCTION("""COMPUTED_VALUE"""),41306.0)</f>
        <v>41306</v>
      </c>
      <c r="R349" s="9">
        <f>IFERROR(__xludf.DUMMYFUNCTION("""COMPUTED_VALUE"""),42979.0)</f>
        <v>42979</v>
      </c>
      <c r="S349" s="6" t="str">
        <f>IFERROR(__xludf.DUMMYFUNCTION("""COMPUTED_VALUE"""),"NL868332859B01")</f>
        <v>NL868332859B01</v>
      </c>
      <c r="T349" s="6">
        <f>IFERROR(__xludf.DUMMYFUNCTION("""COMPUTED_VALUE"""),8.68332859E8)</f>
        <v>868332859</v>
      </c>
      <c r="U349" s="7" t="str">
        <f>IFERROR(__xludf.DUMMYFUNCTION("""COMPUTED_VALUE"""),"Besloten Vennootschap")</f>
        <v>Besloten Vennootschap</v>
      </c>
      <c r="V349" s="6"/>
      <c r="W349" s="6" t="str">
        <f>IFERROR(__xludf.DUMMYFUNCTION("""COMPUTED_VALUE"""),"ink.vtm-25.2288aa@zarabota.nl")</f>
        <v>ink.vtm-25.2288aa@zarabota.nl</v>
      </c>
      <c r="X349" s="6" t="str">
        <f>IFERROR(__xludf.DUMMYFUNCTION("""COMPUTED_VALUE"""),"ver.vtm-25.2288aa@zarabota.nl")</f>
        <v>ver.vtm-25.2288aa@zarabota.nl</v>
      </c>
      <c r="Y349" s="6" t="str">
        <f>IFERROR(__xludf.DUMMYFUNCTION("""COMPUTED_VALUE"""),"Hr.")</f>
        <v>Hr.</v>
      </c>
      <c r="Z349" s="6" t="str">
        <f>IFERROR(__xludf.DUMMYFUNCTION("""COMPUTED_VALUE"""),"Todor Todorov")</f>
        <v>Todor Todorov</v>
      </c>
      <c r="AA349" s="6" t="str">
        <f>IFERROR(__xludf.DUMMYFUNCTION("""COMPUTED_VALUE"""),"Milkov")</f>
        <v>Milkov</v>
      </c>
      <c r="AB349" s="6" t="str">
        <f>IFERROR(__xludf.DUMMYFUNCTION("""COMPUTED_VALUE"""),"T.T.")</f>
        <v>T.T.</v>
      </c>
      <c r="AC349" s="6">
        <f>IFERROR(__xludf.DUMMYFUNCTION("""COMPUTED_VALUE"""),6.65418097E8)</f>
        <v>665418097</v>
      </c>
      <c r="AD349" s="9">
        <f>IFERROR(__xludf.DUMMYFUNCTION("""COMPUTED_VALUE"""),33281.0)</f>
        <v>33281</v>
      </c>
      <c r="AE349" s="6" t="str">
        <f>IFERROR(__xludf.DUMMYFUNCTION("""COMPUTED_VALUE"""),"bg")</f>
        <v>bg</v>
      </c>
      <c r="AF349" s="6"/>
      <c r="AG349" s="6" t="str">
        <f>IFERROR(__xludf.DUMMYFUNCTION("""COMPUTED_VALUE"""),"Hr. T.T. Milkov")</f>
        <v>Hr. T.T. Milkov</v>
      </c>
      <c r="AH349" s="6"/>
      <c r="AI349" s="6"/>
      <c r="AJ349" s="6"/>
      <c r="AK349" s="6"/>
      <c r="AL349" s="6"/>
      <c r="AM349" s="6"/>
      <c r="AN349" s="6" t="str">
        <f>IFERROR(__xludf.DUMMYFUNCTION("""COMPUTED_VALUE"""),"Todor Todorov Milkov")</f>
        <v>Todor Todorov Milkov</v>
      </c>
      <c r="AO349" s="6">
        <f>IFERROR(__xludf.DUMMYFUNCTION("""COMPUTED_VALUE"""),1723.0)</f>
        <v>1723</v>
      </c>
    </row>
    <row r="350">
      <c r="A350" s="6" t="str">
        <f>IFERROR(__xludf.DUMMYFUNCTION("""COMPUTED_VALUE"""),"Okic Transport")</f>
        <v>Okic Transport</v>
      </c>
      <c r="B350" s="6" t="str">
        <f>IFERROR(__xludf.DUMMYFUNCTION("""COMPUTED_VALUE"""),"Okic Transport")</f>
        <v>Okic Transport</v>
      </c>
      <c r="C350" s="6">
        <f>IFERROR(__xludf.DUMMYFUNCTION("""COMPUTED_VALUE"""),1546.0)</f>
        <v>1546</v>
      </c>
      <c r="D350" s="7" t="str">
        <f>IFERROR(__xludf.DUMMYFUNCTION("""COMPUTED_VALUE"""),"Oktay Ilhan Halibryam")</f>
        <v>Oktay Ilhan Halibryam</v>
      </c>
      <c r="E350" s="7" t="str">
        <f>IFERROR(__xludf.DUMMYFUNCTION("""COMPUTED_VALUE"""),"SBI-code: 4941 - Goederenvervoer over de weg (geen verhuizingen)")</f>
        <v>SBI-code: 4941 - Goederenvervoer over de weg (geen verhuizingen)</v>
      </c>
      <c r="F350" s="7" t="str">
        <f>IFERROR(__xludf.DUMMYFUNCTION("""COMPUTED_VALUE"""),"0687243452")</f>
        <v>0687243452</v>
      </c>
      <c r="G350" s="6" t="str">
        <f>IFERROR(__xludf.DUMMYFUNCTION("""COMPUTED_VALUE"""),"oktayfit.abv.bg@icloud.com")</f>
        <v>oktayfit.abv.bg@icloud.com</v>
      </c>
      <c r="H350" s="6" t="str">
        <f>IFERROR(__xludf.DUMMYFUNCTION("""COMPUTED_VALUE"""),"Waldorpstraat 568-D")</f>
        <v>Waldorpstraat 568-D</v>
      </c>
      <c r="I350" s="6" t="str">
        <f>IFERROR(__xludf.DUMMYFUNCTION("""COMPUTED_VALUE"""),"2521CK")</f>
        <v>2521CK</v>
      </c>
      <c r="J350" s="6" t="str">
        <f>IFERROR(__xludf.DUMMYFUNCTION("""COMPUTED_VALUE"""),"s-Gravenhage")</f>
        <v>s-Gravenhage</v>
      </c>
      <c r="K350" s="6" t="str">
        <f>IFERROR(__xludf.DUMMYFUNCTION("""COMPUTED_VALUE"""),"Nederland")</f>
        <v>Nederland</v>
      </c>
      <c r="L350" s="6" t="str">
        <f>IFERROR(__xludf.DUMMYFUNCTION("""COMPUTED_VALUE"""),"Халибрям")</f>
        <v>Халибрям</v>
      </c>
      <c r="M350" s="8">
        <f>IFERROR(__xludf.DUMMYFUNCTION("""COMPUTED_VALUE"""),45187.0)</f>
        <v>45187</v>
      </c>
      <c r="N350" s="6" t="str">
        <f>IFERROR(__xludf.DUMMYFUNCTION("""COMPUTED_VALUE"""),"NL780731943B01")</f>
        <v>NL780731943B01</v>
      </c>
      <c r="O350" s="6">
        <f>IFERROR(__xludf.DUMMYFUNCTION("""COMPUTED_VALUE"""),9.1385733E7)</f>
        <v>91385733</v>
      </c>
      <c r="P350" s="6" t="str">
        <f>IFERROR(__xludf.DUMMYFUNCTION("""COMPUTED_VALUE"""),"NL36INGB0103536493")</f>
        <v>NL36INGB0103536493</v>
      </c>
      <c r="Q350" s="9">
        <f>IFERROR(__xludf.DUMMYFUNCTION("""COMPUTED_VALUE"""),45187.0)</f>
        <v>45187</v>
      </c>
      <c r="R350" s="6"/>
      <c r="S350" s="6" t="str">
        <f>IFERROR(__xludf.DUMMYFUNCTION("""COMPUTED_VALUE"""),"NL004887647B71")</f>
        <v>NL004887647B71</v>
      </c>
      <c r="T350" s="6">
        <f>IFERROR(__xludf.DUMMYFUNCTION("""COMPUTED_VALUE"""),7.80731943E8)</f>
        <v>780731943</v>
      </c>
      <c r="U350" s="7" t="str">
        <f>IFERROR(__xludf.DUMMYFUNCTION("""COMPUTED_VALUE"""),"Eenmanszaak")</f>
        <v>Eenmanszaak</v>
      </c>
      <c r="V350" s="7" t="str">
        <f>IFERROR(__xludf.DUMMYFUNCTION("""COMPUTED_VALUE"""),"000057065381")</f>
        <v>000057065381</v>
      </c>
      <c r="W350" s="6" t="str">
        <f>IFERROR(__xludf.DUMMYFUNCTION("""COMPUTED_VALUE"""),"ink.okictransport.2288aa@zarabota.nl")</f>
        <v>ink.okictransport.2288aa@zarabota.nl</v>
      </c>
      <c r="X350" s="6" t="str">
        <f>IFERROR(__xludf.DUMMYFUNCTION("""COMPUTED_VALUE"""),"ver.okictransport.2288aa@zarabota.nl")</f>
        <v>ver.okictransport.2288aa@zarabota.nl</v>
      </c>
      <c r="Y350" s="6" t="str">
        <f>IFERROR(__xludf.DUMMYFUNCTION("""COMPUTED_VALUE"""),"Hr.")</f>
        <v>Hr.</v>
      </c>
      <c r="Z350" s="6" t="str">
        <f>IFERROR(__xludf.DUMMYFUNCTION("""COMPUTED_VALUE"""),"Oktay Ilhan")</f>
        <v>Oktay Ilhan</v>
      </c>
      <c r="AA350" s="6" t="str">
        <f>IFERROR(__xludf.DUMMYFUNCTION("""COMPUTED_VALUE"""),"Halibryam")</f>
        <v>Halibryam</v>
      </c>
      <c r="AB350" s="6" t="str">
        <f>IFERROR(__xludf.DUMMYFUNCTION("""COMPUTED_VALUE"""),"O.I.")</f>
        <v>O.I.</v>
      </c>
      <c r="AC350" s="6">
        <f>IFERROR(__xludf.DUMMYFUNCTION("""COMPUTED_VALUE"""),7.80731943E8)</f>
        <v>780731943</v>
      </c>
      <c r="AD350" s="9">
        <f>IFERROR(__xludf.DUMMYFUNCTION("""COMPUTED_VALUE"""),36372.0)</f>
        <v>36372</v>
      </c>
      <c r="AE350" s="6" t="str">
        <f>IFERROR(__xludf.DUMMYFUNCTION("""COMPUTED_VALUE"""),"bg")</f>
        <v>bg</v>
      </c>
      <c r="AF350" s="6" t="str">
        <f>IFERROR(__xludf.DUMMYFUNCTION("""COMPUTED_VALUE"""),"Kardzhali")</f>
        <v>Kardzhali</v>
      </c>
      <c r="AG350" s="6" t="str">
        <f>IFERROR(__xludf.DUMMYFUNCTION("""COMPUTED_VALUE"""),"Hr. O.I. Halibryam")</f>
        <v>Hr. O.I. Halibryam</v>
      </c>
      <c r="AH350" s="6" t="str">
        <f>IFERROR(__xludf.DUMMYFUNCTION("""COMPUTED_VALUE"""),"LT813250083587973220")</f>
        <v>LT813250083587973220</v>
      </c>
      <c r="AI350" s="9">
        <f>IFERROR(__xludf.DUMMYFUNCTION("""COMPUTED_VALUE"""),43787.0)</f>
        <v>43787</v>
      </c>
      <c r="AJ350" s="6" t="str">
        <f>IFERROR(__xludf.DUMMYFUNCTION("""COMPUTED_VALUE"""),"ID Kaart")</f>
        <v>ID Kaart</v>
      </c>
      <c r="AK350" s="6">
        <f>IFERROR(__xludf.DUMMYFUNCTION("""COMPUTED_VALUE"""),6.47294192E8)</f>
        <v>647294192</v>
      </c>
      <c r="AL350" s="9">
        <f>IFERROR(__xludf.DUMMYFUNCTION("""COMPUTED_VALUE"""),46690.0)</f>
        <v>46690</v>
      </c>
      <c r="AM350" s="6" t="str">
        <f>IFERROR(__xludf.DUMMYFUNCTION("""COMPUTED_VALUE"""),"Bulgarije")</f>
        <v>Bulgarije</v>
      </c>
      <c r="AN350" s="6" t="str">
        <f>IFERROR(__xludf.DUMMYFUNCTION("""COMPUTED_VALUE"""),"Oktay Ilhan Halibryam")</f>
        <v>Oktay Ilhan Halibryam</v>
      </c>
      <c r="AO350" s="6">
        <f>IFERROR(__xludf.DUMMYFUNCTION("""COMPUTED_VALUE"""),1546.0)</f>
        <v>1546</v>
      </c>
    </row>
    <row r="351">
      <c r="A351" s="6" t="str">
        <f>IFERROR(__xludf.DUMMYFUNCTION("""COMPUTED_VALUE"""),"Okta 89")</f>
        <v>Okta 89</v>
      </c>
      <c r="B351" s="6" t="str">
        <f>IFERROR(__xludf.DUMMYFUNCTION("""COMPUTED_VALUE"""),"Okta 89")</f>
        <v>Okta 89</v>
      </c>
      <c r="C351" s="6">
        <f>IFERROR(__xludf.DUMMYFUNCTION("""COMPUTED_VALUE"""),621.0)</f>
        <v>621</v>
      </c>
      <c r="D351" s="7" t="str">
        <f>IFERROR(__xludf.DUMMYFUNCTION("""COMPUTED_VALUE"""),"Oktay Aynur Yunuzov")</f>
        <v>Oktay Aynur Yunuzov</v>
      </c>
      <c r="E351" s="7" t="str">
        <f>IFERROR(__xludf.DUMMYFUNCTION("""COMPUTED_VALUE"""),"SBI-code: 4120 - Algemene burgerlijke en utiliteitsbouw")</f>
        <v>SBI-code: 4120 - Algemene burgerlijke en utiliteitsbouw</v>
      </c>
      <c r="F351" s="7" t="str">
        <f>IFERROR(__xludf.DUMMYFUNCTION("""COMPUTED_VALUE"""),"0618079784")</f>
        <v>0618079784</v>
      </c>
      <c r="G351" s="6" t="str">
        <f>IFERROR(__xludf.DUMMYFUNCTION("""COMPUTED_VALUE"""),"oktay.yunuzov@gmail.com")</f>
        <v>oktay.yunuzov@gmail.com</v>
      </c>
      <c r="H351" s="6" t="str">
        <f>IFERROR(__xludf.DUMMYFUNCTION("""COMPUTED_VALUE"""),"Polsbroekstraat 46")</f>
        <v>Polsbroekstraat 46</v>
      </c>
      <c r="I351" s="6" t="str">
        <f>IFERROR(__xludf.DUMMYFUNCTION("""COMPUTED_VALUE"""),"2546 RM")</f>
        <v>2546 RM</v>
      </c>
      <c r="J351" s="6" t="str">
        <f>IFERROR(__xludf.DUMMYFUNCTION("""COMPUTED_VALUE"""),"s-Gravenhage")</f>
        <v>s-Gravenhage</v>
      </c>
      <c r="K351" s="6" t="str">
        <f>IFERROR(__xludf.DUMMYFUNCTION("""COMPUTED_VALUE"""),"Nederland")</f>
        <v>Nederland</v>
      </c>
      <c r="L351" s="6" t="str">
        <f>IFERROR(__xludf.DUMMYFUNCTION("""COMPUTED_VALUE"""),"Юнузов")</f>
        <v>Юнузов</v>
      </c>
      <c r="M351" s="8">
        <f>IFERROR(__xludf.DUMMYFUNCTION("""COMPUTED_VALUE"""),43327.0)</f>
        <v>43327</v>
      </c>
      <c r="N351" s="6" t="str">
        <f>IFERROR(__xludf.DUMMYFUNCTION("""COMPUTED_VALUE"""),"NL337273698B03")</f>
        <v>NL337273698B03</v>
      </c>
      <c r="O351" s="6">
        <f>IFERROR(__xludf.DUMMYFUNCTION("""COMPUTED_VALUE"""),7.247833E7)</f>
        <v>72478330</v>
      </c>
      <c r="P351" s="6" t="str">
        <f>IFERROR(__xludf.DUMMYFUNCTION("""COMPUTED_VALUE"""),"NL41INGB0008599011")</f>
        <v>NL41INGB0008599011</v>
      </c>
      <c r="Q351" s="9">
        <f>IFERROR(__xludf.DUMMYFUNCTION("""COMPUTED_VALUE"""),43327.0)</f>
        <v>43327</v>
      </c>
      <c r="R351" s="6"/>
      <c r="S351" s="6" t="str">
        <f>IFERROR(__xludf.DUMMYFUNCTION("""COMPUTED_VALUE"""),"NL002470624B58")</f>
        <v>NL002470624B58</v>
      </c>
      <c r="T351" s="6">
        <f>IFERROR(__xludf.DUMMYFUNCTION("""COMPUTED_VALUE"""),3.37273698E8)</f>
        <v>337273698</v>
      </c>
      <c r="U351" s="7" t="str">
        <f>IFERROR(__xludf.DUMMYFUNCTION("""COMPUTED_VALUE"""),"Eenmanszaak")</f>
        <v>Eenmanszaak</v>
      </c>
      <c r="V351" s="7" t="str">
        <f>IFERROR(__xludf.DUMMYFUNCTION("""COMPUTED_VALUE"""),"000040585484")</f>
        <v>000040585484</v>
      </c>
      <c r="W351" s="6" t="str">
        <f>IFERROR(__xludf.DUMMYFUNCTION("""COMPUTED_VALUE"""),"ink.okta89.2288aa@zarabota.nl")</f>
        <v>ink.okta89.2288aa@zarabota.nl</v>
      </c>
      <c r="X351" s="6" t="str">
        <f>IFERROR(__xludf.DUMMYFUNCTION("""COMPUTED_VALUE"""),"ver.okta89.2288aa@zarabota.nl")</f>
        <v>ver.okta89.2288aa@zarabota.nl</v>
      </c>
      <c r="Y351" s="6" t="str">
        <f>IFERROR(__xludf.DUMMYFUNCTION("""COMPUTED_VALUE"""),"Hr.")</f>
        <v>Hr.</v>
      </c>
      <c r="Z351" s="6" t="str">
        <f>IFERROR(__xludf.DUMMYFUNCTION("""COMPUTED_VALUE"""),"Oktay Aynur")</f>
        <v>Oktay Aynur</v>
      </c>
      <c r="AA351" s="6" t="str">
        <f>IFERROR(__xludf.DUMMYFUNCTION("""COMPUTED_VALUE"""),"Yuzunov")</f>
        <v>Yuzunov</v>
      </c>
      <c r="AB351" s="6" t="str">
        <f>IFERROR(__xludf.DUMMYFUNCTION("""COMPUTED_VALUE"""),"O.A.")</f>
        <v>O.A.</v>
      </c>
      <c r="AC351" s="6">
        <f>IFERROR(__xludf.DUMMYFUNCTION("""COMPUTED_VALUE"""),3.37273698E8)</f>
        <v>337273698</v>
      </c>
      <c r="AD351" s="9">
        <f>IFERROR(__xludf.DUMMYFUNCTION("""COMPUTED_VALUE"""),32571.0)</f>
        <v>32571</v>
      </c>
      <c r="AE351" s="6" t="str">
        <f>IFERROR(__xludf.DUMMYFUNCTION("""COMPUTED_VALUE"""),"bg")</f>
        <v>bg</v>
      </c>
      <c r="AF351" s="6"/>
      <c r="AG351" s="6" t="str">
        <f>IFERROR(__xludf.DUMMYFUNCTION("""COMPUTED_VALUE"""),"Hr. O.A. Yuzunov")</f>
        <v>Hr. O.A. Yuzunov</v>
      </c>
      <c r="AH351" s="6"/>
      <c r="AI351" s="6"/>
      <c r="AJ351" s="6"/>
      <c r="AK351" s="6"/>
      <c r="AL351" s="6"/>
      <c r="AM351" s="6"/>
      <c r="AN351" s="6" t="str">
        <f>IFERROR(__xludf.DUMMYFUNCTION("""COMPUTED_VALUE"""),"Oktay Aynur Yuzunov")</f>
        <v>Oktay Aynur Yuzunov</v>
      </c>
      <c r="AO351" s="6"/>
    </row>
    <row r="352">
      <c r="A352" s="6" t="str">
        <f>IFERROR(__xludf.DUMMYFUNCTION("""COMPUTED_VALUE"""),"Oleksa Bouw")</f>
        <v>Oleksa Bouw</v>
      </c>
      <c r="B352" s="6" t="str">
        <f>IFERROR(__xludf.DUMMYFUNCTION("""COMPUTED_VALUE"""),"Oleksa Bouw")</f>
        <v>Oleksa Bouw</v>
      </c>
      <c r="C352" s="6">
        <f>IFERROR(__xludf.DUMMYFUNCTION("""COMPUTED_VALUE"""),1454.0)</f>
        <v>1454</v>
      </c>
      <c r="D352" s="7" t="str">
        <f>IFERROR(__xludf.DUMMYFUNCTION("""COMPUTED_VALUE"""),"Oleksandr Ivanovich Dovhaliuk")</f>
        <v>Oleksandr Ivanovich Dovhaliuk</v>
      </c>
      <c r="E352" s="7" t="str">
        <f>IFERROR(__xludf.DUMMYFUNCTION("""COMPUTED_VALUE"""),"SBI-code: 4120 - Algemene burgerlijke en utiliteitsbouw")</f>
        <v>SBI-code: 4120 - Algemene burgerlijke en utiliteitsbouw</v>
      </c>
      <c r="F352" s="7" t="str">
        <f>IFERROR(__xludf.DUMMYFUNCTION("""COMPUTED_VALUE"""),"0685216886")</f>
        <v>0685216886</v>
      </c>
      <c r="G352" s="6" t="str">
        <f>IFERROR(__xludf.DUMMYFUNCTION("""COMPUTED_VALUE"""),"oleksabouw@gmail.com")</f>
        <v>oleksabouw@gmail.com</v>
      </c>
      <c r="H352" s="6" t="str">
        <f>IFERROR(__xludf.DUMMYFUNCTION("""COMPUTED_VALUE"""),"Teunislaan 3")</f>
        <v>Teunislaan 3</v>
      </c>
      <c r="I352" s="6" t="str">
        <f>IFERROR(__xludf.DUMMYFUNCTION("""COMPUTED_VALUE"""),"5231BS ")</f>
        <v>5231BS </v>
      </c>
      <c r="J352" s="6" t="str">
        <f>IFERROR(__xludf.DUMMYFUNCTION("""COMPUTED_VALUE"""),"s-Hertogenbosch")</f>
        <v>s-Hertogenbosch</v>
      </c>
      <c r="K352" s="6" t="str">
        <f>IFERROR(__xludf.DUMMYFUNCTION("""COMPUTED_VALUE"""),"Nederland")</f>
        <v>Nederland</v>
      </c>
      <c r="L352" s="6" t="str">
        <f>IFERROR(__xludf.DUMMYFUNCTION("""COMPUTED_VALUE"""),"Довгалюк")</f>
        <v>Довгалюк</v>
      </c>
      <c r="M352" s="8">
        <f>IFERROR(__xludf.DUMMYFUNCTION("""COMPUTED_VALUE"""),45658.0)</f>
        <v>45658</v>
      </c>
      <c r="N352" s="6" t="str">
        <f>IFERROR(__xludf.DUMMYFUNCTION("""COMPUTED_VALUE"""),"NL539137133B01")</f>
        <v>NL539137133B01</v>
      </c>
      <c r="O352" s="6">
        <f>IFERROR(__xludf.DUMMYFUNCTION("""COMPUTED_VALUE"""),8.9368444E7)</f>
        <v>89368444</v>
      </c>
      <c r="P352" s="6" t="str">
        <f>IFERROR(__xludf.DUMMYFUNCTION("""COMPUTED_VALUE"""),"NL42INGB0103324925")</f>
        <v>NL42INGB0103324925</v>
      </c>
      <c r="Q352" s="9">
        <f>IFERROR(__xludf.DUMMYFUNCTION("""COMPUTED_VALUE"""),44967.0)</f>
        <v>44967</v>
      </c>
      <c r="R352" s="6"/>
      <c r="S352" s="6" t="str">
        <f>IFERROR(__xludf.DUMMYFUNCTION("""COMPUTED_VALUE"""),"NL004721693B51")</f>
        <v>NL004721693B51</v>
      </c>
      <c r="T352" s="6">
        <f>IFERROR(__xludf.DUMMYFUNCTION("""COMPUTED_VALUE"""),5.39137133E8)</f>
        <v>539137133</v>
      </c>
      <c r="U352" s="7" t="str">
        <f>IFERROR(__xludf.DUMMYFUNCTION("""COMPUTED_VALUE"""),"Eenmanszaak")</f>
        <v>Eenmanszaak</v>
      </c>
      <c r="V352" s="7" t="str">
        <f>IFERROR(__xludf.DUMMYFUNCTION("""COMPUTED_VALUE"""),"000055165958")</f>
        <v>000055165958</v>
      </c>
      <c r="W352" s="6" t="str">
        <f>IFERROR(__xludf.DUMMYFUNCTION("""COMPUTED_VALUE"""),"ink.oleksabouw.2288aa@zarabota.nl")</f>
        <v>ink.oleksabouw.2288aa@zarabota.nl</v>
      </c>
      <c r="X352" s="6" t="str">
        <f>IFERROR(__xludf.DUMMYFUNCTION("""COMPUTED_VALUE"""),"ver.oleksabouw.2288aa@zarabota.nl")</f>
        <v>ver.oleksabouw.2288aa@zarabota.nl</v>
      </c>
      <c r="Y352" s="6" t="str">
        <f>IFERROR(__xludf.DUMMYFUNCTION("""COMPUTED_VALUE"""),"Hr.")</f>
        <v>Hr.</v>
      </c>
      <c r="Z352" s="6" t="str">
        <f>IFERROR(__xludf.DUMMYFUNCTION("""COMPUTED_VALUE"""),"Oleksandr Ivanovich")</f>
        <v>Oleksandr Ivanovich</v>
      </c>
      <c r="AA352" s="6" t="str">
        <f>IFERROR(__xludf.DUMMYFUNCTION("""COMPUTED_VALUE"""),"Dovhaliuk")</f>
        <v>Dovhaliuk</v>
      </c>
      <c r="AB352" s="6" t="str">
        <f>IFERROR(__xludf.DUMMYFUNCTION("""COMPUTED_VALUE"""),"O.D.")</f>
        <v>O.D.</v>
      </c>
      <c r="AC352" s="6">
        <f>IFERROR(__xludf.DUMMYFUNCTION("""COMPUTED_VALUE"""),5.39137133E8)</f>
        <v>539137133</v>
      </c>
      <c r="AD352" s="9">
        <f>IFERROR(__xludf.DUMMYFUNCTION("""COMPUTED_VALUE"""),32868.0)</f>
        <v>32868</v>
      </c>
      <c r="AE352" s="6" t="str">
        <f>IFERROR(__xludf.DUMMYFUNCTION("""COMPUTED_VALUE"""),"uk")</f>
        <v>uk</v>
      </c>
      <c r="AF352" s="6" t="str">
        <f>IFERROR(__xludf.DUMMYFUNCTION("""COMPUTED_VALUE"""),"Izaslav")</f>
        <v>Izaslav</v>
      </c>
      <c r="AG352" s="6" t="str">
        <f>IFERROR(__xludf.DUMMYFUNCTION("""COMPUTED_VALUE"""),"Hr. O.D. Dovhaliuk")</f>
        <v>Hr. O.D. Dovhaliuk</v>
      </c>
      <c r="AH352" s="6" t="str">
        <f>IFERROR(__xludf.DUMMYFUNCTION("""COMPUTED_VALUE"""),"NL19RABO0198302827")</f>
        <v>NL19RABO0198302827</v>
      </c>
      <c r="AI352" s="6"/>
      <c r="AJ352" s="6" t="str">
        <f>IFERROR(__xludf.DUMMYFUNCTION("""COMPUTED_VALUE"""),"Paspoort")</f>
        <v>Paspoort</v>
      </c>
      <c r="AK352" s="6" t="str">
        <f>IFERROR(__xludf.DUMMYFUNCTION("""COMPUTED_VALUE"""),"GB144097")</f>
        <v>GB144097</v>
      </c>
      <c r="AL352" s="9">
        <f>IFERROR(__xludf.DUMMYFUNCTION("""COMPUTED_VALUE"""),48101.0)</f>
        <v>48101</v>
      </c>
      <c r="AM352" s="6" t="str">
        <f>IFERROR(__xludf.DUMMYFUNCTION("""COMPUTED_VALUE"""),"Bulgarije")</f>
        <v>Bulgarije</v>
      </c>
      <c r="AN352" s="6" t="str">
        <f>IFERROR(__xludf.DUMMYFUNCTION("""COMPUTED_VALUE"""),"Oleksandr Ivanovich Dovhaliuk")</f>
        <v>Oleksandr Ivanovich Dovhaliuk</v>
      </c>
      <c r="AO352" s="6">
        <f>IFERROR(__xludf.DUMMYFUNCTION("""COMPUTED_VALUE"""),1454.0)</f>
        <v>1454</v>
      </c>
    </row>
    <row r="353">
      <c r="A353" s="6" t="str">
        <f>IFERROR(__xludf.DUMMYFUNCTION("""COMPUTED_VALUE"""),"Ombre 73")</f>
        <v>Ombre 73</v>
      </c>
      <c r="B353" s="6" t="str">
        <f>IFERROR(__xludf.DUMMYFUNCTION("""COMPUTED_VALUE"""),"Ombre 73")</f>
        <v>Ombre 73</v>
      </c>
      <c r="C353" s="6">
        <f>IFERROR(__xludf.DUMMYFUNCTION("""COMPUTED_VALUE"""),551.0)</f>
        <v>551</v>
      </c>
      <c r="D353" s="7" t="str">
        <f>IFERROR(__xludf.DUMMYFUNCTION("""COMPUTED_VALUE"""),"Ventsislav Marinov Hadzhiyski")</f>
        <v>Ventsislav Marinov Hadzhiyski</v>
      </c>
      <c r="E353" s="7" t="str">
        <f>IFERROR(__xludf.DUMMYFUNCTION("""COMPUTED_VALUE"""),"SBI-code: 4120 - Algemene burgerlijke en utiliteitsbouw")</f>
        <v>SBI-code: 4120 - Algemene burgerlijke en utiliteitsbouw</v>
      </c>
      <c r="F353" s="7" t="str">
        <f>IFERROR(__xludf.DUMMYFUNCTION("""COMPUTED_VALUE"""),"0685029497")</f>
        <v>0685029497</v>
      </c>
      <c r="G353" s="6" t="str">
        <f>IFERROR(__xludf.DUMMYFUNCTION("""COMPUTED_VALUE"""),"venci.hadzhiyski@gmail.com")</f>
        <v>venci.hadzhiyski@gmail.com</v>
      </c>
      <c r="H353" s="6" t="str">
        <f>IFERROR(__xludf.DUMMYFUNCTION("""COMPUTED_VALUE"""),"Haverschmidtstraat 55")</f>
        <v>Haverschmidtstraat 55</v>
      </c>
      <c r="I353" s="6" t="str">
        <f>IFERROR(__xludf.DUMMYFUNCTION("""COMPUTED_VALUE"""),"2522VL")</f>
        <v>2522VL</v>
      </c>
      <c r="J353" s="6" t="str">
        <f>IFERROR(__xludf.DUMMYFUNCTION("""COMPUTED_VALUE"""),"Den Haag")</f>
        <v>Den Haag</v>
      </c>
      <c r="K353" s="6" t="str">
        <f>IFERROR(__xludf.DUMMYFUNCTION("""COMPUTED_VALUE"""),"Nederland")</f>
        <v>Nederland</v>
      </c>
      <c r="L353" s="6" t="str">
        <f>IFERROR(__xludf.DUMMYFUNCTION("""COMPUTED_VALUE"""),"Хаджийски")</f>
        <v>Хаджийски</v>
      </c>
      <c r="M353" s="8">
        <f>IFERROR(__xludf.DUMMYFUNCTION("""COMPUTED_VALUE"""),43178.0)</f>
        <v>43178</v>
      </c>
      <c r="N353" s="6" t="str">
        <f>IFERROR(__xludf.DUMMYFUNCTION("""COMPUTED_VALUE"""),"NL318810542B01")</f>
        <v>NL318810542B01</v>
      </c>
      <c r="O353" s="6">
        <f>IFERROR(__xludf.DUMMYFUNCTION("""COMPUTED_VALUE"""),7.122783E7)</f>
        <v>71227830</v>
      </c>
      <c r="P353" s="6" t="str">
        <f>IFERROR(__xludf.DUMMYFUNCTION("""COMPUTED_VALUE"""),"NL28INGB0008277496")</f>
        <v>NL28INGB0008277496</v>
      </c>
      <c r="Q353" s="9">
        <f>IFERROR(__xludf.DUMMYFUNCTION("""COMPUTED_VALUE"""),43178.0)</f>
        <v>43178</v>
      </c>
      <c r="R353" s="6"/>
      <c r="S353" s="6" t="str">
        <f>IFERROR(__xludf.DUMMYFUNCTION("""COMPUTED_VALUE"""),"NL002468233B43")</f>
        <v>NL002468233B43</v>
      </c>
      <c r="T353" s="6">
        <f>IFERROR(__xludf.DUMMYFUNCTION("""COMPUTED_VALUE"""),3.18810542E8)</f>
        <v>318810542</v>
      </c>
      <c r="U353" s="7" t="str">
        <f>IFERROR(__xludf.DUMMYFUNCTION("""COMPUTED_VALUE"""),"Eenmanszaak")</f>
        <v>Eenmanszaak</v>
      </c>
      <c r="V353" s="7" t="str">
        <f>IFERROR(__xludf.DUMMYFUNCTION("""COMPUTED_VALUE"""),"000039430790")</f>
        <v>000039430790</v>
      </c>
      <c r="W353" s="6" t="str">
        <f>IFERROR(__xludf.DUMMYFUNCTION("""COMPUTED_VALUE"""),"ink.ombre73.2288aa@zarabota.nl")</f>
        <v>ink.ombre73.2288aa@zarabota.nl</v>
      </c>
      <c r="X353" s="6" t="str">
        <f>IFERROR(__xludf.DUMMYFUNCTION("""COMPUTED_VALUE"""),"ver.ombre73.2288aa@zarabota.nl")</f>
        <v>ver.ombre73.2288aa@zarabota.nl</v>
      </c>
      <c r="Y353" s="6" t="str">
        <f>IFERROR(__xludf.DUMMYFUNCTION("""COMPUTED_VALUE"""),"Hr.")</f>
        <v>Hr.</v>
      </c>
      <c r="Z353" s="6" t="str">
        <f>IFERROR(__xludf.DUMMYFUNCTION("""COMPUTED_VALUE"""),"Ventsislav Marinov")</f>
        <v>Ventsislav Marinov</v>
      </c>
      <c r="AA353" s="6" t="str">
        <f>IFERROR(__xludf.DUMMYFUNCTION("""COMPUTED_VALUE"""),"Hadzhiyski")</f>
        <v>Hadzhiyski</v>
      </c>
      <c r="AB353" s="6" t="str">
        <f>IFERROR(__xludf.DUMMYFUNCTION("""COMPUTED_VALUE"""),"V.M.")</f>
        <v>V.M.</v>
      </c>
      <c r="AC353" s="6">
        <f>IFERROR(__xludf.DUMMYFUNCTION("""COMPUTED_VALUE"""),3.18810542E8)</f>
        <v>318810542</v>
      </c>
      <c r="AD353" s="9">
        <f>IFERROR(__xludf.DUMMYFUNCTION("""COMPUTED_VALUE"""),26942.0)</f>
        <v>26942</v>
      </c>
      <c r="AE353" s="6" t="str">
        <f>IFERROR(__xludf.DUMMYFUNCTION("""COMPUTED_VALUE"""),"bg")</f>
        <v>bg</v>
      </c>
      <c r="AF353" s="6" t="str">
        <f>IFERROR(__xludf.DUMMYFUNCTION("""COMPUTED_VALUE"""),"Ardino")</f>
        <v>Ardino</v>
      </c>
      <c r="AG353" s="6" t="str">
        <f>IFERROR(__xludf.DUMMYFUNCTION("""COMPUTED_VALUE"""),"Hr. V.M. Hadzhiyski")</f>
        <v>Hr. V.M. Hadzhiyski</v>
      </c>
      <c r="AH353" s="6" t="str">
        <f>IFERROR(__xludf.DUMMYFUNCTION("""COMPUTED_VALUE"""),"NL22INGB0663396689")</f>
        <v>NL22INGB0663396689</v>
      </c>
      <c r="AI353" s="6"/>
      <c r="AJ353" s="6" t="str">
        <f>IFERROR(__xludf.DUMMYFUNCTION("""COMPUTED_VALUE"""),"ID Kaart")</f>
        <v>ID Kaart</v>
      </c>
      <c r="AK353" s="6">
        <f>IFERROR(__xludf.DUMMYFUNCTION("""COMPUTED_VALUE"""),6.42106662E8)</f>
        <v>642106662</v>
      </c>
      <c r="AL353" s="9">
        <f>IFERROR(__xludf.DUMMYFUNCTION("""COMPUTED_VALUE"""),44280.0)</f>
        <v>44280</v>
      </c>
      <c r="AM353" s="6"/>
      <c r="AN353" s="6" t="str">
        <f>IFERROR(__xludf.DUMMYFUNCTION("""COMPUTED_VALUE"""),"Ventsislav Marinov Hadzhiyski")</f>
        <v>Ventsislav Marinov Hadzhiyski</v>
      </c>
      <c r="AO353" s="6"/>
    </row>
    <row r="354">
      <c r="A354" s="6" t="str">
        <f>IFERROR(__xludf.DUMMYFUNCTION("""COMPUTED_VALUE"""),"Onderhoudsbedrijf Fenix")</f>
        <v>Onderhoudsbedrijf Fenix</v>
      </c>
      <c r="B354" s="6" t="str">
        <f>IFERROR(__xludf.DUMMYFUNCTION("""COMPUTED_VALUE"""),"Onderhoudsbedrijf Fenix")</f>
        <v>Onderhoudsbedrijf Fenix</v>
      </c>
      <c r="C354" s="6">
        <f>IFERROR(__xludf.DUMMYFUNCTION("""COMPUTED_VALUE"""),1576.0)</f>
        <v>1576</v>
      </c>
      <c r="D354" s="7" t="str">
        <f>IFERROR(__xludf.DUMMYFUNCTION("""COMPUTED_VALUE"""),"Tsanko Stoyanov Stoyanov")</f>
        <v>Tsanko Stoyanov Stoyanov</v>
      </c>
      <c r="E354" s="7" t="str">
        <f>IFERROR(__xludf.DUMMYFUNCTION("""COMPUTED_VALUE"""),"SBI-code: 4120 - Algemene burgerlijke en utiliteitsbouw")</f>
        <v>SBI-code: 4120 - Algemene burgerlijke en utiliteitsbouw</v>
      </c>
      <c r="F354" s="7" t="str">
        <f>IFERROR(__xludf.DUMMYFUNCTION("""COMPUTED_VALUE"""),"0634061827")</f>
        <v>0634061827</v>
      </c>
      <c r="G354" s="6" t="str">
        <f>IFERROR(__xludf.DUMMYFUNCTION("""COMPUTED_VALUE"""),"ceco.stoyanov0590@gmail.com")</f>
        <v>ceco.stoyanov0590@gmail.com</v>
      </c>
      <c r="H354" s="6" t="str">
        <f>IFERROR(__xludf.DUMMYFUNCTION("""COMPUTED_VALUE"""),"Fahrenheitstraat 257 1E")</f>
        <v>Fahrenheitstraat 257 1E</v>
      </c>
      <c r="I354" s="6" t="str">
        <f>IFERROR(__xludf.DUMMYFUNCTION("""COMPUTED_VALUE"""),"2561DV")</f>
        <v>2561DV</v>
      </c>
      <c r="J354" s="6" t="str">
        <f>IFERROR(__xludf.DUMMYFUNCTION("""COMPUTED_VALUE"""),"s-Gravenhage")</f>
        <v>s-Gravenhage</v>
      </c>
      <c r="K354" s="6" t="str">
        <f>IFERROR(__xludf.DUMMYFUNCTION("""COMPUTED_VALUE"""),"Nederland")</f>
        <v>Nederland</v>
      </c>
      <c r="L354" s="6" t="str">
        <f>IFERROR(__xludf.DUMMYFUNCTION("""COMPUTED_VALUE"""),"Стоянов")</f>
        <v>Стоянов</v>
      </c>
      <c r="M354" s="8">
        <f>IFERROR(__xludf.DUMMYFUNCTION("""COMPUTED_VALUE"""),45292.0)</f>
        <v>45292</v>
      </c>
      <c r="N354" s="6" t="str">
        <f>IFERROR(__xludf.DUMMYFUNCTION("""COMPUTED_VALUE"""),"NL385442191B01")</f>
        <v>NL385442191B01</v>
      </c>
      <c r="O354" s="6">
        <f>IFERROR(__xludf.DUMMYFUNCTION("""COMPUTED_VALUE"""),5.1675927E7)</f>
        <v>51675927</v>
      </c>
      <c r="P354" s="6" t="str">
        <f>IFERROR(__xludf.DUMMYFUNCTION("""COMPUTED_VALUE"""),"NL82INGB0005993532")</f>
        <v>NL82INGB0005993532</v>
      </c>
      <c r="Q354" s="9">
        <f>IFERROR(__xludf.DUMMYFUNCTION("""COMPUTED_VALUE"""),40548.0)</f>
        <v>40548</v>
      </c>
      <c r="R354" s="6"/>
      <c r="S354" s="6" t="str">
        <f>IFERROR(__xludf.DUMMYFUNCTION("""COMPUTED_VALUE"""),"NL002477006B44")</f>
        <v>NL002477006B44</v>
      </c>
      <c r="T354" s="6">
        <f>IFERROR(__xludf.DUMMYFUNCTION("""COMPUTED_VALUE"""),3.85442191E8)</f>
        <v>385442191</v>
      </c>
      <c r="U354" s="7" t="str">
        <f>IFERROR(__xludf.DUMMYFUNCTION("""COMPUTED_VALUE"""),"Eenmanszaak")</f>
        <v>Eenmanszaak</v>
      </c>
      <c r="V354" s="7" t="str">
        <f>IFERROR(__xludf.DUMMYFUNCTION("""COMPUTED_VALUE"""),"000021674361")</f>
        <v>000021674361</v>
      </c>
      <c r="W354" s="6" t="str">
        <f>IFERROR(__xludf.DUMMYFUNCTION("""COMPUTED_VALUE"""),"ink.fenix.2288aa@zarabota.nl")</f>
        <v>ink.fenix.2288aa@zarabota.nl</v>
      </c>
      <c r="X354" s="6" t="str">
        <f>IFERROR(__xludf.DUMMYFUNCTION("""COMPUTED_VALUE"""),"ver.fenix.2288aa@zarabota.nl")</f>
        <v>ver.fenix.2288aa@zarabota.nl</v>
      </c>
      <c r="Y354" s="6" t="str">
        <f>IFERROR(__xludf.DUMMYFUNCTION("""COMPUTED_VALUE"""),"Hr.")</f>
        <v>Hr.</v>
      </c>
      <c r="Z354" s="6" t="str">
        <f>IFERROR(__xludf.DUMMYFUNCTION("""COMPUTED_VALUE"""),"Tsanko Stoyanov")</f>
        <v>Tsanko Stoyanov</v>
      </c>
      <c r="AA354" s="6" t="str">
        <f>IFERROR(__xludf.DUMMYFUNCTION("""COMPUTED_VALUE"""),"Stoyanov")</f>
        <v>Stoyanov</v>
      </c>
      <c r="AB354" s="6" t="str">
        <f>IFERROR(__xludf.DUMMYFUNCTION("""COMPUTED_VALUE"""),"T.S.")</f>
        <v>T.S.</v>
      </c>
      <c r="AC354" s="6">
        <f>IFERROR(__xludf.DUMMYFUNCTION("""COMPUTED_VALUE"""),3.85442191E8)</f>
        <v>385442191</v>
      </c>
      <c r="AD354" s="9">
        <f>IFERROR(__xludf.DUMMYFUNCTION("""COMPUTED_VALUE"""),25408.0)</f>
        <v>25408</v>
      </c>
      <c r="AE354" s="6" t="str">
        <f>IFERROR(__xludf.DUMMYFUNCTION("""COMPUTED_VALUE"""),"bg")</f>
        <v>bg</v>
      </c>
      <c r="AF354" s="6" t="str">
        <f>IFERROR(__xludf.DUMMYFUNCTION("""COMPUTED_VALUE"""),"Tutrakan")</f>
        <v>Tutrakan</v>
      </c>
      <c r="AG354" s="6" t="str">
        <f>IFERROR(__xludf.DUMMYFUNCTION("""COMPUTED_VALUE"""),"Hr. T.S. Stoyanov")</f>
        <v>Hr. T.S. Stoyanov</v>
      </c>
      <c r="AH354" s="6"/>
      <c r="AI354" s="6"/>
      <c r="AJ354" s="6" t="str">
        <f>IFERROR(__xludf.DUMMYFUNCTION("""COMPUTED_VALUE"""),"ID Kaart")</f>
        <v>ID Kaart</v>
      </c>
      <c r="AK354" s="6">
        <f>IFERROR(__xludf.DUMMYFUNCTION("""COMPUTED_VALUE"""),6.52755116E8)</f>
        <v>652755116</v>
      </c>
      <c r="AL354" s="9">
        <f>IFERROR(__xludf.DUMMYFUNCTION("""COMPUTED_VALUE"""),48792.0)</f>
        <v>48792</v>
      </c>
      <c r="AM354" s="6" t="str">
        <f>IFERROR(__xludf.DUMMYFUNCTION("""COMPUTED_VALUE"""),"Bulgarije")</f>
        <v>Bulgarije</v>
      </c>
      <c r="AN354" s="6" t="str">
        <f>IFERROR(__xludf.DUMMYFUNCTION("""COMPUTED_VALUE"""),"Tsanko Stoyanov Stoyanov")</f>
        <v>Tsanko Stoyanov Stoyanov</v>
      </c>
      <c r="AO354" s="6">
        <f>IFERROR(__xludf.DUMMYFUNCTION("""COMPUTED_VALUE"""),1576.0)</f>
        <v>1576</v>
      </c>
    </row>
    <row r="355">
      <c r="A355" s="6" t="str">
        <f>IFERROR(__xludf.DUMMYFUNCTION("""COMPUTED_VALUE"""),"Onderhoudsbedrijf Mitko")</f>
        <v>Onderhoudsbedrijf Mitko</v>
      </c>
      <c r="B355" s="6" t="str">
        <f>IFERROR(__xludf.DUMMYFUNCTION("""COMPUTED_VALUE"""),"Onderhoudsbedrijf Mitko")</f>
        <v>Onderhoudsbedrijf Mitko</v>
      </c>
      <c r="C355" s="6">
        <f>IFERROR(__xludf.DUMMYFUNCTION("""COMPUTED_VALUE"""),117.0)</f>
        <v>117</v>
      </c>
      <c r="D355" s="7" t="str">
        <f>IFERROR(__xludf.DUMMYFUNCTION("""COMPUTED_VALUE"""),"Dimitar Valentinov Cholakov")</f>
        <v>Dimitar Valentinov Cholakov</v>
      </c>
      <c r="E355" s="7" t="str">
        <f>IFERROR(__xludf.DUMMYFUNCTION("""COMPUTED_VALUE"""),"SBI-code: 4120 - Algemene burgerlijke en utiliteitsbouw")</f>
        <v>SBI-code: 4120 - Algemene burgerlijke en utiliteitsbouw</v>
      </c>
      <c r="F355" s="7" t="str">
        <f>IFERROR(__xludf.DUMMYFUNCTION("""COMPUTED_VALUE"""),"0645753738")</f>
        <v>0645753738</v>
      </c>
      <c r="G355" s="6" t="str">
        <f>IFERROR(__xludf.DUMMYFUNCTION("""COMPUTED_VALUE"""),"cholakov.1985@abv.bg")</f>
        <v>cholakov.1985@abv.bg</v>
      </c>
      <c r="H355" s="6" t="str">
        <f>IFERROR(__xludf.DUMMYFUNCTION("""COMPUTED_VALUE"""),"Dedemsvaartweg 1044")</f>
        <v>Dedemsvaartweg 1044</v>
      </c>
      <c r="I355" s="6" t="str">
        <f>IFERROR(__xludf.DUMMYFUNCTION("""COMPUTED_VALUE"""),"2545BG")</f>
        <v>2545BG</v>
      </c>
      <c r="J355" s="6" t="str">
        <f>IFERROR(__xludf.DUMMYFUNCTION("""COMPUTED_VALUE"""),"s-Gravenhage")</f>
        <v>s-Gravenhage</v>
      </c>
      <c r="K355" s="6" t="str">
        <f>IFERROR(__xludf.DUMMYFUNCTION("""COMPUTED_VALUE"""),"Nederland")</f>
        <v>Nederland</v>
      </c>
      <c r="L355" s="6" t="str">
        <f>IFERROR(__xludf.DUMMYFUNCTION("""COMPUTED_VALUE"""),"Чолаков")</f>
        <v>Чолаков</v>
      </c>
      <c r="M355" s="8">
        <f>IFERROR(__xludf.DUMMYFUNCTION("""COMPUTED_VALUE"""),43175.0)</f>
        <v>43175</v>
      </c>
      <c r="N355" s="6" t="str">
        <f>IFERROR(__xludf.DUMMYFUNCTION("""COMPUTED_VALUE"""),"NL599746336B01")</f>
        <v>NL599746336B01</v>
      </c>
      <c r="O355" s="6">
        <f>IFERROR(__xludf.DUMMYFUNCTION("""COMPUTED_VALUE"""),5.2197905E7)</f>
        <v>52197905</v>
      </c>
      <c r="P355" s="6" t="str">
        <f>IFERROR(__xludf.DUMMYFUNCTION("""COMPUTED_VALUE"""),"NL13INGB0006001273")</f>
        <v>NL13INGB0006001273</v>
      </c>
      <c r="Q355" s="9">
        <f>IFERROR(__xludf.DUMMYFUNCTION("""COMPUTED_VALUE"""),40606.0)</f>
        <v>40606</v>
      </c>
      <c r="R355" s="6"/>
      <c r="S355" s="6" t="str">
        <f>IFERROR(__xludf.DUMMYFUNCTION("""COMPUTED_VALUE"""),"NL002506050B63")</f>
        <v>NL002506050B63</v>
      </c>
      <c r="T355" s="6">
        <f>IFERROR(__xludf.DUMMYFUNCTION("""COMPUTED_VALUE"""),5.99746336E8)</f>
        <v>599746336</v>
      </c>
      <c r="U355" s="7" t="str">
        <f>IFERROR(__xludf.DUMMYFUNCTION("""COMPUTED_VALUE"""),"Eenmanszaak")</f>
        <v>Eenmanszaak</v>
      </c>
      <c r="V355" s="7" t="str">
        <f>IFERROR(__xludf.DUMMYFUNCTION("""COMPUTED_VALUE"""),"000022153551")</f>
        <v>000022153551</v>
      </c>
      <c r="W355" s="6" t="str">
        <f>IFERROR(__xludf.DUMMYFUNCTION("""COMPUTED_VALUE"""),"ink.onderhoudsbedrijfmitko.2288aa@zarabota.nl")</f>
        <v>ink.onderhoudsbedrijfmitko.2288aa@zarabota.nl</v>
      </c>
      <c r="X355" s="6" t="str">
        <f>IFERROR(__xludf.DUMMYFUNCTION("""COMPUTED_VALUE"""),"ver.onderhoudsbedrijfmitko.2288aa@zarabota.nl")</f>
        <v>ver.onderhoudsbedrijfmitko.2288aa@zarabota.nl</v>
      </c>
      <c r="Y355" s="6" t="str">
        <f>IFERROR(__xludf.DUMMYFUNCTION("""COMPUTED_VALUE"""),"Hr.")</f>
        <v>Hr.</v>
      </c>
      <c r="Z355" s="6" t="str">
        <f>IFERROR(__xludf.DUMMYFUNCTION("""COMPUTED_VALUE"""),"Dimitar Valentinov")</f>
        <v>Dimitar Valentinov</v>
      </c>
      <c r="AA355" s="6" t="str">
        <f>IFERROR(__xludf.DUMMYFUNCTION("""COMPUTED_VALUE"""),"Cholakov")</f>
        <v>Cholakov</v>
      </c>
      <c r="AB355" s="6" t="str">
        <f>IFERROR(__xludf.DUMMYFUNCTION("""COMPUTED_VALUE"""),"D.V.")</f>
        <v>D.V.</v>
      </c>
      <c r="AC355" s="6">
        <f>IFERROR(__xludf.DUMMYFUNCTION("""COMPUTED_VALUE"""),5.99746336E8)</f>
        <v>599746336</v>
      </c>
      <c r="AD355" s="9">
        <f>IFERROR(__xludf.DUMMYFUNCTION("""COMPUTED_VALUE"""),31304.0)</f>
        <v>31304</v>
      </c>
      <c r="AE355" s="6" t="str">
        <f>IFERROR(__xludf.DUMMYFUNCTION("""COMPUTED_VALUE"""),"bg")</f>
        <v>bg</v>
      </c>
      <c r="AF355" s="6" t="str">
        <f>IFERROR(__xludf.DUMMYFUNCTION("""COMPUTED_VALUE"""),"Plovdiv")</f>
        <v>Plovdiv</v>
      </c>
      <c r="AG355" s="6" t="str">
        <f>IFERROR(__xludf.DUMMYFUNCTION("""COMPUTED_VALUE"""),"Hr. D.V. Cholakov")</f>
        <v>Hr. D.V. Cholakov</v>
      </c>
      <c r="AH355" s="6"/>
      <c r="AI355" s="6"/>
      <c r="AJ355" s="6"/>
      <c r="AK355" s="6"/>
      <c r="AL355" s="6"/>
      <c r="AM355" s="6"/>
      <c r="AN355" s="6" t="str">
        <f>IFERROR(__xludf.DUMMYFUNCTION("""COMPUTED_VALUE"""),"Dimitar Valentinov Cholakov")</f>
        <v>Dimitar Valentinov Cholakov</v>
      </c>
      <c r="AO355" s="6"/>
    </row>
    <row r="356">
      <c r="A356" s="6" t="str">
        <f>IFERROR(__xludf.DUMMYFUNCTION("""COMPUTED_VALUE"""),"Onderhoudsbedrijf Tiana VOF")</f>
        <v>Onderhoudsbedrijf Tiana VOF</v>
      </c>
      <c r="B356" s="6" t="str">
        <f>IFERROR(__xludf.DUMMYFUNCTION("""COMPUTED_VALUE"""),"Onderhoudsbedrijf Tiana VOF")</f>
        <v>Onderhoudsbedrijf Tiana VOF</v>
      </c>
      <c r="C356" s="6">
        <f>IFERROR(__xludf.DUMMYFUNCTION("""COMPUTED_VALUE"""),948.0)</f>
        <v>948</v>
      </c>
      <c r="D356" s="7" t="str">
        <f>IFERROR(__xludf.DUMMYFUNCTION("""COMPUTED_VALUE"""),"Borislav Lyubomirov Vasilev")</f>
        <v>Borislav Lyubomirov Vasilev</v>
      </c>
      <c r="E356" s="7" t="str">
        <f>IFERROR(__xludf.DUMMYFUNCTION("""COMPUTED_VALUE"""),"SBI-code: 4120 - Algemene burgerlijke en utiliteitsbouw")</f>
        <v>SBI-code: 4120 - Algemene burgerlijke en utiliteitsbouw</v>
      </c>
      <c r="F356" s="7" t="str">
        <f>IFERROR(__xludf.DUMMYFUNCTION("""COMPUTED_VALUE"""),"0683928331")</f>
        <v>0683928331</v>
      </c>
      <c r="G356" s="6" t="str">
        <f>IFERROR(__xludf.DUMMYFUNCTION("""COMPUTED_VALUE"""),"borko1177@gmail.com")</f>
        <v>borko1177@gmail.com</v>
      </c>
      <c r="H356" s="6" t="str">
        <f>IFERROR(__xludf.DUMMYFUNCTION("""COMPUTED_VALUE"""),"Lindenlaan 39")</f>
        <v>Lindenlaan 39</v>
      </c>
      <c r="I356" s="6" t="str">
        <f>IFERROR(__xludf.DUMMYFUNCTION("""COMPUTED_VALUE"""),"2451 CB")</f>
        <v>2451 CB</v>
      </c>
      <c r="J356" s="6" t="str">
        <f>IFERROR(__xludf.DUMMYFUNCTION("""COMPUTED_VALUE"""),"Leimuiden")</f>
        <v>Leimuiden</v>
      </c>
      <c r="K356" s="6" t="str">
        <f>IFERROR(__xludf.DUMMYFUNCTION("""COMPUTED_VALUE"""),"Nederland")</f>
        <v>Nederland</v>
      </c>
      <c r="L356" s="6" t="str">
        <f>IFERROR(__xludf.DUMMYFUNCTION("""COMPUTED_VALUE"""),"Василев")</f>
        <v>Василев</v>
      </c>
      <c r="M356" s="8">
        <f>IFERROR(__xludf.DUMMYFUNCTION("""COMPUTED_VALUE"""),43906.0)</f>
        <v>43906</v>
      </c>
      <c r="N356" s="6" t="str">
        <f>IFERROR(__xludf.DUMMYFUNCTION("""COMPUTED_VALUE"""),"NL861078536B01")</f>
        <v>NL861078536B01</v>
      </c>
      <c r="O356" s="6">
        <f>IFERROR(__xludf.DUMMYFUNCTION("""COMPUTED_VALUE"""),7.7646134E7)</f>
        <v>77646134</v>
      </c>
      <c r="P356" s="6" t="str">
        <f>IFERROR(__xludf.DUMMYFUNCTION("""COMPUTED_VALUE"""),"NL90INGB0009388970")</f>
        <v>NL90INGB0009388970</v>
      </c>
      <c r="Q356" s="9">
        <f>IFERROR(__xludf.DUMMYFUNCTION("""COMPUTED_VALUE"""),43906.0)</f>
        <v>43906</v>
      </c>
      <c r="R356" s="6"/>
      <c r="S356" s="6" t="str">
        <f>IFERROR(__xludf.DUMMYFUNCTION("""COMPUTED_VALUE"""),"NL861078536B01")</f>
        <v>NL861078536B01</v>
      </c>
      <c r="T356" s="6">
        <f>IFERROR(__xludf.DUMMYFUNCTION("""COMPUTED_VALUE"""),8.61078536E8)</f>
        <v>861078536</v>
      </c>
      <c r="U356" s="7" t="str">
        <f>IFERROR(__xludf.DUMMYFUNCTION("""COMPUTED_VALUE"""),"Vennootschap Onder Firma")</f>
        <v>Vennootschap Onder Firma</v>
      </c>
      <c r="V356" s="7" t="str">
        <f>IFERROR(__xludf.DUMMYFUNCTION("""COMPUTED_VALUE"""),"000042890233")</f>
        <v>000042890233</v>
      </c>
      <c r="W356" s="6" t="str">
        <f>IFERROR(__xludf.DUMMYFUNCTION("""COMPUTED_VALUE"""),"ink.onderhoudsbedrijftianavof.2288aa@zarabota.nl")</f>
        <v>ink.onderhoudsbedrijftianavof.2288aa@zarabota.nl</v>
      </c>
      <c r="X356" s="6" t="str">
        <f>IFERROR(__xludf.DUMMYFUNCTION("""COMPUTED_VALUE"""),"ver.onderhoudsbedrijftianavof.2288aa@zarabota.nl")</f>
        <v>ver.onderhoudsbedrijftianavof.2288aa@zarabota.nl</v>
      </c>
      <c r="Y356" s="6" t="str">
        <f>IFERROR(__xludf.DUMMYFUNCTION("""COMPUTED_VALUE"""),"Hr.")</f>
        <v>Hr.</v>
      </c>
      <c r="Z356" s="6" t="str">
        <f>IFERROR(__xludf.DUMMYFUNCTION("""COMPUTED_VALUE"""),"Borislav Lyubomirov")</f>
        <v>Borislav Lyubomirov</v>
      </c>
      <c r="AA356" s="6" t="str">
        <f>IFERROR(__xludf.DUMMYFUNCTION("""COMPUTED_VALUE"""),"Vasilev")</f>
        <v>Vasilev</v>
      </c>
      <c r="AB356" s="6" t="str">
        <f>IFERROR(__xludf.DUMMYFUNCTION("""COMPUTED_VALUE"""),"B.L.")</f>
        <v>B.L.</v>
      </c>
      <c r="AC356" s="6">
        <f>IFERROR(__xludf.DUMMYFUNCTION("""COMPUTED_VALUE"""),5.14421563E8)</f>
        <v>514421563</v>
      </c>
      <c r="AD356" s="9">
        <f>IFERROR(__xludf.DUMMYFUNCTION("""COMPUTED_VALUE"""),32560.0)</f>
        <v>32560</v>
      </c>
      <c r="AE356" s="6" t="str">
        <f>IFERROR(__xludf.DUMMYFUNCTION("""COMPUTED_VALUE"""),"bg")</f>
        <v>bg</v>
      </c>
      <c r="AF356" s="6" t="str">
        <f>IFERROR(__xludf.DUMMYFUNCTION("""COMPUTED_VALUE"""),"Ruse")</f>
        <v>Ruse</v>
      </c>
      <c r="AG356" s="6" t="str">
        <f>IFERROR(__xludf.DUMMYFUNCTION("""COMPUTED_VALUE"""),"Hr. B.L. Vasilev")</f>
        <v>Hr. B.L. Vasilev</v>
      </c>
      <c r="AH356" s="6"/>
      <c r="AI356" s="6"/>
      <c r="AJ356" s="6" t="str">
        <f>IFERROR(__xludf.DUMMYFUNCTION("""COMPUTED_VALUE"""),"ID Kaart")</f>
        <v>ID Kaart</v>
      </c>
      <c r="AK356" s="6">
        <f>IFERROR(__xludf.DUMMYFUNCTION("""COMPUTED_VALUE"""),6.47485586E8)</f>
        <v>647485586</v>
      </c>
      <c r="AL356" s="9">
        <f>IFERROR(__xludf.DUMMYFUNCTION("""COMPUTED_VALUE"""),46819.0)</f>
        <v>46819</v>
      </c>
      <c r="AM356" s="6" t="str">
        <f>IFERROR(__xludf.DUMMYFUNCTION("""COMPUTED_VALUE"""),"Bulgarije")</f>
        <v>Bulgarije</v>
      </c>
      <c r="AN356" s="6" t="str">
        <f>IFERROR(__xludf.DUMMYFUNCTION("""COMPUTED_VALUE"""),"Borislav Lyubomirov Vasilev")</f>
        <v>Borislav Lyubomirov Vasilev</v>
      </c>
      <c r="AO356" s="6"/>
    </row>
    <row r="357">
      <c r="A357" s="6" t="str">
        <f>IFERROR(__xludf.DUMMYFUNCTION("""COMPUTED_VALUE"""),"Onderhoudsbedrijf Todor")</f>
        <v>Onderhoudsbedrijf Todor</v>
      </c>
      <c r="B357" s="6" t="str">
        <f>IFERROR(__xludf.DUMMYFUNCTION("""COMPUTED_VALUE"""),"Onderhoudsbedrijf Todor")</f>
        <v>Onderhoudsbedrijf Todor</v>
      </c>
      <c r="C357" s="6">
        <f>IFERROR(__xludf.DUMMYFUNCTION("""COMPUTED_VALUE"""),113.0)</f>
        <v>113</v>
      </c>
      <c r="D357" s="7" t="str">
        <f>IFERROR(__xludf.DUMMYFUNCTION("""COMPUTED_VALUE"""),"Todor Dimitrov Trenov")</f>
        <v>Todor Dimitrov Trenov</v>
      </c>
      <c r="E357" s="7" t="str">
        <f>IFERROR(__xludf.DUMMYFUNCTION("""COMPUTED_VALUE"""),"SBI-code: 4120 - Algemene burgerlijke en utiliteitsbouw")</f>
        <v>SBI-code: 4120 - Algemene burgerlijke en utiliteitsbouw</v>
      </c>
      <c r="F357" s="7" t="str">
        <f>IFERROR(__xludf.DUMMYFUNCTION("""COMPUTED_VALUE"""),"0657515024")</f>
        <v>0657515024</v>
      </c>
      <c r="G357" s="6" t="str">
        <f>IFERROR(__xludf.DUMMYFUNCTION("""COMPUTED_VALUE"""),"trenovtodor@gmail.com")</f>
        <v>trenovtodor@gmail.com</v>
      </c>
      <c r="H357" s="6" t="str">
        <f>IFERROR(__xludf.DUMMYFUNCTION("""COMPUTED_VALUE"""),"Minstreelstraat 72")</f>
        <v>Minstreelstraat 72</v>
      </c>
      <c r="I357" s="6" t="str">
        <f>IFERROR(__xludf.DUMMYFUNCTION("""COMPUTED_VALUE"""),"2531 EE")</f>
        <v>2531 EE</v>
      </c>
      <c r="J357" s="6" t="str">
        <f>IFERROR(__xludf.DUMMYFUNCTION("""COMPUTED_VALUE"""),"s-Gravenhage")</f>
        <v>s-Gravenhage</v>
      </c>
      <c r="K357" s="6" t="str">
        <f>IFERROR(__xludf.DUMMYFUNCTION("""COMPUTED_VALUE"""),"Nederland")</f>
        <v>Nederland</v>
      </c>
      <c r="L357" s="6" t="str">
        <f>IFERROR(__xludf.DUMMYFUNCTION("""COMPUTED_VALUE"""),"Тренов")</f>
        <v>Тренов</v>
      </c>
      <c r="M357" s="8">
        <f>IFERROR(__xludf.DUMMYFUNCTION("""COMPUTED_VALUE"""),43175.0)</f>
        <v>43175</v>
      </c>
      <c r="N357" s="6" t="str">
        <f>IFERROR(__xludf.DUMMYFUNCTION("""COMPUTED_VALUE"""),"NL661406507B02")</f>
        <v>NL661406507B02</v>
      </c>
      <c r="O357" s="6">
        <f>IFERROR(__xludf.DUMMYFUNCTION("""COMPUTED_VALUE"""),5.6439458E7)</f>
        <v>56439458</v>
      </c>
      <c r="P357" s="6" t="str">
        <f>IFERROR(__xludf.DUMMYFUNCTION("""COMPUTED_VALUE"""),"NL57INGB0004832989")</f>
        <v>NL57INGB0004832989</v>
      </c>
      <c r="Q357" s="9">
        <f>IFERROR(__xludf.DUMMYFUNCTION("""COMPUTED_VALUE"""),41222.0)</f>
        <v>41222</v>
      </c>
      <c r="R357" s="6"/>
      <c r="S357" s="6" t="str">
        <f>IFERROR(__xludf.DUMMYFUNCTION("""COMPUTED_VALUE"""),"NL002512955B95")</f>
        <v>NL002512955B95</v>
      </c>
      <c r="T357" s="6">
        <f>IFERROR(__xludf.DUMMYFUNCTION("""COMPUTED_VALUE"""),6.61406507E8)</f>
        <v>661406507</v>
      </c>
      <c r="U357" s="7" t="str">
        <f>IFERROR(__xludf.DUMMYFUNCTION("""COMPUTED_VALUE"""),"Eenmanszaak")</f>
        <v>Eenmanszaak</v>
      </c>
      <c r="V357" s="7" t="str">
        <f>IFERROR(__xludf.DUMMYFUNCTION("""COMPUTED_VALUE"""),"000025993089")</f>
        <v>000025993089</v>
      </c>
      <c r="W357" s="6" t="str">
        <f>IFERROR(__xludf.DUMMYFUNCTION("""COMPUTED_VALUE"""),"ink.onderhoudsbedrijftodor.2288aa@zarabota.nl")</f>
        <v>ink.onderhoudsbedrijftodor.2288aa@zarabota.nl</v>
      </c>
      <c r="X357" s="6" t="str">
        <f>IFERROR(__xludf.DUMMYFUNCTION("""COMPUTED_VALUE"""),"ver.onderhoudsbedrijftodor.2288aa@zarabota.nl")</f>
        <v>ver.onderhoudsbedrijftodor.2288aa@zarabota.nl</v>
      </c>
      <c r="Y357" s="6" t="str">
        <f>IFERROR(__xludf.DUMMYFUNCTION("""COMPUTED_VALUE"""),"Hr.")</f>
        <v>Hr.</v>
      </c>
      <c r="Z357" s="6" t="str">
        <f>IFERROR(__xludf.DUMMYFUNCTION("""COMPUTED_VALUE"""),"Todor Dimitrov")</f>
        <v>Todor Dimitrov</v>
      </c>
      <c r="AA357" s="6" t="str">
        <f>IFERROR(__xludf.DUMMYFUNCTION("""COMPUTED_VALUE"""),"Trenov")</f>
        <v>Trenov</v>
      </c>
      <c r="AB357" s="6" t="str">
        <f>IFERROR(__xludf.DUMMYFUNCTION("""COMPUTED_VALUE"""),"T.D.")</f>
        <v>T.D.</v>
      </c>
      <c r="AC357" s="6">
        <f>IFERROR(__xludf.DUMMYFUNCTION("""COMPUTED_VALUE"""),6.61406507E8)</f>
        <v>661406507</v>
      </c>
      <c r="AD357" s="9">
        <f>IFERROR(__xludf.DUMMYFUNCTION("""COMPUTED_VALUE"""),30260.0)</f>
        <v>30260</v>
      </c>
      <c r="AE357" s="6" t="str">
        <f>IFERROR(__xludf.DUMMYFUNCTION("""COMPUTED_VALUE"""),"bg")</f>
        <v>bg</v>
      </c>
      <c r="AF357" s="6" t="str">
        <f>IFERROR(__xludf.DUMMYFUNCTION("""COMPUTED_VALUE"""),"Peshtera")</f>
        <v>Peshtera</v>
      </c>
      <c r="AG357" s="6" t="str">
        <f>IFERROR(__xludf.DUMMYFUNCTION("""COMPUTED_VALUE"""),"Hr. T.D. Trenov")</f>
        <v>Hr. T.D. Trenov</v>
      </c>
      <c r="AH357" s="6"/>
      <c r="AI357" s="6"/>
      <c r="AJ357" s="6"/>
      <c r="AK357" s="6"/>
      <c r="AL357" s="6"/>
      <c r="AM357" s="6"/>
      <c r="AN357" s="6" t="str">
        <f>IFERROR(__xludf.DUMMYFUNCTION("""COMPUTED_VALUE"""),"Todor Dimitrov Trenov")</f>
        <v>Todor Dimitrov Trenov</v>
      </c>
      <c r="AO357" s="6"/>
    </row>
    <row r="358">
      <c r="A358" s="6" t="str">
        <f>IFERROR(__xludf.DUMMYFUNCTION("""COMPUTED_VALUE"""),"Orican")</f>
        <v>Orican</v>
      </c>
      <c r="B358" s="6" t="str">
        <f>IFERROR(__xludf.DUMMYFUNCTION("""COMPUTED_VALUE"""),"Orican")</f>
        <v>Orican</v>
      </c>
      <c r="C358" s="6">
        <f>IFERROR(__xludf.DUMMYFUNCTION("""COMPUTED_VALUE"""),216.0)</f>
        <v>216</v>
      </c>
      <c r="D358" s="7" t="str">
        <f>IFERROR(__xludf.DUMMYFUNCTION("""COMPUTED_VALUE"""),"Orhan Isufov Ahmedov")</f>
        <v>Orhan Isufov Ahmedov</v>
      </c>
      <c r="E358" s="7" t="str">
        <f>IFERROR(__xludf.DUMMYFUNCTION("""COMPUTED_VALUE"""),"SBI-code: 4120 - Algemene burgerlijke en utiliteitsbouw")</f>
        <v>SBI-code: 4120 - Algemene burgerlijke en utiliteitsbouw</v>
      </c>
      <c r="F358" s="7" t="str">
        <f>IFERROR(__xludf.DUMMYFUNCTION("""COMPUTED_VALUE"""),"0685855382")</f>
        <v>0685855382</v>
      </c>
      <c r="G358" s="6" t="str">
        <f>IFERROR(__xludf.DUMMYFUNCTION("""COMPUTED_VALUE"""),"orhanahmedov8383@gmail.com")</f>
        <v>orhanahmedov8383@gmail.com</v>
      </c>
      <c r="H358" s="6" t="str">
        <f>IFERROR(__xludf.DUMMYFUNCTION("""COMPUTED_VALUE"""),"Thijssestraat 281")</f>
        <v>Thijssestraat 281</v>
      </c>
      <c r="I358" s="6" t="str">
        <f>IFERROR(__xludf.DUMMYFUNCTION("""COMPUTED_VALUE"""),"2521ZH")</f>
        <v>2521ZH</v>
      </c>
      <c r="J358" s="6" t="str">
        <f>IFERROR(__xludf.DUMMYFUNCTION("""COMPUTED_VALUE"""),"s-Gravenhage")</f>
        <v>s-Gravenhage</v>
      </c>
      <c r="K358" s="6" t="str">
        <f>IFERROR(__xludf.DUMMYFUNCTION("""COMPUTED_VALUE"""),"Nederland")</f>
        <v>Nederland</v>
      </c>
      <c r="L358" s="6" t="str">
        <f>IFERROR(__xludf.DUMMYFUNCTION("""COMPUTED_VALUE"""),"Ахмедов")</f>
        <v>Ахмедов</v>
      </c>
      <c r="M358" s="8">
        <f>IFERROR(__xludf.DUMMYFUNCTION("""COMPUTED_VALUE"""),42095.0)</f>
        <v>42095</v>
      </c>
      <c r="N358" s="6" t="str">
        <f>IFERROR(__xludf.DUMMYFUNCTION("""COMPUTED_VALUE"""),"NL780087501B01")</f>
        <v>NL780087501B01</v>
      </c>
      <c r="O358" s="6">
        <f>IFERROR(__xludf.DUMMYFUNCTION("""COMPUTED_VALUE"""),6.3240874E7)</f>
        <v>63240874</v>
      </c>
      <c r="P358" s="6" t="str">
        <f>IFERROR(__xludf.DUMMYFUNCTION("""COMPUTED_VALUE"""),"NL42INGB0006798673")</f>
        <v>NL42INGB0006798673</v>
      </c>
      <c r="Q358" s="9">
        <f>IFERROR(__xludf.DUMMYFUNCTION("""COMPUTED_VALUE"""),42095.0)</f>
        <v>42095</v>
      </c>
      <c r="R358" s="6"/>
      <c r="S358" s="6" t="str">
        <f>IFERROR(__xludf.DUMMYFUNCTION("""COMPUTED_VALUE"""),"NL002518483B07")</f>
        <v>NL002518483B07</v>
      </c>
      <c r="T358" s="6">
        <f>IFERROR(__xludf.DUMMYFUNCTION("""COMPUTED_VALUE"""),7.80087501E8)</f>
        <v>780087501</v>
      </c>
      <c r="U358" s="7" t="str">
        <f>IFERROR(__xludf.DUMMYFUNCTION("""COMPUTED_VALUE"""),"Eenmanszaak")</f>
        <v>Eenmanszaak</v>
      </c>
      <c r="V358" s="7" t="str">
        <f>IFERROR(__xludf.DUMMYFUNCTION("""COMPUTED_VALUE"""),"000032176384")</f>
        <v>000032176384</v>
      </c>
      <c r="W358" s="6" t="str">
        <f>IFERROR(__xludf.DUMMYFUNCTION("""COMPUTED_VALUE"""),"ink.orican.2288aa@zarabota.nl")</f>
        <v>ink.orican.2288aa@zarabota.nl</v>
      </c>
      <c r="X358" s="6" t="str">
        <f>IFERROR(__xludf.DUMMYFUNCTION("""COMPUTED_VALUE"""),"ver.orican.2288aa@zarabota.nl")</f>
        <v>ver.orican.2288aa@zarabota.nl</v>
      </c>
      <c r="Y358" s="6" t="str">
        <f>IFERROR(__xludf.DUMMYFUNCTION("""COMPUTED_VALUE"""),"Hr.")</f>
        <v>Hr.</v>
      </c>
      <c r="Z358" s="6" t="str">
        <f>IFERROR(__xludf.DUMMYFUNCTION("""COMPUTED_VALUE"""),"Orhan Isufov")</f>
        <v>Orhan Isufov</v>
      </c>
      <c r="AA358" s="6" t="str">
        <f>IFERROR(__xludf.DUMMYFUNCTION("""COMPUTED_VALUE"""),"Ahmedov")</f>
        <v>Ahmedov</v>
      </c>
      <c r="AB358" s="6" t="str">
        <f>IFERROR(__xludf.DUMMYFUNCTION("""COMPUTED_VALUE"""),"O.I.")</f>
        <v>O.I.</v>
      </c>
      <c r="AC358" s="6">
        <f>IFERROR(__xludf.DUMMYFUNCTION("""COMPUTED_VALUE"""),7.80087501E8)</f>
        <v>780087501</v>
      </c>
      <c r="AD358" s="9">
        <f>IFERROR(__xludf.DUMMYFUNCTION("""COMPUTED_VALUE"""),30605.0)</f>
        <v>30605</v>
      </c>
      <c r="AE358" s="6" t="str">
        <f>IFERROR(__xludf.DUMMYFUNCTION("""COMPUTED_VALUE"""),"bg")</f>
        <v>bg</v>
      </c>
      <c r="AF358" s="6" t="str">
        <f>IFERROR(__xludf.DUMMYFUNCTION("""COMPUTED_VALUE"""),"Targovishte")</f>
        <v>Targovishte</v>
      </c>
      <c r="AG358" s="6" t="str">
        <f>IFERROR(__xludf.DUMMYFUNCTION("""COMPUTED_VALUE"""),"Hr. O.I. Ahmedov")</f>
        <v>Hr. O.I. Ahmedov</v>
      </c>
      <c r="AH358" s="6"/>
      <c r="AI358" s="6"/>
      <c r="AJ358" s="6"/>
      <c r="AK358" s="6"/>
      <c r="AL358" s="6"/>
      <c r="AM358" s="6"/>
      <c r="AN358" s="6" t="str">
        <f>IFERROR(__xludf.DUMMYFUNCTION("""COMPUTED_VALUE"""),"Orhan Isufov Ahmedov")</f>
        <v>Orhan Isufov Ahmedov</v>
      </c>
      <c r="AO358" s="6"/>
    </row>
    <row r="359">
      <c r="A359" s="6" t="str">
        <f>IFERROR(__xludf.DUMMYFUNCTION("""COMPUTED_VALUE"""),"PANTEK")</f>
        <v>PANTEK</v>
      </c>
      <c r="B359" s="6" t="str">
        <f>IFERROR(__xludf.DUMMYFUNCTION("""COMPUTED_VALUE"""),"PANTEK")</f>
        <v>PANTEK</v>
      </c>
      <c r="C359" s="6">
        <f>IFERROR(__xludf.DUMMYFUNCTION("""COMPUTED_VALUE"""),1462.0)</f>
        <v>1462</v>
      </c>
      <c r="D359" s="7" t="str">
        <f>IFERROR(__xludf.DUMMYFUNCTION("""COMPUTED_VALUE"""),"Zoran Pantekoski")</f>
        <v>Zoran Pantekoski</v>
      </c>
      <c r="E359" s="7" t="str">
        <f>IFERROR(__xludf.DUMMYFUNCTION("""COMPUTED_VALUE"""),"SBI-code: 4331 - Stukadoren")</f>
        <v>SBI-code: 4331 - Stukadoren</v>
      </c>
      <c r="F359" s="7" t="str">
        <f>IFERROR(__xludf.DUMMYFUNCTION("""COMPUTED_VALUE"""),"0686269561")</f>
        <v>0686269561</v>
      </c>
      <c r="G359" s="6" t="str">
        <f>IFERROR(__xludf.DUMMYFUNCTION("""COMPUTED_VALUE"""),"zoran.pantekoski@gmail.com")</f>
        <v>zoran.pantekoski@gmail.com</v>
      </c>
      <c r="H359" s="6" t="str">
        <f>IFERROR(__xludf.DUMMYFUNCTION("""COMPUTED_VALUE"""),"Loenensestraat 155")</f>
        <v>Loenensestraat 155</v>
      </c>
      <c r="I359" s="6" t="str">
        <f>IFERROR(__xludf.DUMMYFUNCTION("""COMPUTED_VALUE"""),"2574RK")</f>
        <v>2574RK</v>
      </c>
      <c r="J359" s="6" t="str">
        <f>IFERROR(__xludf.DUMMYFUNCTION("""COMPUTED_VALUE"""),"s-Gravenhage")</f>
        <v>s-Gravenhage</v>
      </c>
      <c r="K359" s="6" t="str">
        <f>IFERROR(__xludf.DUMMYFUNCTION("""COMPUTED_VALUE"""),"Nederland")</f>
        <v>Nederland</v>
      </c>
      <c r="L359" s="6" t="str">
        <f>IFERROR(__xludf.DUMMYFUNCTION("""COMPUTED_VALUE"""),"Пантекоски")</f>
        <v>Пантекоски</v>
      </c>
      <c r="M359" s="8">
        <f>IFERROR(__xludf.DUMMYFUNCTION("""COMPUTED_VALUE"""),44927.0)</f>
        <v>44927</v>
      </c>
      <c r="N359" s="6" t="str">
        <f>IFERROR(__xludf.DUMMYFUNCTION("""COMPUTED_VALUE"""),"NL380808547B02")</f>
        <v>NL380808547B02</v>
      </c>
      <c r="O359" s="6">
        <f>IFERROR(__xludf.DUMMYFUNCTION("""COMPUTED_VALUE"""),8.895294E7)</f>
        <v>88952940</v>
      </c>
      <c r="P359" s="6" t="str">
        <f>IFERROR(__xludf.DUMMYFUNCTION("""COMPUTED_VALUE"""),"NL36INGB0774324376")</f>
        <v>NL36INGB0774324376</v>
      </c>
      <c r="Q359" s="9">
        <f>IFERROR(__xludf.DUMMYFUNCTION("""COMPUTED_VALUE"""),44927.0)</f>
        <v>44927</v>
      </c>
      <c r="R359" s="9">
        <f>IFERROR(__xludf.DUMMYFUNCTION("""COMPUTED_VALUE"""),44377.0)</f>
        <v>44377</v>
      </c>
      <c r="S359" s="6" t="str">
        <f>IFERROR(__xludf.DUMMYFUNCTION("""COMPUTED_VALUE"""),"NL004712609B36")</f>
        <v>NL004712609B36</v>
      </c>
      <c r="T359" s="6">
        <f>IFERROR(__xludf.DUMMYFUNCTION("""COMPUTED_VALUE"""),3.80808547E8)</f>
        <v>380808547</v>
      </c>
      <c r="U359" s="7" t="str">
        <f>IFERROR(__xludf.DUMMYFUNCTION("""COMPUTED_VALUE"""),"Eenmanszaak")</f>
        <v>Eenmanszaak</v>
      </c>
      <c r="V359" s="7" t="str">
        <f>IFERROR(__xludf.DUMMYFUNCTION("""COMPUTED_VALUE"""),"000054771870")</f>
        <v>000054771870</v>
      </c>
      <c r="W359" s="6" t="str">
        <f>IFERROR(__xludf.DUMMYFUNCTION("""COMPUTED_VALUE"""),"ink.pantek.2288aa@zarabota.nl")</f>
        <v>ink.pantek.2288aa@zarabota.nl</v>
      </c>
      <c r="X359" s="6" t="str">
        <f>IFERROR(__xludf.DUMMYFUNCTION("""COMPUTED_VALUE"""),"ver.pantek.2288aa@zarabota.nl")</f>
        <v>ver.pantek.2288aa@zarabota.nl</v>
      </c>
      <c r="Y359" s="6" t="str">
        <f>IFERROR(__xludf.DUMMYFUNCTION("""COMPUTED_VALUE"""),"Hr.")</f>
        <v>Hr.</v>
      </c>
      <c r="Z359" s="6" t="str">
        <f>IFERROR(__xludf.DUMMYFUNCTION("""COMPUTED_VALUE"""),"Zoran")</f>
        <v>Zoran</v>
      </c>
      <c r="AA359" s="6" t="str">
        <f>IFERROR(__xludf.DUMMYFUNCTION("""COMPUTED_VALUE"""),"Pantekoski")</f>
        <v>Pantekoski</v>
      </c>
      <c r="AB359" s="6" t="str">
        <f>IFERROR(__xludf.DUMMYFUNCTION("""COMPUTED_VALUE"""),"Z.")</f>
        <v>Z.</v>
      </c>
      <c r="AC359" s="6">
        <f>IFERROR(__xludf.DUMMYFUNCTION("""COMPUTED_VALUE"""),3.80808547E8)</f>
        <v>380808547</v>
      </c>
      <c r="AD359" s="9">
        <f>IFERROR(__xludf.DUMMYFUNCTION("""COMPUTED_VALUE"""),31290.0)</f>
        <v>31290</v>
      </c>
      <c r="AE359" s="6" t="str">
        <f>IFERROR(__xludf.DUMMYFUNCTION("""COMPUTED_VALUE"""),"mc")</f>
        <v>mc</v>
      </c>
      <c r="AF359" s="6"/>
      <c r="AG359" s="6" t="str">
        <f>IFERROR(__xludf.DUMMYFUNCTION("""COMPUTED_VALUE"""),"Hr. Z. Pantekoski")</f>
        <v>Hr. Z. Pantekoski</v>
      </c>
      <c r="AH359" s="6" t="str">
        <f>IFERROR(__xludf.DUMMYFUNCTION("""COMPUTED_VALUE"""),"NL30INGB0705325474")</f>
        <v>NL30INGB0705325474</v>
      </c>
      <c r="AI359" s="6"/>
      <c r="AJ359" s="6"/>
      <c r="AK359" s="6"/>
      <c r="AL359" s="6"/>
      <c r="AM359" s="6" t="str">
        <f>IFERROR(__xludf.DUMMYFUNCTION("""COMPUTED_VALUE"""),"Noord-Macedonië")</f>
        <v>Noord-Macedonië</v>
      </c>
      <c r="AN359" s="6" t="str">
        <f>IFERROR(__xludf.DUMMYFUNCTION("""COMPUTED_VALUE"""),"Zoran Pantekoski")</f>
        <v>Zoran Pantekoski</v>
      </c>
      <c r="AO359" s="6">
        <f>IFERROR(__xludf.DUMMYFUNCTION("""COMPUTED_VALUE"""),1462.0)</f>
        <v>1462</v>
      </c>
    </row>
    <row r="360">
      <c r="A360" s="6" t="str">
        <f>IFERROR(__xludf.DUMMYFUNCTION("""COMPUTED_VALUE"""),"Paradox BG")</f>
        <v>Paradox BG</v>
      </c>
      <c r="B360" s="6" t="str">
        <f>IFERROR(__xludf.DUMMYFUNCTION("""COMPUTED_VALUE"""),"Paradox BG")</f>
        <v>Paradox BG</v>
      </c>
      <c r="C360" s="6">
        <f>IFERROR(__xludf.DUMMYFUNCTION("""COMPUTED_VALUE"""),1526.0)</f>
        <v>1526</v>
      </c>
      <c r="D360" s="7" t="str">
        <f>IFERROR(__xludf.DUMMYFUNCTION("""COMPUTED_VALUE"""),"Ilvi Hasanov Kamenski")</f>
        <v>Ilvi Hasanov Kamenski</v>
      </c>
      <c r="E360" s="7" t="str">
        <f>IFERROR(__xludf.DUMMYFUNCTION("""COMPUTED_VALUE"""),"SBI-code: 4120 - Algemene burgerlijke en utiliteitsbouw")</f>
        <v>SBI-code: 4120 - Algemene burgerlijke en utiliteitsbouw</v>
      </c>
      <c r="F360" s="7" t="str">
        <f>IFERROR(__xludf.DUMMYFUNCTION("""COMPUTED_VALUE"""),"0687122765")</f>
        <v>0687122765</v>
      </c>
      <c r="G360" s="6" t="str">
        <f>IFERROR(__xludf.DUMMYFUNCTION("""COMPUTED_VALUE"""),"8kamenski8@gmail.com")</f>
        <v>8kamenski8@gmail.com</v>
      </c>
      <c r="H360" s="6" t="str">
        <f>IFERROR(__xludf.DUMMYFUNCTION("""COMPUTED_VALUE"""),"Van Swietenstraat 120 B")</f>
        <v>Van Swietenstraat 120 B</v>
      </c>
      <c r="I360" s="6" t="str">
        <f>IFERROR(__xludf.DUMMYFUNCTION("""COMPUTED_VALUE"""),"2518SM")</f>
        <v>2518SM</v>
      </c>
      <c r="J360" s="6" t="str">
        <f>IFERROR(__xludf.DUMMYFUNCTION("""COMPUTED_VALUE"""),"s-Gravenhage")</f>
        <v>s-Gravenhage</v>
      </c>
      <c r="K360" s="6" t="str">
        <f>IFERROR(__xludf.DUMMYFUNCTION("""COMPUTED_VALUE"""),"Nederland")</f>
        <v>Nederland</v>
      </c>
      <c r="L360" s="6" t="str">
        <f>IFERROR(__xludf.DUMMYFUNCTION("""COMPUTED_VALUE"""),"Каменски")</f>
        <v>Каменски</v>
      </c>
      <c r="M360" s="8">
        <f>IFERROR(__xludf.DUMMYFUNCTION("""COMPUTED_VALUE"""),45078.0)</f>
        <v>45078</v>
      </c>
      <c r="N360" s="6" t="str">
        <f>IFERROR(__xludf.DUMMYFUNCTION("""COMPUTED_VALUE"""),"NL579221465B01")</f>
        <v>NL579221465B01</v>
      </c>
      <c r="O360" s="6">
        <f>IFERROR(__xludf.DUMMYFUNCTION("""COMPUTED_VALUE"""),9.0877632E7)</f>
        <v>90877632</v>
      </c>
      <c r="P360" s="6" t="str">
        <f>IFERROR(__xludf.DUMMYFUNCTION("""COMPUTED_VALUE"""),"NL32INGB0102254516")</f>
        <v>NL32INGB0102254516</v>
      </c>
      <c r="Q360" s="9">
        <f>IFERROR(__xludf.DUMMYFUNCTION("""COMPUTED_VALUE"""),45078.0)</f>
        <v>45078</v>
      </c>
      <c r="R360" s="6"/>
      <c r="S360" s="6" t="str">
        <f>IFERROR(__xludf.DUMMYFUNCTION("""COMPUTED_VALUE"""),"NL004847382B64")</f>
        <v>NL004847382B64</v>
      </c>
      <c r="T360" s="6">
        <f>IFERROR(__xludf.DUMMYFUNCTION("""COMPUTED_VALUE"""),5.79221465E8)</f>
        <v>579221465</v>
      </c>
      <c r="U360" s="7" t="str">
        <f>IFERROR(__xludf.DUMMYFUNCTION("""COMPUTED_VALUE"""),"Eenmanszaak")</f>
        <v>Eenmanszaak</v>
      </c>
      <c r="V360" s="7" t="str">
        <f>IFERROR(__xludf.DUMMYFUNCTION("""COMPUTED_VALUE"""),"000056573766")</f>
        <v>000056573766</v>
      </c>
      <c r="W360" s="6" t="str">
        <f>IFERROR(__xludf.DUMMYFUNCTION("""COMPUTED_VALUE"""),"ink.paradoxbg.2288aa@zarabota.nl")</f>
        <v>ink.paradoxbg.2288aa@zarabota.nl</v>
      </c>
      <c r="X360" s="6" t="str">
        <f>IFERROR(__xludf.DUMMYFUNCTION("""COMPUTED_VALUE"""),"ver.paradoxbg.2288aa@zarabota.nl")</f>
        <v>ver.paradoxbg.2288aa@zarabota.nl</v>
      </c>
      <c r="Y360" s="6" t="str">
        <f>IFERROR(__xludf.DUMMYFUNCTION("""COMPUTED_VALUE"""),"Hr.")</f>
        <v>Hr.</v>
      </c>
      <c r="Z360" s="6" t="str">
        <f>IFERROR(__xludf.DUMMYFUNCTION("""COMPUTED_VALUE"""),"Ilvi Hasanov")</f>
        <v>Ilvi Hasanov</v>
      </c>
      <c r="AA360" s="6" t="str">
        <f>IFERROR(__xludf.DUMMYFUNCTION("""COMPUTED_VALUE"""),"Kamenski")</f>
        <v>Kamenski</v>
      </c>
      <c r="AB360" s="6" t="str">
        <f>IFERROR(__xludf.DUMMYFUNCTION("""COMPUTED_VALUE"""),"I.H.")</f>
        <v>I.H.</v>
      </c>
      <c r="AC360" s="6">
        <f>IFERROR(__xludf.DUMMYFUNCTION("""COMPUTED_VALUE"""),5.79221465E8)</f>
        <v>579221465</v>
      </c>
      <c r="AD360" s="9">
        <f>IFERROR(__xludf.DUMMYFUNCTION("""COMPUTED_VALUE"""),34984.0)</f>
        <v>34984</v>
      </c>
      <c r="AE360" s="6" t="str">
        <f>IFERROR(__xludf.DUMMYFUNCTION("""COMPUTED_VALUE"""),"bg")</f>
        <v>bg</v>
      </c>
      <c r="AF360" s="6" t="str">
        <f>IFERROR(__xludf.DUMMYFUNCTION("""COMPUTED_VALUE"""),"Madan")</f>
        <v>Madan</v>
      </c>
      <c r="AG360" s="6" t="str">
        <f>IFERROR(__xludf.DUMMYFUNCTION("""COMPUTED_VALUE"""),"Hr. I.H. Kamenski")</f>
        <v>Hr. I.H. Kamenski</v>
      </c>
      <c r="AH360" s="6" t="str">
        <f>IFERROR(__xludf.DUMMYFUNCTION("""COMPUTED_VALUE"""),"NL66INGB0103914544")</f>
        <v>NL66INGB0103914544</v>
      </c>
      <c r="AI360" s="6"/>
      <c r="AJ360" s="6" t="str">
        <f>IFERROR(__xludf.DUMMYFUNCTION("""COMPUTED_VALUE"""),"ID Kaart")</f>
        <v>ID Kaart</v>
      </c>
      <c r="AK360" s="6">
        <f>IFERROR(__xludf.DUMMYFUNCTION("""COMPUTED_VALUE"""),6.45056668E8)</f>
        <v>645056668</v>
      </c>
      <c r="AL360" s="9">
        <f>IFERROR(__xludf.DUMMYFUNCTION("""COMPUTED_VALUE"""),45341.0)</f>
        <v>45341</v>
      </c>
      <c r="AM360" s="6" t="str">
        <f>IFERROR(__xludf.DUMMYFUNCTION("""COMPUTED_VALUE"""),"Bulgarije")</f>
        <v>Bulgarije</v>
      </c>
      <c r="AN360" s="6" t="str">
        <f>IFERROR(__xludf.DUMMYFUNCTION("""COMPUTED_VALUE"""),"Ilvi Hasanov Kamenski")</f>
        <v>Ilvi Hasanov Kamenski</v>
      </c>
      <c r="AO360" s="6">
        <f>IFERROR(__xludf.DUMMYFUNCTION("""COMPUTED_VALUE"""),1526.0)</f>
        <v>1526</v>
      </c>
    </row>
    <row r="361">
      <c r="A361" s="6" t="str">
        <f>IFERROR(__xludf.DUMMYFUNCTION("""COMPUTED_VALUE"""),"Parel 93")</f>
        <v>Parel 93</v>
      </c>
      <c r="B361" s="6" t="str">
        <f>IFERROR(__xludf.DUMMYFUNCTION("""COMPUTED_VALUE"""),"Parel 93")</f>
        <v>Parel 93</v>
      </c>
      <c r="C361" s="6">
        <f>IFERROR(__xludf.DUMMYFUNCTION("""COMPUTED_VALUE"""),840.0)</f>
        <v>840</v>
      </c>
      <c r="D361" s="7" t="str">
        <f>IFERROR(__xludf.DUMMYFUNCTION("""COMPUTED_VALUE"""),"Ivan Simeonov Todorov")</f>
        <v>Ivan Simeonov Todorov</v>
      </c>
      <c r="E361" s="7" t="str">
        <f>IFERROR(__xludf.DUMMYFUNCTION("""COMPUTED_VALUE"""),"SBI-code: 4120 - Algemene burgerlijke en utiliteitsbouw")</f>
        <v>SBI-code: 4120 - Algemene burgerlijke en utiliteitsbouw</v>
      </c>
      <c r="F361" s="7" t="str">
        <f>IFERROR(__xludf.DUMMYFUNCTION("""COMPUTED_VALUE"""),"0647303504")</f>
        <v>0647303504</v>
      </c>
      <c r="G361" s="6" t="str">
        <f>IFERROR(__xludf.DUMMYFUNCTION("""COMPUTED_VALUE"""),"todorov.parel93@gmail.com")</f>
        <v>todorov.parel93@gmail.com</v>
      </c>
      <c r="H361" s="6" t="str">
        <f>IFERROR(__xludf.DUMMYFUNCTION("""COMPUTED_VALUE"""),"De Genestetlaan 221")</f>
        <v>De Genestetlaan 221</v>
      </c>
      <c r="I361" s="6" t="str">
        <f>IFERROR(__xludf.DUMMYFUNCTION("""COMPUTED_VALUE"""),"2522LH")</f>
        <v>2522LH</v>
      </c>
      <c r="J361" s="6" t="str">
        <f>IFERROR(__xludf.DUMMYFUNCTION("""COMPUTED_VALUE"""),"s-Gravenhage")</f>
        <v>s-Gravenhage</v>
      </c>
      <c r="K361" s="6" t="str">
        <f>IFERROR(__xludf.DUMMYFUNCTION("""COMPUTED_VALUE"""),"Nederland")</f>
        <v>Nederland</v>
      </c>
      <c r="L361" s="6" t="str">
        <f>IFERROR(__xludf.DUMMYFUNCTION("""COMPUTED_VALUE"""),"Тодоров")</f>
        <v>Тодоров</v>
      </c>
      <c r="M361" s="8">
        <f>IFERROR(__xludf.DUMMYFUNCTION("""COMPUTED_VALUE"""),43710.0)</f>
        <v>43710</v>
      </c>
      <c r="N361" s="6" t="str">
        <f>IFERROR(__xludf.DUMMYFUNCTION("""COMPUTED_VALUE"""),"NL493771335B01")</f>
        <v>NL493771335B01</v>
      </c>
      <c r="O361" s="6">
        <f>IFERROR(__xludf.DUMMYFUNCTION("""COMPUTED_VALUE"""),7.572675E7)</f>
        <v>75726750</v>
      </c>
      <c r="P361" s="6" t="str">
        <f>IFERROR(__xludf.DUMMYFUNCTION("""COMPUTED_VALUE"""),"NL43INGB0009182818")</f>
        <v>NL43INGB0009182818</v>
      </c>
      <c r="Q361" s="9">
        <f>IFERROR(__xludf.DUMMYFUNCTION("""COMPUTED_VALUE"""),43710.0)</f>
        <v>43710</v>
      </c>
      <c r="R361" s="6"/>
      <c r="S361" s="6" t="str">
        <f>IFERROR(__xludf.DUMMYFUNCTION("""COMPUTED_VALUE"""),"NL002491452B10")</f>
        <v>NL002491452B10</v>
      </c>
      <c r="T361" s="6">
        <f>IFERROR(__xludf.DUMMYFUNCTION("""COMPUTED_VALUE"""),4.93771335E8)</f>
        <v>493771335</v>
      </c>
      <c r="U361" s="7" t="str">
        <f>IFERROR(__xludf.DUMMYFUNCTION("""COMPUTED_VALUE"""),"Eenmanszaak")</f>
        <v>Eenmanszaak</v>
      </c>
      <c r="V361" s="7" t="str">
        <f>IFERROR(__xludf.DUMMYFUNCTION("""COMPUTED_VALUE"""),"000043583164")</f>
        <v>000043583164</v>
      </c>
      <c r="W361" s="6" t="str">
        <f>IFERROR(__xludf.DUMMYFUNCTION("""COMPUTED_VALUE"""),"ink.parel93.2288aa@zarabota.nl")</f>
        <v>ink.parel93.2288aa@zarabota.nl</v>
      </c>
      <c r="X361" s="6" t="str">
        <f>IFERROR(__xludf.DUMMYFUNCTION("""COMPUTED_VALUE"""),"ver.parel93.2288aa@zarabota.nl")</f>
        <v>ver.parel93.2288aa@zarabota.nl</v>
      </c>
      <c r="Y361" s="6" t="str">
        <f>IFERROR(__xludf.DUMMYFUNCTION("""COMPUTED_VALUE"""),"Hr.")</f>
        <v>Hr.</v>
      </c>
      <c r="Z361" s="6" t="str">
        <f>IFERROR(__xludf.DUMMYFUNCTION("""COMPUTED_VALUE"""),"Ivan Simeonov")</f>
        <v>Ivan Simeonov</v>
      </c>
      <c r="AA361" s="6" t="str">
        <f>IFERROR(__xludf.DUMMYFUNCTION("""COMPUTED_VALUE"""),"Todorov")</f>
        <v>Todorov</v>
      </c>
      <c r="AB361" s="6" t="str">
        <f>IFERROR(__xludf.DUMMYFUNCTION("""COMPUTED_VALUE"""),"I.S.")</f>
        <v>I.S.</v>
      </c>
      <c r="AC361" s="6">
        <f>IFERROR(__xludf.DUMMYFUNCTION("""COMPUTED_VALUE"""),4.93771335E8)</f>
        <v>493771335</v>
      </c>
      <c r="AD361" s="9">
        <f>IFERROR(__xludf.DUMMYFUNCTION("""COMPUTED_VALUE"""),34191.0)</f>
        <v>34191</v>
      </c>
      <c r="AE361" s="6" t="str">
        <f>IFERROR(__xludf.DUMMYFUNCTION("""COMPUTED_VALUE"""),"bg")</f>
        <v>bg</v>
      </c>
      <c r="AF361" s="6" t="str">
        <f>IFERROR(__xludf.DUMMYFUNCTION("""COMPUTED_VALUE"""),"Ruse")</f>
        <v>Ruse</v>
      </c>
      <c r="AG361" s="6" t="str">
        <f>IFERROR(__xludf.DUMMYFUNCTION("""COMPUTED_VALUE"""),"Hr. I.S. Todorov")</f>
        <v>Hr. I.S. Todorov</v>
      </c>
      <c r="AH361" s="6" t="str">
        <f>IFERROR(__xludf.DUMMYFUNCTION("""COMPUTED_VALUE"""),"NL84INGB0672419386")</f>
        <v>NL84INGB0672419386</v>
      </c>
      <c r="AI361" s="9">
        <f>IFERROR(__xludf.DUMMYFUNCTION("""COMPUTED_VALUE"""),43297.0)</f>
        <v>43297</v>
      </c>
      <c r="AJ361" s="6" t="str">
        <f>IFERROR(__xludf.DUMMYFUNCTION("""COMPUTED_VALUE"""),"ID Kaart")</f>
        <v>ID Kaart</v>
      </c>
      <c r="AK361" s="6">
        <f>IFERROR(__xludf.DUMMYFUNCTION("""COMPUTED_VALUE"""),6.46765815E8)</f>
        <v>646765815</v>
      </c>
      <c r="AL361" s="9">
        <f>IFERROR(__xludf.DUMMYFUNCTION("""COMPUTED_VALUE"""),46377.0)</f>
        <v>46377</v>
      </c>
      <c r="AM361" s="6"/>
      <c r="AN361" s="6" t="str">
        <f>IFERROR(__xludf.DUMMYFUNCTION("""COMPUTED_VALUE"""),"Ivan Simeonov Todorov")</f>
        <v>Ivan Simeonov Todorov</v>
      </c>
      <c r="AO361" s="6"/>
    </row>
    <row r="362">
      <c r="A362" s="6" t="str">
        <f>IFERROR(__xludf.DUMMYFUNCTION("""COMPUTED_VALUE"""),"Pava Decoratie")</f>
        <v>Pava Decoratie</v>
      </c>
      <c r="B362" s="6" t="str">
        <f>IFERROR(__xludf.DUMMYFUNCTION("""COMPUTED_VALUE"""),"Pava Decoratie")</f>
        <v>Pava Decoratie</v>
      </c>
      <c r="C362" s="6">
        <f>IFERROR(__xludf.DUMMYFUNCTION("""COMPUTED_VALUE"""),1696.0)</f>
        <v>1696</v>
      </c>
      <c r="D362" s="7" t="str">
        <f>IFERROR(__xludf.DUMMYFUNCTION("""COMPUTED_VALUE"""),"Halina Yaroshuk")</f>
        <v>Halina Yaroshuk</v>
      </c>
      <c r="E362" s="7" t="str">
        <f>IFERROR(__xludf.DUMMYFUNCTION("""COMPUTED_VALUE"""),"SBI-code: 4331 - Stukadoren")</f>
        <v>SBI-code: 4331 - Stukadoren</v>
      </c>
      <c r="F362" s="7" t="str">
        <f>IFERROR(__xludf.DUMMYFUNCTION("""COMPUTED_VALUE"""),"0614233864")</f>
        <v>0614233864</v>
      </c>
      <c r="G362" s="6" t="str">
        <f>IFERROR(__xludf.DUMMYFUNCTION("""COMPUTED_VALUE"""),"galinaslivks@gmail.com")</f>
        <v>galinaslivks@gmail.com</v>
      </c>
      <c r="H362" s="6" t="str">
        <f>IFERROR(__xludf.DUMMYFUNCTION("""COMPUTED_VALUE"""),"Ds van den Boschlaan 55")</f>
        <v>Ds van den Boschlaan 55</v>
      </c>
      <c r="I362" s="6" t="str">
        <f>IFERROR(__xludf.DUMMYFUNCTION("""COMPUTED_VALUE"""),"2286PB")</f>
        <v>2286PB</v>
      </c>
      <c r="J362" s="6" t="str">
        <f>IFERROR(__xludf.DUMMYFUNCTION("""COMPUTED_VALUE"""),"Rijswijk")</f>
        <v>Rijswijk</v>
      </c>
      <c r="K362" s="6" t="str">
        <f>IFERROR(__xludf.DUMMYFUNCTION("""COMPUTED_VALUE"""),"Nederland")</f>
        <v>Nederland</v>
      </c>
      <c r="L362" s="6" t="str">
        <f>IFERROR(__xludf.DUMMYFUNCTION("""COMPUTED_VALUE"""),"Галина")</f>
        <v>Галина</v>
      </c>
      <c r="M362" s="8">
        <f>IFERROR(__xludf.DUMMYFUNCTION("""COMPUTED_VALUE"""),45658.0)</f>
        <v>45658</v>
      </c>
      <c r="N362" s="6" t="str">
        <f>IFERROR(__xludf.DUMMYFUNCTION("""COMPUTED_VALUE"""),"NL565960192B01")</f>
        <v>NL565960192B01</v>
      </c>
      <c r="O362" s="6">
        <f>IFERROR(__xludf.DUMMYFUNCTION("""COMPUTED_VALUE"""),9.1765897E7)</f>
        <v>91765897</v>
      </c>
      <c r="P362" s="6" t="str">
        <f>IFERROR(__xludf.DUMMYFUNCTION("""COMPUTED_VALUE"""),"NL64INGB0102636702")</f>
        <v>NL64INGB0102636702</v>
      </c>
      <c r="Q362" s="9">
        <f>IFERROR(__xludf.DUMMYFUNCTION("""COMPUTED_VALUE"""),45222.0)</f>
        <v>45222</v>
      </c>
      <c r="R362" s="6"/>
      <c r="S362" s="6" t="str">
        <f>IFERROR(__xludf.DUMMYFUNCTION("""COMPUTED_VALUE"""),"NL004913765B40")</f>
        <v>NL004913765B40</v>
      </c>
      <c r="T362" s="6">
        <f>IFERROR(__xludf.DUMMYFUNCTION("""COMPUTED_VALUE"""),5.65960192E8)</f>
        <v>565960192</v>
      </c>
      <c r="U362" s="7" t="str">
        <f>IFERROR(__xludf.DUMMYFUNCTION("""COMPUTED_VALUE"""),"Eenmanszaak")</f>
        <v>Eenmanszaak</v>
      </c>
      <c r="V362" s="7" t="str">
        <f>IFERROR(__xludf.DUMMYFUNCTION("""COMPUTED_VALUE"""),"000057425590")</f>
        <v>000057425590</v>
      </c>
      <c r="W362" s="6" t="str">
        <f>IFERROR(__xludf.DUMMYFUNCTION("""COMPUTED_VALUE"""),"ink.pavadecoratie.2288aa@zarabota.nl")</f>
        <v>ink.pavadecoratie.2288aa@zarabota.nl</v>
      </c>
      <c r="X362" s="6" t="str">
        <f>IFERROR(__xludf.DUMMYFUNCTION("""COMPUTED_VALUE"""),"ver.pavadecoratie.2288aa@zarabota.nl")</f>
        <v>ver.pavadecoratie.2288aa@zarabota.nl</v>
      </c>
      <c r="Y362" s="6" t="str">
        <f>IFERROR(__xludf.DUMMYFUNCTION("""COMPUTED_VALUE"""),"Mw.")</f>
        <v>Mw.</v>
      </c>
      <c r="Z362" s="6" t="str">
        <f>IFERROR(__xludf.DUMMYFUNCTION("""COMPUTED_VALUE"""),"Halina")</f>
        <v>Halina</v>
      </c>
      <c r="AA362" s="6" t="str">
        <f>IFERROR(__xludf.DUMMYFUNCTION("""COMPUTED_VALUE"""),"Yaroshuk")</f>
        <v>Yaroshuk</v>
      </c>
      <c r="AB362" s="6" t="str">
        <f>IFERROR(__xludf.DUMMYFUNCTION("""COMPUTED_VALUE"""),"H.")</f>
        <v>H.</v>
      </c>
      <c r="AC362" s="6">
        <f>IFERROR(__xludf.DUMMYFUNCTION("""COMPUTED_VALUE"""),5.65960192E8)</f>
        <v>565960192</v>
      </c>
      <c r="AD362" s="9">
        <f>IFERROR(__xludf.DUMMYFUNCTION("""COMPUTED_VALUE"""),36400.0)</f>
        <v>36400</v>
      </c>
      <c r="AE362" s="6" t="str">
        <f>IFERROR(__xludf.DUMMYFUNCTION("""COMPUTED_VALUE"""),"bg")</f>
        <v>bg</v>
      </c>
      <c r="AF362" s="6" t="str">
        <f>IFERROR(__xludf.DUMMYFUNCTION("""COMPUTED_VALUE"""),"Volinska Oblast")</f>
        <v>Volinska Oblast</v>
      </c>
      <c r="AG362" s="6" t="str">
        <f>IFERROR(__xludf.DUMMYFUNCTION("""COMPUTED_VALUE"""),"Mw. H. Yaroshuk")</f>
        <v>Mw. H. Yaroshuk</v>
      </c>
      <c r="AH362" s="6"/>
      <c r="AI362" s="6"/>
      <c r="AJ362" s="6" t="str">
        <f>IFERROR(__xludf.DUMMYFUNCTION("""COMPUTED_VALUE"""),"Paspoort")</f>
        <v>Paspoort</v>
      </c>
      <c r="AK362" s="6" t="str">
        <f>IFERROR(__xludf.DUMMYFUNCTION("""COMPUTED_VALUE"""),"GD515384")</f>
        <v>GD515384</v>
      </c>
      <c r="AL362" s="9">
        <f>IFERROR(__xludf.DUMMYFUNCTION("""COMPUTED_VALUE"""),48429.0)</f>
        <v>48429</v>
      </c>
      <c r="AM362" s="6" t="str">
        <f>IFERROR(__xludf.DUMMYFUNCTION("""COMPUTED_VALUE"""),"Oekraïne")</f>
        <v>Oekraïne</v>
      </c>
      <c r="AN362" s="6" t="str">
        <f>IFERROR(__xludf.DUMMYFUNCTION("""COMPUTED_VALUE"""),"Halina Yaroshuk")</f>
        <v>Halina Yaroshuk</v>
      </c>
      <c r="AO362" s="6">
        <f>IFERROR(__xludf.DUMMYFUNCTION("""COMPUTED_VALUE"""),1696.0)</f>
        <v>1696</v>
      </c>
    </row>
    <row r="363">
      <c r="A363" s="6" t="str">
        <f>IFERROR(__xludf.DUMMYFUNCTION("""COMPUTED_VALUE"""),"Pema-Afbouw VOF")</f>
        <v>Pema-Afbouw VOF</v>
      </c>
      <c r="B363" s="6" t="str">
        <f>IFERROR(__xludf.DUMMYFUNCTION("""COMPUTED_VALUE"""),"Pema-Afbouw VOF")</f>
        <v>Pema-Afbouw VOF</v>
      </c>
      <c r="C363" s="6">
        <f>IFERROR(__xludf.DUMMYFUNCTION("""COMPUTED_VALUE"""),1268.0)</f>
        <v>1268</v>
      </c>
      <c r="D363" s="7" t="str">
        <f>IFERROR(__xludf.DUMMYFUNCTION("""COMPUTED_VALUE"""),"Marian Zaponcek")</f>
        <v>Marian Zaponcek</v>
      </c>
      <c r="E363" s="7" t="str">
        <f>IFERROR(__xludf.DUMMYFUNCTION("""COMPUTED_VALUE"""),"SBI-code: 4120 - Algemene burgerlijke en utiliteitsbouw")</f>
        <v>SBI-code: 4120 - Algemene burgerlijke en utiliteitsbouw</v>
      </c>
      <c r="F363" s="7" t="str">
        <f>IFERROR(__xludf.DUMMYFUNCTION("""COMPUTED_VALUE"""),"0681627410")</f>
        <v>0681627410</v>
      </c>
      <c r="G363" s="6" t="str">
        <f>IFERROR(__xludf.DUMMYFUNCTION("""COMPUTED_VALUE"""),"pema.afbouw@gmail.com")</f>
        <v>pema.afbouw@gmail.com</v>
      </c>
      <c r="H363" s="6" t="str">
        <f>IFERROR(__xludf.DUMMYFUNCTION("""COMPUTED_VALUE"""),"Stellendamstraat 95")</f>
        <v>Stellendamstraat 95</v>
      </c>
      <c r="I363" s="6" t="str">
        <f>IFERROR(__xludf.DUMMYFUNCTION("""COMPUTED_VALUE"""),"2729LG")</f>
        <v>2729LG</v>
      </c>
      <c r="J363" s="6" t="str">
        <f>IFERROR(__xludf.DUMMYFUNCTION("""COMPUTED_VALUE"""),"Zoetermeer")</f>
        <v>Zoetermeer</v>
      </c>
      <c r="K363" s="6" t="str">
        <f>IFERROR(__xludf.DUMMYFUNCTION("""COMPUTED_VALUE"""),"Nederland")</f>
        <v>Nederland</v>
      </c>
      <c r="L363" s="6" t="str">
        <f>IFERROR(__xludf.DUMMYFUNCTION("""COMPUTED_VALUE"""),"Запончек")</f>
        <v>Запончек</v>
      </c>
      <c r="M363" s="8">
        <f>IFERROR(__xludf.DUMMYFUNCTION("""COMPUTED_VALUE"""),44562.0)</f>
        <v>44562</v>
      </c>
      <c r="N363" s="6" t="str">
        <f>IFERROR(__xludf.DUMMYFUNCTION("""COMPUTED_VALUE"""),"NL863748156B01")</f>
        <v>NL863748156B01</v>
      </c>
      <c r="O363" s="6">
        <f>IFERROR(__xludf.DUMMYFUNCTION("""COMPUTED_VALUE"""),8.5804991E7)</f>
        <v>85804991</v>
      </c>
      <c r="P363" s="6" t="str">
        <f>IFERROR(__xludf.DUMMYFUNCTION("""COMPUTED_VALUE"""),"NL78INGB0006267241")</f>
        <v>NL78INGB0006267241</v>
      </c>
      <c r="Q363" s="9">
        <f>IFERROR(__xludf.DUMMYFUNCTION("""COMPUTED_VALUE"""),44562.0)</f>
        <v>44562</v>
      </c>
      <c r="R363" s="6"/>
      <c r="S363" s="6" t="str">
        <f>IFERROR(__xludf.DUMMYFUNCTION("""COMPUTED_VALUE"""),"NL863748156B01")</f>
        <v>NL863748156B01</v>
      </c>
      <c r="T363" s="6">
        <f>IFERROR(__xludf.DUMMYFUNCTION("""COMPUTED_VALUE"""),8.63748156E8)</f>
        <v>863748156</v>
      </c>
      <c r="U363" s="7" t="str">
        <f>IFERROR(__xludf.DUMMYFUNCTION("""COMPUTED_VALUE"""),"Vennootschap Onder Firma")</f>
        <v>Vennootschap Onder Firma</v>
      </c>
      <c r="V363" s="7" t="str">
        <f>IFERROR(__xludf.DUMMYFUNCTION("""COMPUTED_VALUE"""),"000023350954")</f>
        <v>000023350954</v>
      </c>
      <c r="W363" s="6" t="str">
        <f>IFERROR(__xludf.DUMMYFUNCTION("""COMPUTED_VALUE"""),"ink.pema.2288aa@zarabota.nl")</f>
        <v>ink.pema.2288aa@zarabota.nl</v>
      </c>
      <c r="X363" s="6" t="str">
        <f>IFERROR(__xludf.DUMMYFUNCTION("""COMPUTED_VALUE"""),"ver.pema.2288aa@zarabota.nl")</f>
        <v>ver.pema.2288aa@zarabota.nl</v>
      </c>
      <c r="Y363" s="6" t="str">
        <f>IFERROR(__xludf.DUMMYFUNCTION("""COMPUTED_VALUE"""),"Hr.")</f>
        <v>Hr.</v>
      </c>
      <c r="Z363" s="6" t="str">
        <f>IFERROR(__xludf.DUMMYFUNCTION("""COMPUTED_VALUE"""),"Marian")</f>
        <v>Marian</v>
      </c>
      <c r="AA363" s="6" t="str">
        <f>IFERROR(__xludf.DUMMYFUNCTION("""COMPUTED_VALUE"""),"Zaponcek")</f>
        <v>Zaponcek</v>
      </c>
      <c r="AB363" s="6" t="str">
        <f>IFERROR(__xludf.DUMMYFUNCTION("""COMPUTED_VALUE"""),"M.")</f>
        <v>M.</v>
      </c>
      <c r="AC363" s="6">
        <f>IFERROR(__xludf.DUMMYFUNCTION("""COMPUTED_VALUE"""),2.64829335E8)</f>
        <v>264829335</v>
      </c>
      <c r="AD363" s="9">
        <f>IFERROR(__xludf.DUMMYFUNCTION("""COMPUTED_VALUE"""),29669.0)</f>
        <v>29669</v>
      </c>
      <c r="AE363" s="6" t="str">
        <f>IFERROR(__xludf.DUMMYFUNCTION("""COMPUTED_VALUE"""),"bg")</f>
        <v>bg</v>
      </c>
      <c r="AF363" s="6" t="str">
        <f>IFERROR(__xludf.DUMMYFUNCTION("""COMPUTED_VALUE"""),"Skopje")</f>
        <v>Skopje</v>
      </c>
      <c r="AG363" s="6" t="str">
        <f>IFERROR(__xludf.DUMMYFUNCTION("""COMPUTED_VALUE"""),"Hr. M. Zaponcek")</f>
        <v>Hr. M. Zaponcek</v>
      </c>
      <c r="AH363" s="6"/>
      <c r="AI363" s="6"/>
      <c r="AJ363" s="6"/>
      <c r="AK363" s="6"/>
      <c r="AL363" s="6"/>
      <c r="AM363" s="6"/>
      <c r="AN363" s="6" t="str">
        <f>IFERROR(__xludf.DUMMYFUNCTION("""COMPUTED_VALUE"""),"Marian Zaponcek")</f>
        <v>Marian Zaponcek</v>
      </c>
      <c r="AO363" s="6"/>
    </row>
    <row r="364">
      <c r="A364" s="6" t="str">
        <f>IFERROR(__xludf.DUMMYFUNCTION("""COMPUTED_VALUE"""),"Petkov Transport B.V.")</f>
        <v>Petkov Transport B.V.</v>
      </c>
      <c r="B364" s="6" t="str">
        <f>IFERROR(__xludf.DUMMYFUNCTION("""COMPUTED_VALUE"""),"Petkov Transport B.V.")</f>
        <v>Petkov Transport B.V.</v>
      </c>
      <c r="C364" s="6">
        <f>IFERROR(__xludf.DUMMYFUNCTION("""COMPUTED_VALUE"""),563.0)</f>
        <v>563</v>
      </c>
      <c r="D364" s="7" t="str">
        <f>IFERROR(__xludf.DUMMYFUNCTION("""COMPUTED_VALUE"""),"Milen Vasilev Petkov")</f>
        <v>Milen Vasilev Petkov</v>
      </c>
      <c r="E364" s="7" t="str">
        <f>IFERROR(__xludf.DUMMYFUNCTION("""COMPUTED_VALUE"""),"SBI-code: 4120 - Algemene burgerlijke en utiliteitsbouw")</f>
        <v>SBI-code: 4120 - Algemene burgerlijke en utiliteitsbouw</v>
      </c>
      <c r="F364" s="7" t="str">
        <f>IFERROR(__xludf.DUMMYFUNCTION("""COMPUTED_VALUE"""),"0658740663")</f>
        <v>0658740663</v>
      </c>
      <c r="G364" s="6" t="str">
        <f>IFERROR(__xludf.DUMMYFUNCTION("""COMPUTED_VALUE"""),"milenpetkov779@gmail.com")</f>
        <v>milenpetkov779@gmail.com</v>
      </c>
      <c r="H364" s="6" t="str">
        <f>IFERROR(__xludf.DUMMYFUNCTION("""COMPUTED_VALUE"""),"Van Zeggelenlaan 208")</f>
        <v>Van Zeggelenlaan 208</v>
      </c>
      <c r="I364" s="6" t="str">
        <f>IFERROR(__xludf.DUMMYFUNCTION("""COMPUTED_VALUE"""),"2524AX")</f>
        <v>2524AX</v>
      </c>
      <c r="J364" s="6" t="str">
        <f>IFERROR(__xludf.DUMMYFUNCTION("""COMPUTED_VALUE"""),"s-Gravenhage")</f>
        <v>s-Gravenhage</v>
      </c>
      <c r="K364" s="6" t="str">
        <f>IFERROR(__xludf.DUMMYFUNCTION("""COMPUTED_VALUE"""),"Nederland")</f>
        <v>Nederland</v>
      </c>
      <c r="L364" s="6" t="str">
        <f>IFERROR(__xludf.DUMMYFUNCTION("""COMPUTED_VALUE"""),"Петков")</f>
        <v>Петков</v>
      </c>
      <c r="M364" s="8">
        <f>IFERROR(__xludf.DUMMYFUNCTION("""COMPUTED_VALUE"""),43207.0)</f>
        <v>43207</v>
      </c>
      <c r="N364" s="6" t="str">
        <f>IFERROR(__xludf.DUMMYFUNCTION("""COMPUTED_VALUE"""),"NL857520398B01")</f>
        <v>NL857520398B01</v>
      </c>
      <c r="O364" s="6">
        <f>IFERROR(__xludf.DUMMYFUNCTION("""COMPUTED_VALUE"""),6.861416E7)</f>
        <v>68614160</v>
      </c>
      <c r="P364" s="6" t="str">
        <f>IFERROR(__xludf.DUMMYFUNCTION("""COMPUTED_VALUE"""),"NL93INGB0007769210")</f>
        <v>NL93INGB0007769210</v>
      </c>
      <c r="Q364" s="9">
        <f>IFERROR(__xludf.DUMMYFUNCTION("""COMPUTED_VALUE"""),42849.0)</f>
        <v>42849</v>
      </c>
      <c r="R364" s="6"/>
      <c r="S364" s="6" t="str">
        <f>IFERROR(__xludf.DUMMYFUNCTION("""COMPUTED_VALUE"""),"NL857520398B01")</f>
        <v>NL857520398B01</v>
      </c>
      <c r="T364" s="6">
        <f>IFERROR(__xludf.DUMMYFUNCTION("""COMPUTED_VALUE"""),8.57520398E8)</f>
        <v>857520398</v>
      </c>
      <c r="U364" s="7" t="str">
        <f>IFERROR(__xludf.DUMMYFUNCTION("""COMPUTED_VALUE"""),"Besloten Vennootschap")</f>
        <v>Besloten Vennootschap</v>
      </c>
      <c r="V364" s="7" t="str">
        <f>IFERROR(__xludf.DUMMYFUNCTION("""COMPUTED_VALUE"""),"000037036882")</f>
        <v>000037036882</v>
      </c>
      <c r="W364" s="6" t="str">
        <f>IFERROR(__xludf.DUMMYFUNCTION("""COMPUTED_VALUE"""),"ink.petkovtransportbv.2288aa@zarabota.nl")</f>
        <v>ink.petkovtransportbv.2288aa@zarabota.nl</v>
      </c>
      <c r="X364" s="6" t="str">
        <f>IFERROR(__xludf.DUMMYFUNCTION("""COMPUTED_VALUE"""),"ver.petkovtransportbv.2288aa@zarabota.nl")</f>
        <v>ver.petkovtransportbv.2288aa@zarabota.nl</v>
      </c>
      <c r="Y364" s="6" t="str">
        <f>IFERROR(__xludf.DUMMYFUNCTION("""COMPUTED_VALUE"""),"Hr.")</f>
        <v>Hr.</v>
      </c>
      <c r="Z364" s="6" t="str">
        <f>IFERROR(__xludf.DUMMYFUNCTION("""COMPUTED_VALUE"""),"Milen Vasilev")</f>
        <v>Milen Vasilev</v>
      </c>
      <c r="AA364" s="6" t="str">
        <f>IFERROR(__xludf.DUMMYFUNCTION("""COMPUTED_VALUE"""),"Petkov")</f>
        <v>Petkov</v>
      </c>
      <c r="AB364" s="6" t="str">
        <f>IFERROR(__xludf.DUMMYFUNCTION("""COMPUTED_VALUE"""),"M.V.")</f>
        <v>M.V.</v>
      </c>
      <c r="AC364" s="6">
        <f>IFERROR(__xludf.DUMMYFUNCTION("""COMPUTED_VALUE"""),2.64251246E8)</f>
        <v>264251246</v>
      </c>
      <c r="AD364" s="9">
        <f>IFERROR(__xludf.DUMMYFUNCTION("""COMPUTED_VALUE"""),29725.0)</f>
        <v>29725</v>
      </c>
      <c r="AE364" s="6" t="str">
        <f>IFERROR(__xludf.DUMMYFUNCTION("""COMPUTED_VALUE"""),"bg")</f>
        <v>bg</v>
      </c>
      <c r="AF364" s="6" t="str">
        <f>IFERROR(__xludf.DUMMYFUNCTION("""COMPUTED_VALUE"""),"Sliven")</f>
        <v>Sliven</v>
      </c>
      <c r="AG364" s="6" t="str">
        <f>IFERROR(__xludf.DUMMYFUNCTION("""COMPUTED_VALUE"""),"Hr. M.V. Petkov")</f>
        <v>Hr. M.V. Petkov</v>
      </c>
      <c r="AH364" s="6" t="str">
        <f>IFERROR(__xludf.DUMMYFUNCTION("""COMPUTED_VALUE"""),"NL16ABNA0553699067")</f>
        <v>NL16ABNA0553699067</v>
      </c>
      <c r="AI364" s="6"/>
      <c r="AJ364" s="6" t="str">
        <f>IFERROR(__xludf.DUMMYFUNCTION("""COMPUTED_VALUE"""),"ID Kaart")</f>
        <v>ID Kaart</v>
      </c>
      <c r="AK364" s="6"/>
      <c r="AL364" s="6"/>
      <c r="AM364" s="6"/>
      <c r="AN364" s="6" t="str">
        <f>IFERROR(__xludf.DUMMYFUNCTION("""COMPUTED_VALUE"""),"Milen Vasilev Petkov")</f>
        <v>Milen Vasilev Petkov</v>
      </c>
      <c r="AO364" s="6"/>
    </row>
    <row r="365">
      <c r="A365" s="6" t="str">
        <f>IFERROR(__xludf.DUMMYFUNCTION("""COMPUTED_VALUE"""),"PIP Transport (Palamidov Pro)")</f>
        <v>PIP Transport (Palamidov Pro)</v>
      </c>
      <c r="B365" s="6" t="str">
        <f>IFERROR(__xludf.DUMMYFUNCTION("""COMPUTED_VALUE"""),"PIP Transport (Palamidov Pro)")</f>
        <v>PIP Transport (Palamidov Pro)</v>
      </c>
      <c r="C365" s="6">
        <f>IFERROR(__xludf.DUMMYFUNCTION("""COMPUTED_VALUE"""),1423.0)</f>
        <v>1423</v>
      </c>
      <c r="D365" s="7" t="str">
        <f>IFERROR(__xludf.DUMMYFUNCTION("""COMPUTED_VALUE"""),"Petar Ivanov Palamidov")</f>
        <v>Petar Ivanov Palamidov</v>
      </c>
      <c r="E365" s="7" t="str">
        <f>IFERROR(__xludf.DUMMYFUNCTION("""COMPUTED_VALUE"""),"SBI-code: 4941 - Goederenvervoer over de weg (geen verhuizingen)")</f>
        <v>SBI-code: 4941 - Goederenvervoer over de weg (geen verhuizingen)</v>
      </c>
      <c r="F365" s="7" t="str">
        <f>IFERROR(__xludf.DUMMYFUNCTION("""COMPUTED_VALUE"""),"0686364962")</f>
        <v>0686364962</v>
      </c>
      <c r="G365" s="6" t="str">
        <f>IFERROR(__xludf.DUMMYFUNCTION("""COMPUTED_VALUE"""),"piptransport@yahoo.com")</f>
        <v>piptransport@yahoo.com</v>
      </c>
      <c r="H365" s="6" t="str">
        <f>IFERROR(__xludf.DUMMYFUNCTION("""COMPUTED_VALUE"""),"Julianastraat 27D")</f>
        <v>Julianastraat 27D</v>
      </c>
      <c r="I365" s="6" t="str">
        <f>IFERROR(__xludf.DUMMYFUNCTION("""COMPUTED_VALUE"""),"5141GL")</f>
        <v>5141GL</v>
      </c>
      <c r="J365" s="6" t="str">
        <f>IFERROR(__xludf.DUMMYFUNCTION("""COMPUTED_VALUE"""),"Waalwijk")</f>
        <v>Waalwijk</v>
      </c>
      <c r="K365" s="6" t="str">
        <f>IFERROR(__xludf.DUMMYFUNCTION("""COMPUTED_VALUE"""),"Nederland")</f>
        <v>Nederland</v>
      </c>
      <c r="L365" s="6" t="str">
        <f>IFERROR(__xludf.DUMMYFUNCTION("""COMPUTED_VALUE"""),"Паламидов")</f>
        <v>Паламидов</v>
      </c>
      <c r="M365" s="8">
        <f>IFERROR(__xludf.DUMMYFUNCTION("""COMPUTED_VALUE"""),44844.0)</f>
        <v>44844</v>
      </c>
      <c r="N365" s="6" t="str">
        <f>IFERROR(__xludf.DUMMYFUNCTION("""COMPUTED_VALUE"""),"NL458320894B01")</f>
        <v>NL458320894B01</v>
      </c>
      <c r="O365" s="6">
        <f>IFERROR(__xludf.DUMMYFUNCTION("""COMPUTED_VALUE"""),8.7812479E7)</f>
        <v>87812479</v>
      </c>
      <c r="P365" s="6" t="str">
        <f>IFERROR(__xludf.DUMMYFUNCTION("""COMPUTED_VALUE"""),"NL60INGB0398622671")</f>
        <v>NL60INGB0398622671</v>
      </c>
      <c r="Q365" s="9">
        <f>IFERROR(__xludf.DUMMYFUNCTION("""COMPUTED_VALUE"""),44844.0)</f>
        <v>44844</v>
      </c>
      <c r="R365" s="6"/>
      <c r="S365" s="6" t="str">
        <f>IFERROR(__xludf.DUMMYFUNCTION("""COMPUTED_VALUE"""),"NL004484523B96")</f>
        <v>NL004484523B96</v>
      </c>
      <c r="T365" s="6">
        <f>IFERROR(__xludf.DUMMYFUNCTION("""COMPUTED_VALUE"""),4.58320894E8)</f>
        <v>458320894</v>
      </c>
      <c r="U365" s="7" t="str">
        <f>IFERROR(__xludf.DUMMYFUNCTION("""COMPUTED_VALUE"""),"Eenmanszaak")</f>
        <v>Eenmanszaak</v>
      </c>
      <c r="V365" s="7" t="str">
        <f>IFERROR(__xludf.DUMMYFUNCTION("""COMPUTED_VALUE"""),"000053707117")</f>
        <v>000053707117</v>
      </c>
      <c r="W365" s="6" t="str">
        <f>IFERROR(__xludf.DUMMYFUNCTION("""COMPUTED_VALUE"""),"ink.palamidovpro.2288aa@zarabota.nl")</f>
        <v>ink.palamidovpro.2288aa@zarabota.nl</v>
      </c>
      <c r="X365" s="6" t="str">
        <f>IFERROR(__xludf.DUMMYFUNCTION("""COMPUTED_VALUE"""),"ver.palamidovpro.2288aa@zarabota.nl")</f>
        <v>ver.palamidovpro.2288aa@zarabota.nl</v>
      </c>
      <c r="Y365" s="6" t="str">
        <f>IFERROR(__xludf.DUMMYFUNCTION("""COMPUTED_VALUE"""),"Hr.")</f>
        <v>Hr.</v>
      </c>
      <c r="Z365" s="6" t="str">
        <f>IFERROR(__xludf.DUMMYFUNCTION("""COMPUTED_VALUE"""),"Petar Ivanov")</f>
        <v>Petar Ivanov</v>
      </c>
      <c r="AA365" s="6" t="str">
        <f>IFERROR(__xludf.DUMMYFUNCTION("""COMPUTED_VALUE"""),"Palamidov")</f>
        <v>Palamidov</v>
      </c>
      <c r="AB365" s="6" t="str">
        <f>IFERROR(__xludf.DUMMYFUNCTION("""COMPUTED_VALUE"""),"P.I.")</f>
        <v>P.I.</v>
      </c>
      <c r="AC365" s="6">
        <f>IFERROR(__xludf.DUMMYFUNCTION("""COMPUTED_VALUE"""),4.58320894E8)</f>
        <v>458320894</v>
      </c>
      <c r="AD365" s="9">
        <f>IFERROR(__xludf.DUMMYFUNCTION("""COMPUTED_VALUE"""),32329.0)</f>
        <v>32329</v>
      </c>
      <c r="AE365" s="6" t="str">
        <f>IFERROR(__xludf.DUMMYFUNCTION("""COMPUTED_VALUE"""),"bg")</f>
        <v>bg</v>
      </c>
      <c r="AF365" s="6" t="str">
        <f>IFERROR(__xludf.DUMMYFUNCTION("""COMPUTED_VALUE"""),"Asenovgrad")</f>
        <v>Asenovgrad</v>
      </c>
      <c r="AG365" s="6" t="str">
        <f>IFERROR(__xludf.DUMMYFUNCTION("""COMPUTED_VALUE"""),"Hr. P.I. Palamidov")</f>
        <v>Hr. P.I. Palamidov</v>
      </c>
      <c r="AH365" s="6"/>
      <c r="AI365" s="6"/>
      <c r="AJ365" s="6" t="str">
        <f>IFERROR(__xludf.DUMMYFUNCTION("""COMPUTED_VALUE"""),"ID Kaart")</f>
        <v>ID Kaart</v>
      </c>
      <c r="AK365" s="6">
        <f>IFERROR(__xludf.DUMMYFUNCTION("""COMPUTED_VALUE"""),6.46969213E8)</f>
        <v>646969213</v>
      </c>
      <c r="AL365" s="9">
        <f>IFERROR(__xludf.DUMMYFUNCTION("""COMPUTED_VALUE"""),46497.0)</f>
        <v>46497</v>
      </c>
      <c r="AM365" s="6" t="str">
        <f>IFERROR(__xludf.DUMMYFUNCTION("""COMPUTED_VALUE"""),"Bulgarije")</f>
        <v>Bulgarije</v>
      </c>
      <c r="AN365" s="6" t="str">
        <f>IFERROR(__xludf.DUMMYFUNCTION("""COMPUTED_VALUE"""),"Petar Ivanov Palamidov")</f>
        <v>Petar Ivanov Palamidov</v>
      </c>
      <c r="AO365" s="6">
        <f>IFERROR(__xludf.DUMMYFUNCTION("""COMPUTED_VALUE"""),1423.0)</f>
        <v>1423</v>
      </c>
    </row>
    <row r="366">
      <c r="A366" s="6" t="str">
        <f>IFERROR(__xludf.DUMMYFUNCTION("""COMPUTED_VALUE"""),"Plamih")</f>
        <v>Plamih</v>
      </c>
      <c r="B366" s="6" t="str">
        <f>IFERROR(__xludf.DUMMYFUNCTION("""COMPUTED_VALUE"""),"Plamih")</f>
        <v>Plamih</v>
      </c>
      <c r="C366" s="6">
        <f>IFERROR(__xludf.DUMMYFUNCTION("""COMPUTED_VALUE"""),298.0)</f>
        <v>298</v>
      </c>
      <c r="D366" s="7" t="str">
        <f>IFERROR(__xludf.DUMMYFUNCTION("""COMPUTED_VALUE"""),"Plamen Boyanov Mihtarski")</f>
        <v>Plamen Boyanov Mihtarski</v>
      </c>
      <c r="E366" s="7" t="str">
        <f>IFERROR(__xludf.DUMMYFUNCTION("""COMPUTED_VALUE"""),"SBI-code: 4120 - Algemene burgerlijke en utiliteitsbouw")</f>
        <v>SBI-code: 4120 - Algemene burgerlijke en utiliteitsbouw</v>
      </c>
      <c r="F366" s="7" t="str">
        <f>IFERROR(__xludf.DUMMYFUNCTION("""COMPUTED_VALUE"""),"0617964636")</f>
        <v>0617964636</v>
      </c>
      <c r="G366" s="6" t="str">
        <f>IFERROR(__xludf.DUMMYFUNCTION("""COMPUTED_VALUE"""),"plamen_mihtarski@abv.bg")</f>
        <v>plamen_mihtarski@abv.bg</v>
      </c>
      <c r="H366" s="6" t="str">
        <f>IFERROR(__xludf.DUMMYFUNCTION("""COMPUTED_VALUE"""),"Franklinstraat 124C")</f>
        <v>Franklinstraat 124C</v>
      </c>
      <c r="I366" s="6" t="str">
        <f>IFERROR(__xludf.DUMMYFUNCTION("""COMPUTED_VALUE"""),"2562CK")</f>
        <v>2562CK</v>
      </c>
      <c r="J366" s="6" t="str">
        <f>IFERROR(__xludf.DUMMYFUNCTION("""COMPUTED_VALUE"""),"s-Gravenhage")</f>
        <v>s-Gravenhage</v>
      </c>
      <c r="K366" s="6" t="str">
        <f>IFERROR(__xludf.DUMMYFUNCTION("""COMPUTED_VALUE"""),"Nederland")</f>
        <v>Nederland</v>
      </c>
      <c r="L366" s="6" t="str">
        <f>IFERROR(__xludf.DUMMYFUNCTION("""COMPUTED_VALUE"""),"Михтарски")</f>
        <v>Михтарски</v>
      </c>
      <c r="M366" s="8">
        <f>IFERROR(__xludf.DUMMYFUNCTION("""COMPUTED_VALUE"""),43175.0)</f>
        <v>43175</v>
      </c>
      <c r="N366" s="6" t="str">
        <f>IFERROR(__xludf.DUMMYFUNCTION("""COMPUTED_VALUE"""),"NL509161960B01")</f>
        <v>NL509161960B01</v>
      </c>
      <c r="O366" s="6">
        <f>IFERROR(__xludf.DUMMYFUNCTION("""COMPUTED_VALUE"""),6.5674359E7)</f>
        <v>65674359</v>
      </c>
      <c r="P366" s="6" t="str">
        <f>IFERROR(__xludf.DUMMYFUNCTION("""COMPUTED_VALUE"""),"NL89INGB0007237528")</f>
        <v>NL89INGB0007237528</v>
      </c>
      <c r="Q366" s="9">
        <f>IFERROR(__xludf.DUMMYFUNCTION("""COMPUTED_VALUE"""),42461.0)</f>
        <v>42461</v>
      </c>
      <c r="R366" s="6"/>
      <c r="S366" s="6" t="str">
        <f>IFERROR(__xludf.DUMMYFUNCTION("""COMPUTED_VALUE"""),"NL002493546B78")</f>
        <v>NL002493546B78</v>
      </c>
      <c r="T366" s="6">
        <f>IFERROR(__xludf.DUMMYFUNCTION("""COMPUTED_VALUE"""),5.0916196E8)</f>
        <v>509161960</v>
      </c>
      <c r="U366" s="7" t="str">
        <f>IFERROR(__xludf.DUMMYFUNCTION("""COMPUTED_VALUE"""),"Eenmanszaak")</f>
        <v>Eenmanszaak</v>
      </c>
      <c r="V366" s="7" t="str">
        <f>IFERROR(__xludf.DUMMYFUNCTION("""COMPUTED_VALUE"""),"000034377174")</f>
        <v>000034377174</v>
      </c>
      <c r="W366" s="6" t="str">
        <f>IFERROR(__xludf.DUMMYFUNCTION("""COMPUTED_VALUE"""),"ink.plamih.2288aa@zarabota.nl")</f>
        <v>ink.plamih.2288aa@zarabota.nl</v>
      </c>
      <c r="X366" s="6" t="str">
        <f>IFERROR(__xludf.DUMMYFUNCTION("""COMPUTED_VALUE"""),"ver.plamih.2288aa@zarabota.nl")</f>
        <v>ver.plamih.2288aa@zarabota.nl</v>
      </c>
      <c r="Y366" s="6" t="str">
        <f>IFERROR(__xludf.DUMMYFUNCTION("""COMPUTED_VALUE"""),"Hr.")</f>
        <v>Hr.</v>
      </c>
      <c r="Z366" s="6" t="str">
        <f>IFERROR(__xludf.DUMMYFUNCTION("""COMPUTED_VALUE"""),"Plamen Boyanov")</f>
        <v>Plamen Boyanov</v>
      </c>
      <c r="AA366" s="6" t="str">
        <f>IFERROR(__xludf.DUMMYFUNCTION("""COMPUTED_VALUE"""),"Mitharski")</f>
        <v>Mitharski</v>
      </c>
      <c r="AB366" s="6" t="str">
        <f>IFERROR(__xludf.DUMMYFUNCTION("""COMPUTED_VALUE"""),"P.B.")</f>
        <v>P.B.</v>
      </c>
      <c r="AC366" s="6">
        <f>IFERROR(__xludf.DUMMYFUNCTION("""COMPUTED_VALUE"""),5.0916196E8)</f>
        <v>509161960</v>
      </c>
      <c r="AD366" s="9">
        <f>IFERROR(__xludf.DUMMYFUNCTION("""COMPUTED_VALUE"""),30848.0)</f>
        <v>30848</v>
      </c>
      <c r="AE366" s="6" t="str">
        <f>IFERROR(__xludf.DUMMYFUNCTION("""COMPUTED_VALUE"""),"bg")</f>
        <v>bg</v>
      </c>
      <c r="AF366" s="6" t="str">
        <f>IFERROR(__xludf.DUMMYFUNCTION("""COMPUTED_VALUE"""),"Smolyan")</f>
        <v>Smolyan</v>
      </c>
      <c r="AG366" s="6" t="str">
        <f>IFERROR(__xludf.DUMMYFUNCTION("""COMPUTED_VALUE"""),"Hr. P.B. Mitharski")</f>
        <v>Hr. P.B. Mitharski</v>
      </c>
      <c r="AH366" s="6" t="str">
        <f>IFERROR(__xludf.DUMMYFUNCTION("""COMPUTED_VALUE"""),"NL42INGB0702336882")</f>
        <v>NL42INGB0702336882</v>
      </c>
      <c r="AI366" s="9">
        <f>IFERROR(__xludf.DUMMYFUNCTION("""COMPUTED_VALUE"""),42443.0)</f>
        <v>42443</v>
      </c>
      <c r="AJ366" s="6" t="str">
        <f>IFERROR(__xludf.DUMMYFUNCTION("""COMPUTED_VALUE"""),"ID Kaart")</f>
        <v>ID Kaart</v>
      </c>
      <c r="AK366" s="6">
        <f>IFERROR(__xludf.DUMMYFUNCTION("""COMPUTED_VALUE"""),6.4538795E8)</f>
        <v>645387950</v>
      </c>
      <c r="AL366" s="9">
        <f>IFERROR(__xludf.DUMMYFUNCTION("""COMPUTED_VALUE"""),45532.0)</f>
        <v>45532</v>
      </c>
      <c r="AM366" s="6"/>
      <c r="AN366" s="6" t="str">
        <f>IFERROR(__xludf.DUMMYFUNCTION("""COMPUTED_VALUE"""),"Plamen Boyanov Mitharski")</f>
        <v>Plamen Boyanov Mitharski</v>
      </c>
      <c r="AO366" s="6"/>
    </row>
    <row r="367">
      <c r="A367" s="6" t="str">
        <f>IFERROR(__xludf.DUMMYFUNCTION("""COMPUTED_VALUE"""),"Polina Bouw")</f>
        <v>Polina Bouw</v>
      </c>
      <c r="B367" s="6" t="str">
        <f>IFERROR(__xludf.DUMMYFUNCTION("""COMPUTED_VALUE"""),"Polina Bouw")</f>
        <v>Polina Bouw</v>
      </c>
      <c r="C367" s="6">
        <f>IFERROR(__xludf.DUMMYFUNCTION("""COMPUTED_VALUE"""),1768.0)</f>
        <v>1768</v>
      </c>
      <c r="D367" s="7" t="str">
        <f>IFERROR(__xludf.DUMMYFUNCTION("""COMPUTED_VALUE"""),"Said Osmanov Saidov")</f>
        <v>Said Osmanov Saidov</v>
      </c>
      <c r="E367" s="7" t="str">
        <f>IFERROR(__xludf.DUMMYFUNCTION("""COMPUTED_VALUE"""),"SBI-code: 4120 - Algemene burgerlijke en utiliteitsbouw")</f>
        <v>SBI-code: 4120 - Algemene burgerlijke en utiliteitsbouw</v>
      </c>
      <c r="F367" s="7" t="str">
        <f>IFERROR(__xludf.DUMMYFUNCTION("""COMPUTED_VALUE"""),"0685056874")</f>
        <v>0685056874</v>
      </c>
      <c r="G367" s="6" t="str">
        <f>IFERROR(__xludf.DUMMYFUNCTION("""COMPUTED_VALUE"""),"saidovsaid9184@gmail.com")</f>
        <v>saidovsaid9184@gmail.com</v>
      </c>
      <c r="H367" s="6" t="str">
        <f>IFERROR(__xludf.DUMMYFUNCTION("""COMPUTED_VALUE"""),"Stationstraat 85")</f>
        <v>Stationstraat 85</v>
      </c>
      <c r="I367" s="6" t="str">
        <f>IFERROR(__xludf.DUMMYFUNCTION("""COMPUTED_VALUE"""),"3112VT")</f>
        <v>3112VT</v>
      </c>
      <c r="J367" s="6" t="str">
        <f>IFERROR(__xludf.DUMMYFUNCTION("""COMPUTED_VALUE"""),"Schiedam")</f>
        <v>Schiedam</v>
      </c>
      <c r="K367" s="6" t="str">
        <f>IFERROR(__xludf.DUMMYFUNCTION("""COMPUTED_VALUE"""),"Nederland")</f>
        <v>Nederland</v>
      </c>
      <c r="L367" s="6" t="str">
        <f>IFERROR(__xludf.DUMMYFUNCTION("""COMPUTED_VALUE"""),"Саидов")</f>
        <v>Саидов</v>
      </c>
      <c r="M367" s="8">
        <f>IFERROR(__xludf.DUMMYFUNCTION("""COMPUTED_VALUE"""),46054.0)</f>
        <v>46054</v>
      </c>
      <c r="N367" s="6" t="str">
        <f>IFERROR(__xludf.DUMMYFUNCTION("""COMPUTED_VALUE"""),"NL497721272B01")</f>
        <v>NL497721272B01</v>
      </c>
      <c r="O367" s="6">
        <f>IFERROR(__xludf.DUMMYFUNCTION("""COMPUTED_VALUE"""),9.9596083E7)</f>
        <v>99596083</v>
      </c>
      <c r="P367" s="6" t="str">
        <f>IFERROR(__xludf.DUMMYFUNCTION("""COMPUTED_VALUE"""),"NL66INGB0116376813")</f>
        <v>NL66INGB0116376813</v>
      </c>
      <c r="Q367" s="9">
        <f>IFERROR(__xludf.DUMMYFUNCTION("""COMPUTED_VALUE"""),46054.0)</f>
        <v>46054</v>
      </c>
      <c r="R367" s="6"/>
      <c r="S367" s="6" t="str">
        <f>IFERROR(__xludf.DUMMYFUNCTION("""COMPUTED_VALUE"""),"NL005400357B68")</f>
        <v>NL005400357B68</v>
      </c>
      <c r="T367" s="6">
        <f>IFERROR(__xludf.DUMMYFUNCTION("""COMPUTED_VALUE"""),4.97721272E8)</f>
        <v>497721272</v>
      </c>
      <c r="U367" s="7" t="str">
        <f>IFERROR(__xludf.DUMMYFUNCTION("""COMPUTED_VALUE"""),"Eenmanszaak")</f>
        <v>Eenmanszaak</v>
      </c>
      <c r="V367" s="7" t="str">
        <f>IFERROR(__xludf.DUMMYFUNCTION("""COMPUTED_VALUE"""),"000064656470")</f>
        <v>000064656470</v>
      </c>
      <c r="W367" s="6" t="str">
        <f>IFERROR(__xludf.DUMMYFUNCTION("""COMPUTED_VALUE"""),"ink.polina.2288aa@zarabota.nl")</f>
        <v>ink.polina.2288aa@zarabota.nl</v>
      </c>
      <c r="X367" s="6" t="str">
        <f>IFERROR(__xludf.DUMMYFUNCTION("""COMPUTED_VALUE"""),"ver.polina.2288aa@zarabota.nl")</f>
        <v>ver.polina.2288aa@zarabota.nl</v>
      </c>
      <c r="Y367" s="6" t="str">
        <f>IFERROR(__xludf.DUMMYFUNCTION("""COMPUTED_VALUE"""),"Hr.")</f>
        <v>Hr.</v>
      </c>
      <c r="Z367" s="6" t="str">
        <f>IFERROR(__xludf.DUMMYFUNCTION("""COMPUTED_VALUE"""),"Said Osmanov")</f>
        <v>Said Osmanov</v>
      </c>
      <c r="AA367" s="6" t="str">
        <f>IFERROR(__xludf.DUMMYFUNCTION("""COMPUTED_VALUE"""),"Saidov")</f>
        <v>Saidov</v>
      </c>
      <c r="AB367" s="6" t="str">
        <f>IFERROR(__xludf.DUMMYFUNCTION("""COMPUTED_VALUE"""),"S.O.")</f>
        <v>S.O.</v>
      </c>
      <c r="AC367" s="6">
        <f>IFERROR(__xludf.DUMMYFUNCTION("""COMPUTED_VALUE"""),4.97721272E8)</f>
        <v>497721272</v>
      </c>
      <c r="AD367" s="9">
        <f>IFERROR(__xludf.DUMMYFUNCTION("""COMPUTED_VALUE"""),30886.0)</f>
        <v>30886</v>
      </c>
      <c r="AE367" s="6" t="str">
        <f>IFERROR(__xludf.DUMMYFUNCTION("""COMPUTED_VALUE"""),"bg")</f>
        <v>bg</v>
      </c>
      <c r="AF367" s="6" t="str">
        <f>IFERROR(__xludf.DUMMYFUNCTION("""COMPUTED_VALUE"""),"Omurtag")</f>
        <v>Omurtag</v>
      </c>
      <c r="AG367" s="6" t="str">
        <f>IFERROR(__xludf.DUMMYFUNCTION("""COMPUTED_VALUE"""),"Hr. S.O. Saidov")</f>
        <v>Hr. S.O. Saidov</v>
      </c>
      <c r="AH367" s="6" t="str">
        <f>IFERROR(__xludf.DUMMYFUNCTION("""COMPUTED_VALUE"""),"NL55INGB0651830397")</f>
        <v>NL55INGB0651830397</v>
      </c>
      <c r="AI367" s="6"/>
      <c r="AJ367" s="6" t="str">
        <f>IFERROR(__xludf.DUMMYFUNCTION("""COMPUTED_VALUE"""),"ID Kaart")</f>
        <v>ID Kaart</v>
      </c>
      <c r="AK367" s="6">
        <f>IFERROR(__xludf.DUMMYFUNCTION("""COMPUTED_VALUE"""),6.50698545E8)</f>
        <v>650698545</v>
      </c>
      <c r="AL367" s="9">
        <f>IFERROR(__xludf.DUMMYFUNCTION("""COMPUTED_VALUE"""),48077.0)</f>
        <v>48077</v>
      </c>
      <c r="AM367" s="6" t="str">
        <f>IFERROR(__xludf.DUMMYFUNCTION("""COMPUTED_VALUE"""),"Bulgarije")</f>
        <v>Bulgarije</v>
      </c>
      <c r="AN367" s="6" t="str">
        <f>IFERROR(__xludf.DUMMYFUNCTION("""COMPUTED_VALUE"""),"Said Osmanov Saidov")</f>
        <v>Said Osmanov Saidov</v>
      </c>
      <c r="AO367" s="6">
        <f>IFERROR(__xludf.DUMMYFUNCTION("""COMPUTED_VALUE"""),1768.0)</f>
        <v>1768</v>
      </c>
    </row>
    <row r="368">
      <c r="A368" s="6" t="str">
        <f>IFERROR(__xludf.DUMMYFUNCTION("""COMPUTED_VALUE"""),"PPG Bouw")</f>
        <v>PPG Bouw</v>
      </c>
      <c r="B368" s="6" t="str">
        <f>IFERROR(__xludf.DUMMYFUNCTION("""COMPUTED_VALUE"""),"PPG Bouw")</f>
        <v>PPG Bouw</v>
      </c>
      <c r="C368" s="6">
        <f>IFERROR(__xludf.DUMMYFUNCTION("""COMPUTED_VALUE"""),1500.0)</f>
        <v>1500</v>
      </c>
      <c r="D368" s="7" t="str">
        <f>IFERROR(__xludf.DUMMYFUNCTION("""COMPUTED_VALUE"""),"Petar Petrov Georgiev")</f>
        <v>Petar Petrov Georgiev</v>
      </c>
      <c r="E368" s="7" t="str">
        <f>IFERROR(__xludf.DUMMYFUNCTION("""COMPUTED_VALUE"""),"SBI-code: 4120 - Algemene burgerlijke en utiliteitsbouw")</f>
        <v>SBI-code: 4120 - Algemene burgerlijke en utiliteitsbouw</v>
      </c>
      <c r="F368" s="7" t="str">
        <f>IFERROR(__xludf.DUMMYFUNCTION("""COMPUTED_VALUE"""),"0641288739")</f>
        <v>0641288739</v>
      </c>
      <c r="G368" s="6" t="str">
        <f>IFERROR(__xludf.DUMMYFUNCTION("""COMPUTED_VALUE"""),"pecatag66@gmail.com")</f>
        <v>pecatag66@gmail.com</v>
      </c>
      <c r="H368" s="6" t="str">
        <f>IFERROR(__xludf.DUMMYFUNCTION("""COMPUTED_VALUE"""),"Meerstraat 30")</f>
        <v>Meerstraat 30</v>
      </c>
      <c r="I368" s="6" t="str">
        <f>IFERROR(__xludf.DUMMYFUNCTION("""COMPUTED_VALUE"""),"5473VX")</f>
        <v>5473VX</v>
      </c>
      <c r="J368" s="6" t="str">
        <f>IFERROR(__xludf.DUMMYFUNCTION("""COMPUTED_VALUE"""),"Heeswijk-Dinther")</f>
        <v>Heeswijk-Dinther</v>
      </c>
      <c r="K368" s="6" t="str">
        <f>IFERROR(__xludf.DUMMYFUNCTION("""COMPUTED_VALUE"""),"Nederland")</f>
        <v>Nederland</v>
      </c>
      <c r="L368" s="6" t="str">
        <f>IFERROR(__xludf.DUMMYFUNCTION("""COMPUTED_VALUE"""),"Георгиев")</f>
        <v>Георгиев</v>
      </c>
      <c r="M368" s="8">
        <f>IFERROR(__xludf.DUMMYFUNCTION("""COMPUTED_VALUE"""),45065.0)</f>
        <v>45065</v>
      </c>
      <c r="N368" s="6" t="str">
        <f>IFERROR(__xludf.DUMMYFUNCTION("""COMPUTED_VALUE"""),"NL349166444B01")</f>
        <v>NL349166444B01</v>
      </c>
      <c r="O368" s="6">
        <f>IFERROR(__xludf.DUMMYFUNCTION("""COMPUTED_VALUE"""),9.0298128E7)</f>
        <v>90298128</v>
      </c>
      <c r="P368" s="6" t="str">
        <f>IFERROR(__xludf.DUMMYFUNCTION("""COMPUTED_VALUE"""),"NL30 REVO 5519 3926 84")</f>
        <v>NL30 REVO 5519 3926 84</v>
      </c>
      <c r="Q368" s="9">
        <f>IFERROR(__xludf.DUMMYFUNCTION("""COMPUTED_VALUE"""),45065.0)</f>
        <v>45065</v>
      </c>
      <c r="R368" s="6"/>
      <c r="S368" s="6" t="str">
        <f>IFERROR(__xludf.DUMMYFUNCTION("""COMPUTED_VALUE"""),"NL004804805B10")</f>
        <v>NL004804805B10</v>
      </c>
      <c r="T368" s="6">
        <f>IFERROR(__xludf.DUMMYFUNCTION("""COMPUTED_VALUE"""),3.49166444E8)</f>
        <v>349166444</v>
      </c>
      <c r="U368" s="7" t="str">
        <f>IFERROR(__xludf.DUMMYFUNCTION("""COMPUTED_VALUE"""),"Eenmanszaak")</f>
        <v>Eenmanszaak</v>
      </c>
      <c r="V368" s="7" t="str">
        <f>IFERROR(__xludf.DUMMYFUNCTION("""COMPUTED_VALUE"""),"000056036507")</f>
        <v>000056036507</v>
      </c>
      <c r="W368" s="6" t="str">
        <f>IFERROR(__xludf.DUMMYFUNCTION("""COMPUTED_VALUE"""),"ink.ppgbouw.2288aa@zarabota.nl")</f>
        <v>ink.ppgbouw.2288aa@zarabota.nl</v>
      </c>
      <c r="X368" s="6" t="str">
        <f>IFERROR(__xludf.DUMMYFUNCTION("""COMPUTED_VALUE"""),"ver.ppgbouw.2288aa@zarabota.nl")</f>
        <v>ver.ppgbouw.2288aa@zarabota.nl</v>
      </c>
      <c r="Y368" s="6" t="str">
        <f>IFERROR(__xludf.DUMMYFUNCTION("""COMPUTED_VALUE"""),"Hr.")</f>
        <v>Hr.</v>
      </c>
      <c r="Z368" s="6" t="str">
        <f>IFERROR(__xludf.DUMMYFUNCTION("""COMPUTED_VALUE"""),"Petar Petrov")</f>
        <v>Petar Petrov</v>
      </c>
      <c r="AA368" s="6" t="str">
        <f>IFERROR(__xludf.DUMMYFUNCTION("""COMPUTED_VALUE"""),"Georgiev")</f>
        <v>Georgiev</v>
      </c>
      <c r="AB368" s="6" t="str">
        <f>IFERROR(__xludf.DUMMYFUNCTION("""COMPUTED_VALUE"""),"P.P.")</f>
        <v>P.P.</v>
      </c>
      <c r="AC368" s="6">
        <f>IFERROR(__xludf.DUMMYFUNCTION("""COMPUTED_VALUE"""),3.49166444E8)</f>
        <v>349166444</v>
      </c>
      <c r="AD368" s="9">
        <f>IFERROR(__xludf.DUMMYFUNCTION("""COMPUTED_VALUE"""),36375.0)</f>
        <v>36375</v>
      </c>
      <c r="AE368" s="6" t="str">
        <f>IFERROR(__xludf.DUMMYFUNCTION("""COMPUTED_VALUE"""),"bg")</f>
        <v>bg</v>
      </c>
      <c r="AF368" s="6" t="str">
        <f>IFERROR(__xludf.DUMMYFUNCTION("""COMPUTED_VALUE"""),"Бургас")</f>
        <v>Бургас</v>
      </c>
      <c r="AG368" s="6" t="str">
        <f>IFERROR(__xludf.DUMMYFUNCTION("""COMPUTED_VALUE"""),"Hr. P.P. Georgiev")</f>
        <v>Hr. P.P. Georgiev</v>
      </c>
      <c r="AH368" s="6"/>
      <c r="AI368" s="6"/>
      <c r="AJ368" s="6" t="str">
        <f>IFERROR(__xludf.DUMMYFUNCTION("""COMPUTED_VALUE"""),"ID Kaart")</f>
        <v>ID Kaart</v>
      </c>
      <c r="AK368" s="6">
        <f>IFERROR(__xludf.DUMMYFUNCTION("""COMPUTED_VALUE"""),6.47153957E8)</f>
        <v>647153957</v>
      </c>
      <c r="AL368" s="9">
        <f>IFERROR(__xludf.DUMMYFUNCTION("""COMPUTED_VALUE"""),46615.0)</f>
        <v>46615</v>
      </c>
      <c r="AM368" s="6" t="str">
        <f>IFERROR(__xludf.DUMMYFUNCTION("""COMPUTED_VALUE"""),"Bulgarije")</f>
        <v>Bulgarije</v>
      </c>
      <c r="AN368" s="6" t="str">
        <f>IFERROR(__xludf.DUMMYFUNCTION("""COMPUTED_VALUE"""),"Petar Petrov Georgiev")</f>
        <v>Petar Petrov Georgiev</v>
      </c>
      <c r="AO368" s="6"/>
    </row>
    <row r="369">
      <c r="A369" s="6" t="str">
        <f>IFERROR(__xludf.DUMMYFUNCTION("""COMPUTED_VALUE"""),"PPM Bouw")</f>
        <v>PPM Bouw</v>
      </c>
      <c r="B369" s="6" t="str">
        <f>IFERROR(__xludf.DUMMYFUNCTION("""COMPUTED_VALUE"""),"PPM Bouw")</f>
        <v>PPM Bouw</v>
      </c>
      <c r="C369" s="6">
        <f>IFERROR(__xludf.DUMMYFUNCTION("""COMPUTED_VALUE"""),1681.0)</f>
        <v>1681</v>
      </c>
      <c r="D369" s="7" t="str">
        <f>IFERROR(__xludf.DUMMYFUNCTION("""COMPUTED_VALUE"""),"Petro Mydlyk")</f>
        <v>Petro Mydlyk</v>
      </c>
      <c r="E369" s="7" t="str">
        <f>IFERROR(__xludf.DUMMYFUNCTION("""COMPUTED_VALUE"""),"SBI-code: 4120 - Algemene burgerlijke en utiliteitsbouw")</f>
        <v>SBI-code: 4120 - Algemene burgerlijke en utiliteitsbouw</v>
      </c>
      <c r="F369" s="7" t="str">
        <f>IFERROR(__xludf.DUMMYFUNCTION("""COMPUTED_VALUE"""),"0687063440")</f>
        <v>0687063440</v>
      </c>
      <c r="G369" s="6" t="str">
        <f>IFERROR(__xludf.DUMMYFUNCTION("""COMPUTED_VALUE"""),"petromidlik@gmail.com")</f>
        <v>petromidlik@gmail.com</v>
      </c>
      <c r="H369" s="6" t="str">
        <f>IFERROR(__xludf.DUMMYFUNCTION("""COMPUTED_VALUE"""),"Herman Costerstraat 349")</f>
        <v>Herman Costerstraat 349</v>
      </c>
      <c r="I369" s="6" t="str">
        <f>IFERROR(__xludf.DUMMYFUNCTION("""COMPUTED_VALUE"""),"2571PL")</f>
        <v>2571PL</v>
      </c>
      <c r="J369" s="6" t="str">
        <f>IFERROR(__xludf.DUMMYFUNCTION("""COMPUTED_VALUE"""),"s-Gravenhage")</f>
        <v>s-Gravenhage</v>
      </c>
      <c r="K369" s="6" t="str">
        <f>IFERROR(__xludf.DUMMYFUNCTION("""COMPUTED_VALUE"""),"Nederland")</f>
        <v>Nederland</v>
      </c>
      <c r="L369" s="6" t="str">
        <f>IFERROR(__xludf.DUMMYFUNCTION("""COMPUTED_VALUE"""),"Мидлик")</f>
        <v>Мидлик</v>
      </c>
      <c r="M369" s="8">
        <f>IFERROR(__xludf.DUMMYFUNCTION("""COMPUTED_VALUE"""),45689.0)</f>
        <v>45689</v>
      </c>
      <c r="N369" s="6" t="str">
        <f>IFERROR(__xludf.DUMMYFUNCTION("""COMPUTED_VALUE"""),"NL468850168B01")</f>
        <v>NL468850168B01</v>
      </c>
      <c r="O369" s="6">
        <f>IFERROR(__xludf.DUMMYFUNCTION("""COMPUTED_VALUE"""),9.6499516E7)</f>
        <v>96499516</v>
      </c>
      <c r="P369" s="6" t="str">
        <f>IFERROR(__xludf.DUMMYFUNCTION("""COMPUTED_VALUE"""),"NL92INGB0111017289")</f>
        <v>NL92INGB0111017289</v>
      </c>
      <c r="Q369" s="9">
        <f>IFERROR(__xludf.DUMMYFUNCTION("""COMPUTED_VALUE"""),45689.0)</f>
        <v>45689</v>
      </c>
      <c r="R369" s="6"/>
      <c r="S369" s="6" t="str">
        <f>IFERROR(__xludf.DUMMYFUNCTION("""COMPUTED_VALUE"""),"NL005213601B56")</f>
        <v>NL005213601B56</v>
      </c>
      <c r="T369" s="6">
        <f>IFERROR(__xludf.DUMMYFUNCTION("""COMPUTED_VALUE"""),4.68850168E8)</f>
        <v>468850168</v>
      </c>
      <c r="U369" s="7" t="str">
        <f>IFERROR(__xludf.DUMMYFUNCTION("""COMPUTED_VALUE"""),"Eenmanszaak")</f>
        <v>Eenmanszaak</v>
      </c>
      <c r="V369" s="7" t="str">
        <f>IFERROR(__xludf.DUMMYFUNCTION("""COMPUTED_VALUE"""),"000061821896")</f>
        <v>000061821896</v>
      </c>
      <c r="W369" s="6" t="str">
        <f>IFERROR(__xludf.DUMMYFUNCTION("""COMPUTED_VALUE"""),"ink.ppmbouw.2288aa@zarabota.nl")</f>
        <v>ink.ppmbouw.2288aa@zarabota.nl</v>
      </c>
      <c r="X369" s="6" t="str">
        <f>IFERROR(__xludf.DUMMYFUNCTION("""COMPUTED_VALUE"""),"ver.ppmbouw.2288aa@zarabota.nl")</f>
        <v>ver.ppmbouw.2288aa@zarabota.nl</v>
      </c>
      <c r="Y369" s="6" t="str">
        <f>IFERROR(__xludf.DUMMYFUNCTION("""COMPUTED_VALUE"""),"Hr.")</f>
        <v>Hr.</v>
      </c>
      <c r="Z369" s="6" t="str">
        <f>IFERROR(__xludf.DUMMYFUNCTION("""COMPUTED_VALUE"""),"Petro")</f>
        <v>Petro</v>
      </c>
      <c r="AA369" s="6" t="str">
        <f>IFERROR(__xludf.DUMMYFUNCTION("""COMPUTED_VALUE"""),"Mydlyk")</f>
        <v>Mydlyk</v>
      </c>
      <c r="AB369" s="6" t="str">
        <f>IFERROR(__xludf.DUMMYFUNCTION("""COMPUTED_VALUE"""),"P.")</f>
        <v>P.</v>
      </c>
      <c r="AC369" s="6">
        <f>IFERROR(__xludf.DUMMYFUNCTION("""COMPUTED_VALUE"""),4.68850168E8)</f>
        <v>468850168</v>
      </c>
      <c r="AD369" s="9">
        <f>IFERROR(__xludf.DUMMYFUNCTION("""COMPUTED_VALUE"""),30114.0)</f>
        <v>30114</v>
      </c>
      <c r="AE369" s="6" t="str">
        <f>IFERROR(__xludf.DUMMYFUNCTION("""COMPUTED_VALUE"""),"uk")</f>
        <v>uk</v>
      </c>
      <c r="AF369" s="6" t="str">
        <f>IFERROR(__xludf.DUMMYFUNCTION("""COMPUTED_VALUE"""),"Ternopol")</f>
        <v>Ternopol</v>
      </c>
      <c r="AG369" s="6" t="str">
        <f>IFERROR(__xludf.DUMMYFUNCTION("""COMPUTED_VALUE"""),"Hr. P. Mydlyk")</f>
        <v>Hr. P. Mydlyk</v>
      </c>
      <c r="AH369" s="6" t="str">
        <f>IFERROR(__xludf.DUMMYFUNCTION("""COMPUTED_VALUE"""),"NL11INGB0105763772")</f>
        <v>NL11INGB0105763772</v>
      </c>
      <c r="AI369" s="9">
        <f>IFERROR(__xludf.DUMMYFUNCTION("""COMPUTED_VALUE"""),45370.0)</f>
        <v>45370</v>
      </c>
      <c r="AJ369" s="6" t="str">
        <f>IFERROR(__xludf.DUMMYFUNCTION("""COMPUTED_VALUE"""),"Paspoort")</f>
        <v>Paspoort</v>
      </c>
      <c r="AK369" s="6" t="str">
        <f>IFERROR(__xludf.DUMMYFUNCTION("""COMPUTED_VALUE"""),"FF298422")</f>
        <v>FF298422</v>
      </c>
      <c r="AL369" s="9">
        <f>IFERROR(__xludf.DUMMYFUNCTION("""COMPUTED_VALUE"""),46361.0)</f>
        <v>46361</v>
      </c>
      <c r="AM369" s="6" t="str">
        <f>IFERROR(__xludf.DUMMYFUNCTION("""COMPUTED_VALUE"""),"Bulgarije")</f>
        <v>Bulgarije</v>
      </c>
      <c r="AN369" s="6" t="str">
        <f>IFERROR(__xludf.DUMMYFUNCTION("""COMPUTED_VALUE"""),"Petro Mydlyk")</f>
        <v>Petro Mydlyk</v>
      </c>
      <c r="AO369" s="6">
        <f>IFERROR(__xludf.DUMMYFUNCTION("""COMPUTED_VALUE"""),1681.0)</f>
        <v>1681</v>
      </c>
    </row>
    <row r="370">
      <c r="A370" s="6" t="str">
        <f>IFERROR(__xludf.DUMMYFUNCTION("""COMPUTED_VALUE"""),"PPP-Transport Service")</f>
        <v>PPP-Transport Service</v>
      </c>
      <c r="B370" s="6" t="str">
        <f>IFERROR(__xludf.DUMMYFUNCTION("""COMPUTED_VALUE"""),"PPP-Transport Service")</f>
        <v>PPP-Transport Service</v>
      </c>
      <c r="C370" s="6">
        <f>IFERROR(__xludf.DUMMYFUNCTION("""COMPUTED_VALUE"""),1547.0)</f>
        <v>1547</v>
      </c>
      <c r="D370" s="7" t="str">
        <f>IFERROR(__xludf.DUMMYFUNCTION("""COMPUTED_VALUE"""),"Petar Penev Petrov")</f>
        <v>Petar Penev Petrov</v>
      </c>
      <c r="E370" s="7" t="str">
        <f>IFERROR(__xludf.DUMMYFUNCTION("""COMPUTED_VALUE"""),"SBI-code: 4941 - Goederenvervoer over de weg (geen verhuizingen)")</f>
        <v>SBI-code: 4941 - Goederenvervoer over de weg (geen verhuizingen)</v>
      </c>
      <c r="F370" s="7" t="str">
        <f>IFERROR(__xludf.DUMMYFUNCTION("""COMPUTED_VALUE"""),"0614226015")</f>
        <v>0614226015</v>
      </c>
      <c r="G370" s="6" t="str">
        <f>IFERROR(__xludf.DUMMYFUNCTION("""COMPUTED_VALUE"""),"petarpeteov1977@gmail.com")</f>
        <v>petarpeteov1977@gmail.com</v>
      </c>
      <c r="H370" s="6" t="str">
        <f>IFERROR(__xludf.DUMMYFUNCTION("""COMPUTED_VALUE"""),"Mandarijngaard 15")</f>
        <v>Mandarijngaard 15</v>
      </c>
      <c r="I370" s="6" t="str">
        <f>IFERROR(__xludf.DUMMYFUNCTION("""COMPUTED_VALUE"""),"3206AM")</f>
        <v>3206AM</v>
      </c>
      <c r="J370" s="6" t="str">
        <f>IFERROR(__xludf.DUMMYFUNCTION("""COMPUTED_VALUE"""),"Spijkenisse")</f>
        <v>Spijkenisse</v>
      </c>
      <c r="K370" s="6" t="str">
        <f>IFERROR(__xludf.DUMMYFUNCTION("""COMPUTED_VALUE"""),"Nederland")</f>
        <v>Nederland</v>
      </c>
      <c r="L370" s="6" t="str">
        <f>IFERROR(__xludf.DUMMYFUNCTION("""COMPUTED_VALUE"""),"Петров")</f>
        <v>Петров</v>
      </c>
      <c r="M370" s="8">
        <f>IFERROR(__xludf.DUMMYFUNCTION("""COMPUTED_VALUE"""),45200.0)</f>
        <v>45200</v>
      </c>
      <c r="N370" s="6" t="str">
        <f>IFERROR(__xludf.DUMMYFUNCTION("""COMPUTED_VALUE"""),"NL493187832B01")</f>
        <v>NL493187832B01</v>
      </c>
      <c r="O370" s="6">
        <f>IFERROR(__xludf.DUMMYFUNCTION("""COMPUTED_VALUE"""),9.1538378E7)</f>
        <v>91538378</v>
      </c>
      <c r="P370" s="6" t="str">
        <f>IFERROR(__xludf.DUMMYFUNCTION("""COMPUTED_VALUE"""),"NL68INGB0106010387")</f>
        <v>NL68INGB0106010387</v>
      </c>
      <c r="Q370" s="9">
        <f>IFERROR(__xludf.DUMMYFUNCTION("""COMPUTED_VALUE"""),45200.0)</f>
        <v>45200</v>
      </c>
      <c r="R370" s="6"/>
      <c r="S370" s="6" t="str">
        <f>IFERROR(__xludf.DUMMYFUNCTION("""COMPUTED_VALUE"""),"NL004898619B69")</f>
        <v>NL004898619B69</v>
      </c>
      <c r="T370" s="6">
        <f>IFERROR(__xludf.DUMMYFUNCTION("""COMPUTED_VALUE"""),4.93187832E8)</f>
        <v>493187832</v>
      </c>
      <c r="U370" s="7" t="str">
        <f>IFERROR(__xludf.DUMMYFUNCTION("""COMPUTED_VALUE"""),"Eenmanszaak")</f>
        <v>Eenmanszaak</v>
      </c>
      <c r="V370" s="7" t="str">
        <f>IFERROR(__xludf.DUMMYFUNCTION("""COMPUTED_VALUE"""),"000057209332")</f>
        <v>000057209332</v>
      </c>
      <c r="W370" s="6" t="str">
        <f>IFERROR(__xludf.DUMMYFUNCTION("""COMPUTED_VALUE"""),"ink.ppptrans.2288aa@zarabota.nl")</f>
        <v>ink.ppptrans.2288aa@zarabota.nl</v>
      </c>
      <c r="X370" s="6" t="str">
        <f>IFERROR(__xludf.DUMMYFUNCTION("""COMPUTED_VALUE"""),"ver.ppptrans.2288aa@zarabota.nl")</f>
        <v>ver.ppptrans.2288aa@zarabota.nl</v>
      </c>
      <c r="Y370" s="6" t="str">
        <f>IFERROR(__xludf.DUMMYFUNCTION("""COMPUTED_VALUE"""),"Hr.")</f>
        <v>Hr.</v>
      </c>
      <c r="Z370" s="6" t="str">
        <f>IFERROR(__xludf.DUMMYFUNCTION("""COMPUTED_VALUE"""),"Petar Penev")</f>
        <v>Petar Penev</v>
      </c>
      <c r="AA370" s="6" t="str">
        <f>IFERROR(__xludf.DUMMYFUNCTION("""COMPUTED_VALUE"""),"Petrov")</f>
        <v>Petrov</v>
      </c>
      <c r="AB370" s="6" t="str">
        <f>IFERROR(__xludf.DUMMYFUNCTION("""COMPUTED_VALUE"""),"P.P.")</f>
        <v>P.P.</v>
      </c>
      <c r="AC370" s="6">
        <f>IFERROR(__xludf.DUMMYFUNCTION("""COMPUTED_VALUE"""),4.93187832E8)</f>
        <v>493187832</v>
      </c>
      <c r="AD370" s="9">
        <f>IFERROR(__xludf.DUMMYFUNCTION("""COMPUTED_VALUE"""),28308.0)</f>
        <v>28308</v>
      </c>
      <c r="AE370" s="6" t="str">
        <f>IFERROR(__xludf.DUMMYFUNCTION("""COMPUTED_VALUE"""),"bg")</f>
        <v>bg</v>
      </c>
      <c r="AF370" s="6"/>
      <c r="AG370" s="6" t="str">
        <f>IFERROR(__xludf.DUMMYFUNCTION("""COMPUTED_VALUE"""),"Hr. P.P. Petrov")</f>
        <v>Hr. P.P. Petrov</v>
      </c>
      <c r="AH370" s="6" t="str">
        <f>IFERROR(__xludf.DUMMYFUNCTION("""COMPUTED_VALUE"""),"NL24INGB0797836810")</f>
        <v>NL24INGB0797836810</v>
      </c>
      <c r="AI370" s="6"/>
      <c r="AJ370" s="6" t="str">
        <f>IFERROR(__xludf.DUMMYFUNCTION("""COMPUTED_VALUE"""),"ID Kaart")</f>
        <v>ID Kaart</v>
      </c>
      <c r="AK370" s="6">
        <f>IFERROR(__xludf.DUMMYFUNCTION("""COMPUTED_VALUE"""),6.49207586E8)</f>
        <v>649207586</v>
      </c>
      <c r="AL370" s="9">
        <f>IFERROR(__xludf.DUMMYFUNCTION("""COMPUTED_VALUE"""),46595.0)</f>
        <v>46595</v>
      </c>
      <c r="AM370" s="6" t="str">
        <f>IFERROR(__xludf.DUMMYFUNCTION("""COMPUTED_VALUE"""),"Bulgarije")</f>
        <v>Bulgarije</v>
      </c>
      <c r="AN370" s="6" t="str">
        <f>IFERROR(__xludf.DUMMYFUNCTION("""COMPUTED_VALUE"""),"Petar Penev Petrov")</f>
        <v>Petar Penev Petrov</v>
      </c>
      <c r="AO370" s="6">
        <f>IFERROR(__xludf.DUMMYFUNCTION("""COMPUTED_VALUE"""),1547.0)</f>
        <v>1547</v>
      </c>
    </row>
    <row r="371">
      <c r="A371" s="6" t="str">
        <f>IFERROR(__xludf.DUMMYFUNCTION("""COMPUTED_VALUE"""),"PRIMAT-84")</f>
        <v>PRIMAT-84</v>
      </c>
      <c r="B371" s="6" t="str">
        <f>IFERROR(__xludf.DUMMYFUNCTION("""COMPUTED_VALUE"""),"PRIMAT-84")</f>
        <v>PRIMAT-84</v>
      </c>
      <c r="C371" s="6">
        <f>IFERROR(__xludf.DUMMYFUNCTION("""COMPUTED_VALUE"""),723.0)</f>
        <v>723</v>
      </c>
      <c r="D371" s="7" t="str">
        <f>IFERROR(__xludf.DUMMYFUNCTION("""COMPUTED_VALUE"""),"Ahmed Nazamov Ahmedov")</f>
        <v>Ahmed Nazamov Ahmedov</v>
      </c>
      <c r="E371" s="7" t="str">
        <f>IFERROR(__xludf.DUMMYFUNCTION("""COMPUTED_VALUE"""),"SBI-code: 4120 - Algemene burgerlijke en utiliteitsbouw")</f>
        <v>SBI-code: 4120 - Algemene burgerlijke en utiliteitsbouw</v>
      </c>
      <c r="F371" s="7" t="str">
        <f>IFERROR(__xludf.DUMMYFUNCTION("""COMPUTED_VALUE"""),"0687566584")</f>
        <v>0687566584</v>
      </c>
      <c r="G371" s="6" t="str">
        <f>IFERROR(__xludf.DUMMYFUNCTION("""COMPUTED_VALUE"""),"adjmii@hotmail.com")</f>
        <v>adjmii@hotmail.com</v>
      </c>
      <c r="H371" s="6" t="str">
        <f>IFERROR(__xludf.DUMMYFUNCTION("""COMPUTED_VALUE"""),"Drostendreef 41")</f>
        <v>Drostendreef 41</v>
      </c>
      <c r="I371" s="6" t="str">
        <f>IFERROR(__xludf.DUMMYFUNCTION("""COMPUTED_VALUE"""),"2542VX")</f>
        <v>2542VX</v>
      </c>
      <c r="J371" s="6" t="str">
        <f>IFERROR(__xludf.DUMMYFUNCTION("""COMPUTED_VALUE"""),"s-Gravenhage")</f>
        <v>s-Gravenhage</v>
      </c>
      <c r="K371" s="6" t="str">
        <f>IFERROR(__xludf.DUMMYFUNCTION("""COMPUTED_VALUE"""),"Nederland")</f>
        <v>Nederland</v>
      </c>
      <c r="L371" s="6" t="str">
        <f>IFERROR(__xludf.DUMMYFUNCTION("""COMPUTED_VALUE"""),"Ахмедов")</f>
        <v>Ахмедов</v>
      </c>
      <c r="M371" s="8">
        <f>IFERROR(__xludf.DUMMYFUNCTION("""COMPUTED_VALUE"""),43466.0)</f>
        <v>43466</v>
      </c>
      <c r="N371" s="6" t="str">
        <f>IFERROR(__xludf.DUMMYFUNCTION("""COMPUTED_VALUE"""),"NL522372247B01")</f>
        <v>NL522372247B01</v>
      </c>
      <c r="O371" s="6">
        <f>IFERROR(__xludf.DUMMYFUNCTION("""COMPUTED_VALUE"""),7.3964972E7)</f>
        <v>73964972</v>
      </c>
      <c r="P371" s="6" t="str">
        <f>IFERROR(__xludf.DUMMYFUNCTION("""COMPUTED_VALUE"""),"NL51INGB0008839100")</f>
        <v>NL51INGB0008839100</v>
      </c>
      <c r="Q371" s="9">
        <f>IFERROR(__xludf.DUMMYFUNCTION("""COMPUTED_VALUE"""),43466.0)</f>
        <v>43466</v>
      </c>
      <c r="R371" s="6"/>
      <c r="S371" s="6" t="str">
        <f>IFERROR(__xludf.DUMMYFUNCTION("""COMPUTED_VALUE"""),"NL002494864B51")</f>
        <v>NL002494864B51</v>
      </c>
      <c r="T371" s="6">
        <f>IFERROR(__xludf.DUMMYFUNCTION("""COMPUTED_VALUE"""),5.22372247E8)</f>
        <v>522372247</v>
      </c>
      <c r="U371" s="7" t="str">
        <f>IFERROR(__xludf.DUMMYFUNCTION("""COMPUTED_VALUE"""),"Eenmanszaak")</f>
        <v>Eenmanszaak</v>
      </c>
      <c r="V371" s="7" t="str">
        <f>IFERROR(__xludf.DUMMYFUNCTION("""COMPUTED_VALUE"""),"000041958101")</f>
        <v>000041958101</v>
      </c>
      <c r="W371" s="6" t="str">
        <f>IFERROR(__xludf.DUMMYFUNCTION("""COMPUTED_VALUE"""),"ink.primat-84.2288aa@zarabota.nl")</f>
        <v>ink.primat-84.2288aa@zarabota.nl</v>
      </c>
      <c r="X371" s="6" t="str">
        <f>IFERROR(__xludf.DUMMYFUNCTION("""COMPUTED_VALUE"""),"ver.primat-84.2288aa@zarabota.nl")</f>
        <v>ver.primat-84.2288aa@zarabota.nl</v>
      </c>
      <c r="Y371" s="6" t="str">
        <f>IFERROR(__xludf.DUMMYFUNCTION("""COMPUTED_VALUE"""),"Hr.")</f>
        <v>Hr.</v>
      </c>
      <c r="Z371" s="6" t="str">
        <f>IFERROR(__xludf.DUMMYFUNCTION("""COMPUTED_VALUE"""),"Ahmed Nazamov")</f>
        <v>Ahmed Nazamov</v>
      </c>
      <c r="AA371" s="6" t="str">
        <f>IFERROR(__xludf.DUMMYFUNCTION("""COMPUTED_VALUE"""),"Ahmedov")</f>
        <v>Ahmedov</v>
      </c>
      <c r="AB371" s="6" t="str">
        <f>IFERROR(__xludf.DUMMYFUNCTION("""COMPUTED_VALUE"""),"A.N.")</f>
        <v>A.N.</v>
      </c>
      <c r="AC371" s="6">
        <f>IFERROR(__xludf.DUMMYFUNCTION("""COMPUTED_VALUE"""),5.22372247E8)</f>
        <v>522372247</v>
      </c>
      <c r="AD371" s="9">
        <f>IFERROR(__xludf.DUMMYFUNCTION("""COMPUTED_VALUE"""),30711.0)</f>
        <v>30711</v>
      </c>
      <c r="AE371" s="6" t="str">
        <f>IFERROR(__xludf.DUMMYFUNCTION("""COMPUTED_VALUE"""),"bg")</f>
        <v>bg</v>
      </c>
      <c r="AF371" s="6" t="str">
        <f>IFERROR(__xludf.DUMMYFUNCTION("""COMPUTED_VALUE"""),"Targovishte")</f>
        <v>Targovishte</v>
      </c>
      <c r="AG371" s="6" t="str">
        <f>IFERROR(__xludf.DUMMYFUNCTION("""COMPUTED_VALUE"""),"Hr. A.N. Ahmedov")</f>
        <v>Hr. A.N. Ahmedov</v>
      </c>
      <c r="AH371" s="6" t="str">
        <f>IFERROR(__xludf.DUMMYFUNCTION("""COMPUTED_VALUE"""),"NL51INGB0008839100")</f>
        <v>NL51INGB0008839100</v>
      </c>
      <c r="AI371" s="6"/>
      <c r="AJ371" s="6" t="str">
        <f>IFERROR(__xludf.DUMMYFUNCTION("""COMPUTED_VALUE"""),"ID Kaart")</f>
        <v>ID Kaart</v>
      </c>
      <c r="AK371" s="6">
        <f>IFERROR(__xludf.DUMMYFUNCTION("""COMPUTED_VALUE"""),6.46011727E8)</f>
        <v>646011727</v>
      </c>
      <c r="AL371" s="9">
        <f>IFERROR(__xludf.DUMMYFUNCTION("""COMPUTED_VALUE"""),45894.0)</f>
        <v>45894</v>
      </c>
      <c r="AM371" s="6" t="str">
        <f>IFERROR(__xludf.DUMMYFUNCTION("""COMPUTED_VALUE"""),"Bulgarije")</f>
        <v>Bulgarije</v>
      </c>
      <c r="AN371" s="6" t="str">
        <f>IFERROR(__xludf.DUMMYFUNCTION("""COMPUTED_VALUE"""),"Ahmed Nazamov Ahmedov")</f>
        <v>Ahmed Nazamov Ahmedov</v>
      </c>
      <c r="AO371" s="6"/>
    </row>
    <row r="372">
      <c r="A372" s="6" t="str">
        <f>IFERROR(__xludf.DUMMYFUNCTION("""COMPUTED_VALUE"""),"ProBuilding Lashkov")</f>
        <v>ProBuilding Lashkov</v>
      </c>
      <c r="B372" s="6" t="str">
        <f>IFERROR(__xludf.DUMMYFUNCTION("""COMPUTED_VALUE"""),"ProBuilding Lashkov VOF")</f>
        <v>ProBuilding Lashkov VOF</v>
      </c>
      <c r="C372" s="6">
        <f>IFERROR(__xludf.DUMMYFUNCTION("""COMPUTED_VALUE"""),1701.0)</f>
        <v>1701</v>
      </c>
      <c r="D372" s="7" t="str">
        <f>IFERROR(__xludf.DUMMYFUNCTION("""COMPUTED_VALUE"""),"Lyubomir Slavchev Lashkov")</f>
        <v>Lyubomir Slavchev Lashkov</v>
      </c>
      <c r="E372" s="7" t="str">
        <f>IFERROR(__xludf.DUMMYFUNCTION("""COMPUTED_VALUE"""),"SBI-code: 4120 - Algemene burgerlijke en utiliteitsbouw")</f>
        <v>SBI-code: 4120 - Algemene burgerlijke en utiliteitsbouw</v>
      </c>
      <c r="F372" s="7" t="str">
        <f>IFERROR(__xludf.DUMMYFUNCTION("""COMPUTED_VALUE"""),"0627438320")</f>
        <v>0627438320</v>
      </c>
      <c r="G372" s="6" t="str">
        <f>IFERROR(__xludf.DUMMYFUNCTION("""COMPUTED_VALUE"""),"lubomir_lashkov@abv.bg")</f>
        <v>lubomir_lashkov@abv.bg</v>
      </c>
      <c r="H372" s="6" t="str">
        <f>IFERROR(__xludf.DUMMYFUNCTION("""COMPUTED_VALUE"""),"Zegenstraat 5-A")</f>
        <v>Zegenstraat 5-A</v>
      </c>
      <c r="I372" s="6" t="str">
        <f>IFERROR(__xludf.DUMMYFUNCTION("""COMPUTED_VALUE"""),"3082XM")</f>
        <v>3082XM</v>
      </c>
      <c r="J372" s="6" t="str">
        <f>IFERROR(__xludf.DUMMYFUNCTION("""COMPUTED_VALUE"""),"Rotterdam")</f>
        <v>Rotterdam</v>
      </c>
      <c r="K372" s="6" t="str">
        <f>IFERROR(__xludf.DUMMYFUNCTION("""COMPUTED_VALUE"""),"Nederland")</f>
        <v>Nederland</v>
      </c>
      <c r="L372" s="6" t="str">
        <f>IFERROR(__xludf.DUMMYFUNCTION("""COMPUTED_VALUE"""),"Лашков")</f>
        <v>Лашков</v>
      </c>
      <c r="M372" s="8">
        <f>IFERROR(__xludf.DUMMYFUNCTION("""COMPUTED_VALUE"""),45748.0)</f>
        <v>45748</v>
      </c>
      <c r="N372" s="6" t="str">
        <f>IFERROR(__xludf.DUMMYFUNCTION("""COMPUTED_VALUE"""),"NL868032827B01")</f>
        <v>NL868032827B01</v>
      </c>
      <c r="O372" s="6">
        <f>IFERROR(__xludf.DUMMYFUNCTION("""COMPUTED_VALUE"""),9.7391646E7)</f>
        <v>97391646</v>
      </c>
      <c r="P372" s="6" t="str">
        <f>IFERROR(__xludf.DUMMYFUNCTION("""COMPUTED_VALUE"""),"NL40INGB0112095798")</f>
        <v>NL40INGB0112095798</v>
      </c>
      <c r="Q372" s="9">
        <f>IFERROR(__xludf.DUMMYFUNCTION("""COMPUTED_VALUE"""),45748.0)</f>
        <v>45748</v>
      </c>
      <c r="R372" s="6"/>
      <c r="S372" s="6" t="str">
        <f>IFERROR(__xludf.DUMMYFUNCTION("""COMPUTED_VALUE"""),"NL868032827B01")</f>
        <v>NL868032827B01</v>
      </c>
      <c r="T372" s="6">
        <f>IFERROR(__xludf.DUMMYFUNCTION("""COMPUTED_VALUE"""),8.68032827E8)</f>
        <v>868032827</v>
      </c>
      <c r="U372" s="7" t="str">
        <f>IFERROR(__xludf.DUMMYFUNCTION("""COMPUTED_VALUE"""),"Vennootschap Onder Firma")</f>
        <v>Vennootschap Onder Firma</v>
      </c>
      <c r="V372" s="7" t="str">
        <f>IFERROR(__xludf.DUMMYFUNCTION("""COMPUTED_VALUE"""),"000060650451")</f>
        <v>000060650451</v>
      </c>
      <c r="W372" s="6" t="str">
        <f>IFERROR(__xludf.DUMMYFUNCTION("""COMPUTED_VALUE"""),"ink.probuilding.2288aa@zarabota.nl")</f>
        <v>ink.probuilding.2288aa@zarabota.nl</v>
      </c>
      <c r="X372" s="6" t="str">
        <f>IFERROR(__xludf.DUMMYFUNCTION("""COMPUTED_VALUE"""),"ver.probuilding.2288aa@zarabota.nl")</f>
        <v>ver.probuilding.2288aa@zarabota.nl</v>
      </c>
      <c r="Y372" s="6" t="str">
        <f>IFERROR(__xludf.DUMMYFUNCTION("""COMPUTED_VALUE"""),"Hr.")</f>
        <v>Hr.</v>
      </c>
      <c r="Z372" s="6" t="str">
        <f>IFERROR(__xludf.DUMMYFUNCTION("""COMPUTED_VALUE"""),"Lyubomir Slavchev")</f>
        <v>Lyubomir Slavchev</v>
      </c>
      <c r="AA372" s="6" t="str">
        <f>IFERROR(__xludf.DUMMYFUNCTION("""COMPUTED_VALUE"""),"Lashkov")</f>
        <v>Lashkov</v>
      </c>
      <c r="AB372" s="6" t="str">
        <f>IFERROR(__xludf.DUMMYFUNCTION("""COMPUTED_VALUE"""),"L.S.")</f>
        <v>L.S.</v>
      </c>
      <c r="AC372" s="6">
        <f>IFERROR(__xludf.DUMMYFUNCTION("""COMPUTED_VALUE"""),6.84912727E8)</f>
        <v>684912727</v>
      </c>
      <c r="AD372" s="9">
        <f>IFERROR(__xludf.DUMMYFUNCTION("""COMPUTED_VALUE"""),32336.0)</f>
        <v>32336</v>
      </c>
      <c r="AE372" s="6" t="str">
        <f>IFERROR(__xludf.DUMMYFUNCTION("""COMPUTED_VALUE"""),"bg")</f>
        <v>bg</v>
      </c>
      <c r="AF372" s="6" t="str">
        <f>IFERROR(__xludf.DUMMYFUNCTION("""COMPUTED_VALUE"""),"Lom")</f>
        <v>Lom</v>
      </c>
      <c r="AG372" s="6" t="str">
        <f>IFERROR(__xludf.DUMMYFUNCTION("""COMPUTED_VALUE"""),"Hr. L.S. Lashkov")</f>
        <v>Hr. L.S. Lashkov</v>
      </c>
      <c r="AH372" s="6" t="str">
        <f>IFERROR(__xludf.DUMMYFUNCTION("""COMPUTED_VALUE"""),"NL13INGB0797101748")</f>
        <v>NL13INGB0797101748</v>
      </c>
      <c r="AI372" s="9">
        <f>IFERROR(__xludf.DUMMYFUNCTION("""COMPUTED_VALUE"""),43741.0)</f>
        <v>43741</v>
      </c>
      <c r="AJ372" s="6" t="str">
        <f>IFERROR(__xludf.DUMMYFUNCTION("""COMPUTED_VALUE"""),"ID Kaart")</f>
        <v>ID Kaart</v>
      </c>
      <c r="AK372" s="6">
        <f>IFERROR(__xludf.DUMMYFUNCTION("""COMPUTED_VALUE"""),6.48048571E8)</f>
        <v>648048571</v>
      </c>
      <c r="AL372" s="9">
        <f>IFERROR(__xludf.DUMMYFUNCTION("""COMPUTED_VALUE"""),47140.0)</f>
        <v>47140</v>
      </c>
      <c r="AM372" s="6" t="str">
        <f>IFERROR(__xludf.DUMMYFUNCTION("""COMPUTED_VALUE"""),"Bulgarije")</f>
        <v>Bulgarije</v>
      </c>
      <c r="AN372" s="6" t="str">
        <f>IFERROR(__xludf.DUMMYFUNCTION("""COMPUTED_VALUE"""),"Lyubomir Slavchev Lashkov")</f>
        <v>Lyubomir Slavchev Lashkov</v>
      </c>
      <c r="AO372" s="6">
        <f>IFERROR(__xludf.DUMMYFUNCTION("""COMPUTED_VALUE"""),1701.0)</f>
        <v>1701</v>
      </c>
    </row>
    <row r="373">
      <c r="A373" s="6" t="str">
        <f>IFERROR(__xludf.DUMMYFUNCTION("""COMPUTED_VALUE"""),"Progres Interbouw VOF")</f>
        <v>Progres Interbouw VOF</v>
      </c>
      <c r="B373" s="6" t="str">
        <f>IFERROR(__xludf.DUMMYFUNCTION("""COMPUTED_VALUE"""),"Progres Interbouw VOF")</f>
        <v>Progres Interbouw VOF</v>
      </c>
      <c r="C373" s="6">
        <f>IFERROR(__xludf.DUMMYFUNCTION("""COMPUTED_VALUE"""),1195.0)</f>
        <v>1195</v>
      </c>
      <c r="D373" s="7" t="str">
        <f>IFERROR(__xludf.DUMMYFUNCTION("""COMPUTED_VALUE"""),"Stefan Dimitrov Bayraktarov")</f>
        <v>Stefan Dimitrov Bayraktarov</v>
      </c>
      <c r="E373" s="7" t="str">
        <f>IFERROR(__xludf.DUMMYFUNCTION("""COMPUTED_VALUE"""),"SBI-code: 4120 - Algemene burgerlijke en utiliteitsbouw")</f>
        <v>SBI-code: 4120 - Algemene burgerlijke en utiliteitsbouw</v>
      </c>
      <c r="F373" s="7" t="str">
        <f>IFERROR(__xludf.DUMMYFUNCTION("""COMPUTED_VALUE"""),"0641335929")</f>
        <v>0641335929</v>
      </c>
      <c r="G373" s="6" t="str">
        <f>IFERROR(__xludf.DUMMYFUNCTION("""COMPUTED_VALUE"""),"sabayraktarov@gmail.com")</f>
        <v>sabayraktarov@gmail.com</v>
      </c>
      <c r="H373" s="6" t="str">
        <f>IFERROR(__xludf.DUMMYFUNCTION("""COMPUTED_VALUE"""),"Van Stein Callenfelsstraat 39")</f>
        <v>Van Stein Callenfelsstraat 39</v>
      </c>
      <c r="I373" s="6" t="str">
        <f>IFERROR(__xludf.DUMMYFUNCTION("""COMPUTED_VALUE"""),"2283JC")</f>
        <v>2283JC</v>
      </c>
      <c r="J373" s="6" t="str">
        <f>IFERROR(__xludf.DUMMYFUNCTION("""COMPUTED_VALUE"""),"Rijswijk")</f>
        <v>Rijswijk</v>
      </c>
      <c r="K373" s="6" t="str">
        <f>IFERROR(__xludf.DUMMYFUNCTION("""COMPUTED_VALUE"""),"Nederland")</f>
        <v>Nederland</v>
      </c>
      <c r="L373" s="6" t="str">
        <f>IFERROR(__xludf.DUMMYFUNCTION("""COMPUTED_VALUE"""),"Байрактаров")</f>
        <v>Байрактаров</v>
      </c>
      <c r="M373" s="8">
        <f>IFERROR(__xludf.DUMMYFUNCTION("""COMPUTED_VALUE"""),44287.0)</f>
        <v>44287</v>
      </c>
      <c r="N373" s="6" t="str">
        <f>IFERROR(__xludf.DUMMYFUNCTION("""COMPUTED_VALUE"""),"NL862700000B01")</f>
        <v>NL862700000B01</v>
      </c>
      <c r="O373" s="6">
        <f>IFERROR(__xludf.DUMMYFUNCTION("""COMPUTED_VALUE"""),8.3034986E7)</f>
        <v>83034986</v>
      </c>
      <c r="P373" s="6" t="str">
        <f>IFERROR(__xludf.DUMMYFUNCTION("""COMPUTED_VALUE"""),"NL34INGB0006733051")</f>
        <v>NL34INGB0006733051</v>
      </c>
      <c r="Q373" s="9">
        <f>IFERROR(__xludf.DUMMYFUNCTION("""COMPUTED_VALUE"""),44287.0)</f>
        <v>44287</v>
      </c>
      <c r="R373" s="6"/>
      <c r="S373" s="6" t="str">
        <f>IFERROR(__xludf.DUMMYFUNCTION("""COMPUTED_VALUE"""),"NL862700000B01")</f>
        <v>NL862700000B01</v>
      </c>
      <c r="T373" s="6">
        <f>IFERROR(__xludf.DUMMYFUNCTION("""COMPUTED_VALUE"""),8.627E8)</f>
        <v>862700000</v>
      </c>
      <c r="U373" s="7" t="str">
        <f>IFERROR(__xludf.DUMMYFUNCTION("""COMPUTED_VALUE"""),"Vennootschap Onder Firma")</f>
        <v>Vennootschap Onder Firma</v>
      </c>
      <c r="V373" s="7" t="str">
        <f>IFERROR(__xludf.DUMMYFUNCTION("""COMPUTED_VALUE"""),"000032202172")</f>
        <v>000032202172</v>
      </c>
      <c r="W373" s="6" t="str">
        <f>IFERROR(__xludf.DUMMYFUNCTION("""COMPUTED_VALUE"""),"ink.progressinterbouwvof.2288aa@zarabota.nl")</f>
        <v>ink.progressinterbouwvof.2288aa@zarabota.nl</v>
      </c>
      <c r="X373" s="6" t="str">
        <f>IFERROR(__xludf.DUMMYFUNCTION("""COMPUTED_VALUE"""),"ver.progressinterbouwvof.2288aa@zarabota.nl")</f>
        <v>ver.progressinterbouwvof.2288aa@zarabota.nl</v>
      </c>
      <c r="Y373" s="6" t="str">
        <f>IFERROR(__xludf.DUMMYFUNCTION("""COMPUTED_VALUE"""),"Hr.")</f>
        <v>Hr.</v>
      </c>
      <c r="Z373" s="6" t="str">
        <f>IFERROR(__xludf.DUMMYFUNCTION("""COMPUTED_VALUE"""),"Stefan Dimitrov")</f>
        <v>Stefan Dimitrov</v>
      </c>
      <c r="AA373" s="6" t="str">
        <f>IFERROR(__xludf.DUMMYFUNCTION("""COMPUTED_VALUE"""),"Bayraktarov")</f>
        <v>Bayraktarov</v>
      </c>
      <c r="AB373" s="6" t="str">
        <f>IFERROR(__xludf.DUMMYFUNCTION("""COMPUTED_VALUE"""),"S.D.")</f>
        <v>S.D.</v>
      </c>
      <c r="AC373" s="6">
        <f>IFERROR(__xludf.DUMMYFUNCTION("""COMPUTED_VALUE"""),4.77988489E8)</f>
        <v>477988489</v>
      </c>
      <c r="AD373" s="9">
        <f>IFERROR(__xludf.DUMMYFUNCTION("""COMPUTED_VALUE"""),31631.0)</f>
        <v>31631</v>
      </c>
      <c r="AE373" s="6" t="str">
        <f>IFERROR(__xludf.DUMMYFUNCTION("""COMPUTED_VALUE"""),"bg")</f>
        <v>bg</v>
      </c>
      <c r="AF373" s="6" t="str">
        <f>IFERROR(__xludf.DUMMYFUNCTION("""COMPUTED_VALUE"""),"Madan")</f>
        <v>Madan</v>
      </c>
      <c r="AG373" s="6" t="str">
        <f>IFERROR(__xludf.DUMMYFUNCTION("""COMPUTED_VALUE"""),"Hr. S.D. Bayraktarov")</f>
        <v>Hr. S.D. Bayraktarov</v>
      </c>
      <c r="AH373" s="6"/>
      <c r="AI373" s="6"/>
      <c r="AJ373" s="6"/>
      <c r="AK373" s="6"/>
      <c r="AL373" s="6"/>
      <c r="AM373" s="6"/>
      <c r="AN373" s="6" t="str">
        <f>IFERROR(__xludf.DUMMYFUNCTION("""COMPUTED_VALUE"""),"Stefan Dimitrov Bayraktarov")</f>
        <v>Stefan Dimitrov Bayraktarov</v>
      </c>
      <c r="AO373" s="6">
        <f>IFERROR(__xludf.DUMMYFUNCTION("""COMPUTED_VALUE"""),1195.0)</f>
        <v>1195</v>
      </c>
    </row>
    <row r="374">
      <c r="A374" s="6" t="str">
        <f>IFERROR(__xludf.DUMMYFUNCTION("""COMPUTED_VALUE"""),"RA.SI Schoonmaakbedrijf")</f>
        <v>RA.SI Schoonmaakbedrijf</v>
      </c>
      <c r="B374" s="6" t="str">
        <f>IFERROR(__xludf.DUMMYFUNCTION("""COMPUTED_VALUE"""),"R.S Sprinkler Montage (RA.SI Schoonmaakbedrijf)")</f>
        <v>R.S Sprinkler Montage (RA.SI Schoonmaakbedrijf)</v>
      </c>
      <c r="C374" s="6">
        <f>IFERROR(__xludf.DUMMYFUNCTION("""COMPUTED_VALUE"""),1391.0)</f>
        <v>1391</v>
      </c>
      <c r="D374" s="7" t="str">
        <f>IFERROR(__xludf.DUMMYFUNCTION("""COMPUTED_VALUE"""),"Dimitar Yordanov Dimitrov")</f>
        <v>Dimitar Yordanov Dimitrov</v>
      </c>
      <c r="E374" s="7" t="str">
        <f>IFERROR(__xludf.DUMMYFUNCTION("""COMPUTED_VALUE"""),"SBI-code: 8121 - Interieurreiniging van gebouwen")</f>
        <v>SBI-code: 8121 - Interieurreiniging van gebouwen</v>
      </c>
      <c r="F374" s="7" t="str">
        <f>IFERROR(__xludf.DUMMYFUNCTION("""COMPUTED_VALUE"""),"0613331665")</f>
        <v>0613331665</v>
      </c>
      <c r="G374" s="6" t="str">
        <f>IFERROR(__xludf.DUMMYFUNCTION("""COMPUTED_VALUE"""),"raya27032017@gmail.com")</f>
        <v>raya27032017@gmail.com</v>
      </c>
      <c r="H374" s="6" t="str">
        <f>IFERROR(__xludf.DUMMYFUNCTION("""COMPUTED_VALUE"""),"Bastion 261")</f>
        <v>Bastion 261</v>
      </c>
      <c r="I374" s="6" t="str">
        <f>IFERROR(__xludf.DUMMYFUNCTION("""COMPUTED_VALUE"""),"8223GN")</f>
        <v>8223GN</v>
      </c>
      <c r="J374" s="6" t="str">
        <f>IFERROR(__xludf.DUMMYFUNCTION("""COMPUTED_VALUE"""),"Lelystad")</f>
        <v>Lelystad</v>
      </c>
      <c r="K374" s="6" t="str">
        <f>IFERROR(__xludf.DUMMYFUNCTION("""COMPUTED_VALUE"""),"Nederland")</f>
        <v>Nederland</v>
      </c>
      <c r="L374" s="6" t="str">
        <f>IFERROR(__xludf.DUMMYFUNCTION("""COMPUTED_VALUE"""),"Димитров")</f>
        <v>Димитров</v>
      </c>
      <c r="M374" s="8">
        <f>IFERROR(__xludf.DUMMYFUNCTION("""COMPUTED_VALUE"""),44774.0)</f>
        <v>44774</v>
      </c>
      <c r="N374" s="6" t="str">
        <f>IFERROR(__xludf.DUMMYFUNCTION("""COMPUTED_VALUE"""),"NL572044173B01")</f>
        <v>NL572044173B01</v>
      </c>
      <c r="O374" s="6">
        <f>IFERROR(__xludf.DUMMYFUNCTION("""COMPUTED_VALUE"""),8.718518E7)</f>
        <v>87185180</v>
      </c>
      <c r="P374" s="6" t="str">
        <f>IFERROR(__xludf.DUMMYFUNCTION("""COMPUTED_VALUE"""),"NL90INGB0398034311")</f>
        <v>NL90INGB0398034311</v>
      </c>
      <c r="Q374" s="9">
        <f>IFERROR(__xludf.DUMMYFUNCTION("""COMPUTED_VALUE"""),44774.0)</f>
        <v>44774</v>
      </c>
      <c r="R374" s="6"/>
      <c r="S374" s="6" t="str">
        <f>IFERROR(__xludf.DUMMYFUNCTION("""COMPUTED_VALUE"""),"NL004369134B18")</f>
        <v>NL004369134B18</v>
      </c>
      <c r="T374" s="6">
        <f>IFERROR(__xludf.DUMMYFUNCTION("""COMPUTED_VALUE"""),5.72044173E8)</f>
        <v>572044173</v>
      </c>
      <c r="U374" s="7" t="str">
        <f>IFERROR(__xludf.DUMMYFUNCTION("""COMPUTED_VALUE"""),"Eenmanszaak")</f>
        <v>Eenmanszaak</v>
      </c>
      <c r="V374" s="7" t="str">
        <f>IFERROR(__xludf.DUMMYFUNCTION("""COMPUTED_VALUE"""),"000053108612")</f>
        <v>000053108612</v>
      </c>
      <c r="W374" s="6" t="str">
        <f>IFERROR(__xludf.DUMMYFUNCTION("""COMPUTED_VALUE"""),"ink.rasischoon.2288aa@zarabota.nl")</f>
        <v>ink.rasischoon.2288aa@zarabota.nl</v>
      </c>
      <c r="X374" s="6" t="str">
        <f>IFERROR(__xludf.DUMMYFUNCTION("""COMPUTED_VALUE"""),"ver.rasischoon.2288aa@zarabota.nl")</f>
        <v>ver.rasischoon.2288aa@zarabota.nl</v>
      </c>
      <c r="Y374" s="6" t="str">
        <f>IFERROR(__xludf.DUMMYFUNCTION("""COMPUTED_VALUE"""),"Hr.")</f>
        <v>Hr.</v>
      </c>
      <c r="Z374" s="6" t="str">
        <f>IFERROR(__xludf.DUMMYFUNCTION("""COMPUTED_VALUE"""),"Dimitar Yordanov")</f>
        <v>Dimitar Yordanov</v>
      </c>
      <c r="AA374" s="6" t="str">
        <f>IFERROR(__xludf.DUMMYFUNCTION("""COMPUTED_VALUE"""),"Dimitrov")</f>
        <v>Dimitrov</v>
      </c>
      <c r="AB374" s="6" t="str">
        <f>IFERROR(__xludf.DUMMYFUNCTION("""COMPUTED_VALUE"""),"D.Y.")</f>
        <v>D.Y.</v>
      </c>
      <c r="AC374" s="6">
        <f>IFERROR(__xludf.DUMMYFUNCTION("""COMPUTED_VALUE"""),5.72044173E8)</f>
        <v>572044173</v>
      </c>
      <c r="AD374" s="9">
        <f>IFERROR(__xludf.DUMMYFUNCTION("""COMPUTED_VALUE"""),33974.0)</f>
        <v>33974</v>
      </c>
      <c r="AE374" s="6" t="str">
        <f>IFERROR(__xludf.DUMMYFUNCTION("""COMPUTED_VALUE"""),"bg")</f>
        <v>bg</v>
      </c>
      <c r="AF374" s="6" t="str">
        <f>IFERROR(__xludf.DUMMYFUNCTION("""COMPUTED_VALUE"""),"Dimitrovgrad")</f>
        <v>Dimitrovgrad</v>
      </c>
      <c r="AG374" s="6" t="str">
        <f>IFERROR(__xludf.DUMMYFUNCTION("""COMPUTED_VALUE"""),"Hr. D.Y. Dimitrov")</f>
        <v>Hr. D.Y. Dimitrov</v>
      </c>
      <c r="AH374" s="6"/>
      <c r="AI374" s="6"/>
      <c r="AJ374" s="6" t="str">
        <f>IFERROR(__xludf.DUMMYFUNCTION("""COMPUTED_VALUE"""),"ID Kaart")</f>
        <v>ID Kaart</v>
      </c>
      <c r="AK374" s="6">
        <f>IFERROR(__xludf.DUMMYFUNCTION("""COMPUTED_VALUE"""),6.49271081E8)</f>
        <v>649271081</v>
      </c>
      <c r="AL374" s="9">
        <f>IFERROR(__xludf.DUMMYFUNCTION("""COMPUTED_VALUE"""),47700.0)</f>
        <v>47700</v>
      </c>
      <c r="AM374" s="6" t="str">
        <f>IFERROR(__xludf.DUMMYFUNCTION("""COMPUTED_VALUE"""),"Bulgarije")</f>
        <v>Bulgarije</v>
      </c>
      <c r="AN374" s="6" t="str">
        <f>IFERROR(__xludf.DUMMYFUNCTION("""COMPUTED_VALUE"""),"Dimitar Yordanov Dimitrov")</f>
        <v>Dimitar Yordanov Dimitrov</v>
      </c>
      <c r="AO374" s="6">
        <f>IFERROR(__xludf.DUMMYFUNCTION("""COMPUTED_VALUE"""),1391.0)</f>
        <v>1391</v>
      </c>
    </row>
    <row r="375">
      <c r="A375" s="6" t="str">
        <f>IFERROR(__xludf.DUMMYFUNCTION("""COMPUTED_VALUE"""),"Radi-80 VOF")</f>
        <v>Radi-80 VOF</v>
      </c>
      <c r="B375" s="6" t="str">
        <f>IFERROR(__xludf.DUMMYFUNCTION("""COMPUTED_VALUE"""),"Radi-80 VOF")</f>
        <v>Radi-80 VOF</v>
      </c>
      <c r="C375" s="6">
        <f>IFERROR(__xludf.DUMMYFUNCTION("""COMPUTED_VALUE"""),1135.0)</f>
        <v>1135</v>
      </c>
      <c r="D375" s="7" t="str">
        <f>IFERROR(__xludf.DUMMYFUNCTION("""COMPUTED_VALUE"""),"Radi Karamfilov Hadzhiev")</f>
        <v>Radi Karamfilov Hadzhiev</v>
      </c>
      <c r="E375" s="7" t="str">
        <f>IFERROR(__xludf.DUMMYFUNCTION("""COMPUTED_VALUE"""),"SBI-code: 4120 - Algemene burgerlijke en utiliteitsbouw")</f>
        <v>SBI-code: 4120 - Algemene burgerlijke en utiliteitsbouw</v>
      </c>
      <c r="F375" s="7" t="str">
        <f>IFERROR(__xludf.DUMMYFUNCTION("""COMPUTED_VALUE"""),"0684664890")</f>
        <v>0684664890</v>
      </c>
      <c r="G375" s="6" t="str">
        <f>IFERROR(__xludf.DUMMYFUNCTION("""COMPUTED_VALUE"""),"radi.hadzhiev18@gmail.com")</f>
        <v>radi.hadzhiev18@gmail.com</v>
      </c>
      <c r="H375" s="6" t="str">
        <f>IFERROR(__xludf.DUMMYFUNCTION("""COMPUTED_VALUE"""),"Bragastraat 120")</f>
        <v>Bragastraat 120</v>
      </c>
      <c r="I375" s="6" t="str">
        <f>IFERROR(__xludf.DUMMYFUNCTION("""COMPUTED_VALUE"""),"2523HK")</f>
        <v>2523HK</v>
      </c>
      <c r="J375" s="6" t="str">
        <f>IFERROR(__xludf.DUMMYFUNCTION("""COMPUTED_VALUE"""),"s-Gravenhage")</f>
        <v>s-Gravenhage</v>
      </c>
      <c r="K375" s="6" t="str">
        <f>IFERROR(__xludf.DUMMYFUNCTION("""COMPUTED_VALUE"""),"Nederland")</f>
        <v>Nederland</v>
      </c>
      <c r="L375" s="6" t="str">
        <f>IFERROR(__xludf.DUMMYFUNCTION("""COMPUTED_VALUE"""),"Хаджиев")</f>
        <v>Хаджиев</v>
      </c>
      <c r="M375" s="8">
        <f>IFERROR(__xludf.DUMMYFUNCTION("""COMPUTED_VALUE"""),44287.0)</f>
        <v>44287</v>
      </c>
      <c r="N375" s="6" t="str">
        <f>IFERROR(__xludf.DUMMYFUNCTION("""COMPUTED_VALUE"""),"NL862494539B01")</f>
        <v>NL862494539B01</v>
      </c>
      <c r="O375" s="6">
        <f>IFERROR(__xludf.DUMMYFUNCTION("""COMPUTED_VALUE"""),8.2499861E7)</f>
        <v>82499861</v>
      </c>
      <c r="P375" s="6" t="str">
        <f>IFERROR(__xludf.DUMMYFUNCTION("""COMPUTED_VALUE"""),"NL98INGB0007528366")</f>
        <v>NL98INGB0007528366</v>
      </c>
      <c r="Q375" s="9">
        <f>IFERROR(__xludf.DUMMYFUNCTION("""COMPUTED_VALUE"""),44287.0)</f>
        <v>44287</v>
      </c>
      <c r="R375" s="6"/>
      <c r="S375" s="6" t="str">
        <f>IFERROR(__xludf.DUMMYFUNCTION("""COMPUTED_VALUE"""),"NL862494539B01")</f>
        <v>NL862494539B01</v>
      </c>
      <c r="T375" s="6">
        <f>IFERROR(__xludf.DUMMYFUNCTION("""COMPUTED_VALUE"""),8.62494539E8)</f>
        <v>862494539</v>
      </c>
      <c r="U375" s="7" t="str">
        <f>IFERROR(__xludf.DUMMYFUNCTION("""COMPUTED_VALUE"""),"Vennootschap Onder Firma")</f>
        <v>Vennootschap Onder Firma</v>
      </c>
      <c r="V375" s="7" t="str">
        <f>IFERROR(__xludf.DUMMYFUNCTION("""COMPUTED_VALUE"""),"000035679247")</f>
        <v>000035679247</v>
      </c>
      <c r="W375" s="6" t="str">
        <f>IFERROR(__xludf.DUMMYFUNCTION("""COMPUTED_VALUE"""),"ink.radi-80vof.2288aa@zarabota.nl")</f>
        <v>ink.radi-80vof.2288aa@zarabota.nl</v>
      </c>
      <c r="X375" s="6" t="str">
        <f>IFERROR(__xludf.DUMMYFUNCTION("""COMPUTED_VALUE"""),"ver.radi-80vof.2288aa@zarabota.nl")</f>
        <v>ver.radi-80vof.2288aa@zarabota.nl</v>
      </c>
      <c r="Y375" s="6" t="str">
        <f>IFERROR(__xludf.DUMMYFUNCTION("""COMPUTED_VALUE"""),"Hr.")</f>
        <v>Hr.</v>
      </c>
      <c r="Z375" s="6" t="str">
        <f>IFERROR(__xludf.DUMMYFUNCTION("""COMPUTED_VALUE"""),"Radi Karamfilov")</f>
        <v>Radi Karamfilov</v>
      </c>
      <c r="AA375" s="6" t="str">
        <f>IFERROR(__xludf.DUMMYFUNCTION("""COMPUTED_VALUE"""),"Hadzhiev")</f>
        <v>Hadzhiev</v>
      </c>
      <c r="AB375" s="6" t="str">
        <f>IFERROR(__xludf.DUMMYFUNCTION("""COMPUTED_VALUE"""),"R.K.")</f>
        <v>R.K.</v>
      </c>
      <c r="AC375" s="6">
        <f>IFERROR(__xludf.DUMMYFUNCTION("""COMPUTED_VALUE"""),5.68506376E8)</f>
        <v>568506376</v>
      </c>
      <c r="AD375" s="9">
        <f>IFERROR(__xludf.DUMMYFUNCTION("""COMPUTED_VALUE"""),29428.0)</f>
        <v>29428</v>
      </c>
      <c r="AE375" s="6" t="str">
        <f>IFERROR(__xludf.DUMMYFUNCTION("""COMPUTED_VALUE"""),"bg")</f>
        <v>bg</v>
      </c>
      <c r="AF375" s="6" t="str">
        <f>IFERROR(__xludf.DUMMYFUNCTION("""COMPUTED_VALUE"""),"Zhaltusha")</f>
        <v>Zhaltusha</v>
      </c>
      <c r="AG375" s="6" t="str">
        <f>IFERROR(__xludf.DUMMYFUNCTION("""COMPUTED_VALUE"""),"Hr. R.K. Hadzhiev")</f>
        <v>Hr. R.K. Hadzhiev</v>
      </c>
      <c r="AH375" s="6" t="str">
        <f>IFERROR(__xludf.DUMMYFUNCTION("""COMPUTED_VALUE"""),"NL24INGB0704528533")</f>
        <v>NL24INGB0704528533</v>
      </c>
      <c r="AI375" s="9">
        <f>IFERROR(__xludf.DUMMYFUNCTION("""COMPUTED_VALUE"""),41712.0)</f>
        <v>41712</v>
      </c>
      <c r="AJ375" s="6" t="str">
        <f>IFERROR(__xludf.DUMMYFUNCTION("""COMPUTED_VALUE"""),"ID Kaart")</f>
        <v>ID Kaart</v>
      </c>
      <c r="AK375" s="6">
        <f>IFERROR(__xludf.DUMMYFUNCTION("""COMPUTED_VALUE"""),6.40777457E8)</f>
        <v>640777457</v>
      </c>
      <c r="AL375" s="9">
        <f>IFERROR(__xludf.DUMMYFUNCTION("""COMPUTED_VALUE"""),44069.0)</f>
        <v>44069</v>
      </c>
      <c r="AM375" s="6" t="str">
        <f>IFERROR(__xludf.DUMMYFUNCTION("""COMPUTED_VALUE"""),"Bulgarije")</f>
        <v>Bulgarije</v>
      </c>
      <c r="AN375" s="6" t="str">
        <f>IFERROR(__xludf.DUMMYFUNCTION("""COMPUTED_VALUE"""),"Radi Karamfilov Hadzhiev")</f>
        <v>Radi Karamfilov Hadzhiev</v>
      </c>
      <c r="AO375" s="6">
        <f>IFERROR(__xludf.DUMMYFUNCTION("""COMPUTED_VALUE"""),1135.0)</f>
        <v>1135</v>
      </c>
    </row>
    <row r="376">
      <c r="A376" s="6" t="str">
        <f>IFERROR(__xludf.DUMMYFUNCTION("""COMPUTED_VALUE"""),"Rafo Bouw")</f>
        <v>Rafo Bouw</v>
      </c>
      <c r="B376" s="6" t="str">
        <f>IFERROR(__xludf.DUMMYFUNCTION("""COMPUTED_VALUE"""),"Rafo Bouw")</f>
        <v>Rafo Bouw</v>
      </c>
      <c r="C376" s="6">
        <f>IFERROR(__xludf.DUMMYFUNCTION("""COMPUTED_VALUE"""),1590.0)</f>
        <v>1590</v>
      </c>
      <c r="D376" s="7" t="str">
        <f>IFERROR(__xludf.DUMMYFUNCTION("""COMPUTED_VALUE"""),"Rafet Nasuf Nasuf")</f>
        <v>Rafet Nasuf Nasuf</v>
      </c>
      <c r="E376" s="7" t="str">
        <f>IFERROR(__xludf.DUMMYFUNCTION("""COMPUTED_VALUE"""),"SBI-code: 4120 - Algemene burgerlijke en utiliteitsbouw")</f>
        <v>SBI-code: 4120 - Algemene burgerlijke en utiliteitsbouw</v>
      </c>
      <c r="F376" s="7" t="str">
        <f>IFERROR(__xludf.DUMMYFUNCTION("""COMPUTED_VALUE"""),"0644148195")</f>
        <v>0644148195</v>
      </c>
      <c r="G376" s="6" t="str">
        <f>IFERROR(__xludf.DUMMYFUNCTION("""COMPUTED_VALUE"""),"rafetnasuf89@abv.bg")</f>
        <v>rafetnasuf89@abv.bg</v>
      </c>
      <c r="H376" s="6" t="str">
        <f>IFERROR(__xludf.DUMMYFUNCTION("""COMPUTED_VALUE"""),"Provincialeweg 59")</f>
        <v>Provincialeweg 59</v>
      </c>
      <c r="I376" s="6" t="str">
        <f>IFERROR(__xludf.DUMMYFUNCTION("""COMPUTED_VALUE"""),"5334JD")</f>
        <v>5334JD</v>
      </c>
      <c r="J376" s="6" t="str">
        <f>IFERROR(__xludf.DUMMYFUNCTION("""COMPUTED_VALUE"""),"Velddriel")</f>
        <v>Velddriel</v>
      </c>
      <c r="K376" s="6" t="str">
        <f>IFERROR(__xludf.DUMMYFUNCTION("""COMPUTED_VALUE"""),"Nederland")</f>
        <v>Nederland</v>
      </c>
      <c r="L376" s="6" t="str">
        <f>IFERROR(__xludf.DUMMYFUNCTION("""COMPUTED_VALUE"""),"Насуф")</f>
        <v>Насуф</v>
      </c>
      <c r="M376" s="8">
        <f>IFERROR(__xludf.DUMMYFUNCTION("""COMPUTED_VALUE"""),45337.0)</f>
        <v>45337</v>
      </c>
      <c r="N376" s="6" t="str">
        <f>IFERROR(__xludf.DUMMYFUNCTION("""COMPUTED_VALUE"""),"NL367390085B01")</f>
        <v>NL367390085B01</v>
      </c>
      <c r="O376" s="6">
        <f>IFERROR(__xludf.DUMMYFUNCTION("""COMPUTED_VALUE"""),9.2979572E7)</f>
        <v>92979572</v>
      </c>
      <c r="P376" s="6" t="str">
        <f>IFERROR(__xludf.DUMMYFUNCTION("""COMPUTED_VALUE"""),"NL97INGB0106277391")</f>
        <v>NL97INGB0106277391</v>
      </c>
      <c r="Q376" s="9">
        <f>IFERROR(__xludf.DUMMYFUNCTION("""COMPUTED_VALUE"""),45337.0)</f>
        <v>45337</v>
      </c>
      <c r="R376" s="6"/>
      <c r="S376" s="6" t="str">
        <f>IFERROR(__xludf.DUMMYFUNCTION("""COMPUTED_VALUE"""),"NL004990016B56")</f>
        <v>NL004990016B56</v>
      </c>
      <c r="T376" s="6">
        <f>IFERROR(__xludf.DUMMYFUNCTION("""COMPUTED_VALUE"""),3.67390085E8)</f>
        <v>367390085</v>
      </c>
      <c r="U376" s="7" t="str">
        <f>IFERROR(__xludf.DUMMYFUNCTION("""COMPUTED_VALUE"""),"Eenmanszaak")</f>
        <v>Eenmanszaak</v>
      </c>
      <c r="V376" s="7" t="str">
        <f>IFERROR(__xludf.DUMMYFUNCTION("""COMPUTED_VALUE"""),"000058551115")</f>
        <v>000058551115</v>
      </c>
      <c r="W376" s="6" t="str">
        <f>IFERROR(__xludf.DUMMYFUNCTION("""COMPUTED_VALUE"""),"ink.rafobouw.2288aa@zarabota.nl")</f>
        <v>ink.rafobouw.2288aa@zarabota.nl</v>
      </c>
      <c r="X376" s="6" t="str">
        <f>IFERROR(__xludf.DUMMYFUNCTION("""COMPUTED_VALUE"""),"ver.rafobouw.2288aa@zarabota.nl")</f>
        <v>ver.rafobouw.2288aa@zarabota.nl</v>
      </c>
      <c r="Y376" s="6" t="str">
        <f>IFERROR(__xludf.DUMMYFUNCTION("""COMPUTED_VALUE"""),"Hr.")</f>
        <v>Hr.</v>
      </c>
      <c r="Z376" s="6" t="str">
        <f>IFERROR(__xludf.DUMMYFUNCTION("""COMPUTED_VALUE"""),"Rafet Nasuf")</f>
        <v>Rafet Nasuf</v>
      </c>
      <c r="AA376" s="6" t="str">
        <f>IFERROR(__xludf.DUMMYFUNCTION("""COMPUTED_VALUE"""),"Nasuf")</f>
        <v>Nasuf</v>
      </c>
      <c r="AB376" s="6" t="str">
        <f>IFERROR(__xludf.DUMMYFUNCTION("""COMPUTED_VALUE"""),"R.N.")</f>
        <v>R.N.</v>
      </c>
      <c r="AC376" s="6">
        <f>IFERROR(__xludf.DUMMYFUNCTION("""COMPUTED_VALUE"""),3.67390085E8)</f>
        <v>367390085</v>
      </c>
      <c r="AD376" s="9">
        <f>IFERROR(__xludf.DUMMYFUNCTION("""COMPUTED_VALUE"""),32807.0)</f>
        <v>32807</v>
      </c>
      <c r="AE376" s="6" t="str">
        <f>IFERROR(__xludf.DUMMYFUNCTION("""COMPUTED_VALUE"""),"bg")</f>
        <v>bg</v>
      </c>
      <c r="AF376" s="6" t="str">
        <f>IFERROR(__xludf.DUMMYFUNCTION("""COMPUTED_VALUE"""),"Devin")</f>
        <v>Devin</v>
      </c>
      <c r="AG376" s="6" t="str">
        <f>IFERROR(__xludf.DUMMYFUNCTION("""COMPUTED_VALUE"""),"Hr. R.N. Nasuf")</f>
        <v>Hr. R.N. Nasuf</v>
      </c>
      <c r="AH376" s="6"/>
      <c r="AI376" s="6"/>
      <c r="AJ376" s="6" t="str">
        <f>IFERROR(__xludf.DUMMYFUNCTION("""COMPUTED_VALUE"""),"ID Kaart")</f>
        <v>ID Kaart</v>
      </c>
      <c r="AK376" s="6">
        <f>IFERROR(__xludf.DUMMYFUNCTION("""COMPUTED_VALUE"""),6.47134871E8)</f>
        <v>647134871</v>
      </c>
      <c r="AL376" s="9">
        <f>IFERROR(__xludf.DUMMYFUNCTION("""COMPUTED_VALUE"""),46607.0)</f>
        <v>46607</v>
      </c>
      <c r="AM376" s="6" t="str">
        <f>IFERROR(__xludf.DUMMYFUNCTION("""COMPUTED_VALUE"""),"Bulgarije")</f>
        <v>Bulgarije</v>
      </c>
      <c r="AN376" s="6" t="str">
        <f>IFERROR(__xludf.DUMMYFUNCTION("""COMPUTED_VALUE"""),"Rafet Nasuf Nasuf")</f>
        <v>Rafet Nasuf Nasuf</v>
      </c>
      <c r="AO376" s="6">
        <f>IFERROR(__xludf.DUMMYFUNCTION("""COMPUTED_VALUE"""),1590.0)</f>
        <v>1590</v>
      </c>
    </row>
    <row r="377">
      <c r="A377" s="6" t="str">
        <f>IFERROR(__xludf.DUMMYFUNCTION("""COMPUTED_VALUE"""),"Ralitsa 08")</f>
        <v>Ralitsa 08</v>
      </c>
      <c r="B377" s="6" t="str">
        <f>IFERROR(__xludf.DUMMYFUNCTION("""COMPUTED_VALUE"""),"Ralitsa 08")</f>
        <v>Ralitsa 08</v>
      </c>
      <c r="C377" s="6">
        <f>IFERROR(__xludf.DUMMYFUNCTION("""COMPUTED_VALUE"""),1123.0)</f>
        <v>1123</v>
      </c>
      <c r="D377" s="7" t="str">
        <f>IFERROR(__xludf.DUMMYFUNCTION("""COMPUTED_VALUE"""),"Angel Asenov Karamfilov")</f>
        <v>Angel Asenov Karamfilov</v>
      </c>
      <c r="E377" s="7" t="str">
        <f>IFERROR(__xludf.DUMMYFUNCTION("""COMPUTED_VALUE"""),"SBI-code: 4120 - Algemene burgerlijke en utiliteitsbouw")</f>
        <v>SBI-code: 4120 - Algemene burgerlijke en utiliteitsbouw</v>
      </c>
      <c r="F377" s="7" t="str">
        <f>IFERROR(__xludf.DUMMYFUNCTION("""COMPUTED_VALUE"""),"0651592388")</f>
        <v>0651592388</v>
      </c>
      <c r="G377" s="6" t="str">
        <f>IFERROR(__xludf.DUMMYFUNCTION("""COMPUTED_VALUE"""),"akaramfilov5@gmail.com")</f>
        <v>akaramfilov5@gmail.com</v>
      </c>
      <c r="H377" s="6" t="str">
        <f>IFERROR(__xludf.DUMMYFUNCTION("""COMPUTED_VALUE"""),"Goeverneurlaan 565")</f>
        <v>Goeverneurlaan 565</v>
      </c>
      <c r="I377" s="6" t="str">
        <f>IFERROR(__xludf.DUMMYFUNCTION("""COMPUTED_VALUE"""),"2523CE")</f>
        <v>2523CE</v>
      </c>
      <c r="J377" s="6" t="str">
        <f>IFERROR(__xludf.DUMMYFUNCTION("""COMPUTED_VALUE"""),"s-Gravenhage")</f>
        <v>s-Gravenhage</v>
      </c>
      <c r="K377" s="6" t="str">
        <f>IFERROR(__xludf.DUMMYFUNCTION("""COMPUTED_VALUE"""),"Nederland")</f>
        <v>Nederland</v>
      </c>
      <c r="L377" s="6" t="str">
        <f>IFERROR(__xludf.DUMMYFUNCTION("""COMPUTED_VALUE"""),"Карамфилов")</f>
        <v>Карамфилов</v>
      </c>
      <c r="M377" s="8">
        <f>IFERROR(__xludf.DUMMYFUNCTION("""COMPUTED_VALUE"""),44228.0)</f>
        <v>44228</v>
      </c>
      <c r="N377" s="6" t="str">
        <f>IFERROR(__xludf.DUMMYFUNCTION("""COMPUTED_VALUE"""),"NL473216504B01")</f>
        <v>NL473216504B01</v>
      </c>
      <c r="O377" s="6">
        <f>IFERROR(__xludf.DUMMYFUNCTION("""COMPUTED_VALUE"""),8.2136548E7)</f>
        <v>82136548</v>
      </c>
      <c r="P377" s="6" t="str">
        <f>IFERROR(__xludf.DUMMYFUNCTION("""COMPUTED_VALUE"""),"NL33INGB0008979104")</f>
        <v>NL33INGB0008979104</v>
      </c>
      <c r="Q377" s="9">
        <f>IFERROR(__xludf.DUMMYFUNCTION("""COMPUTED_VALUE"""),44228.0)</f>
        <v>44228</v>
      </c>
      <c r="R377" s="6"/>
      <c r="S377" s="6" t="str">
        <f>IFERROR(__xludf.DUMMYFUNCTION("""COMPUTED_VALUE"""),"NL003643521B10")</f>
        <v>NL003643521B10</v>
      </c>
      <c r="T377" s="6">
        <f>IFERROR(__xludf.DUMMYFUNCTION("""COMPUTED_VALUE"""),4.73216504E8)</f>
        <v>473216504</v>
      </c>
      <c r="U377" s="7" t="str">
        <f>IFERROR(__xludf.DUMMYFUNCTION("""COMPUTED_VALUE"""),"Eenmanszaak")</f>
        <v>Eenmanszaak</v>
      </c>
      <c r="V377" s="7" t="str">
        <f>IFERROR(__xludf.DUMMYFUNCTION("""COMPUTED_VALUE"""),"000048388629")</f>
        <v>000048388629</v>
      </c>
      <c r="W377" s="6" t="str">
        <f>IFERROR(__xludf.DUMMYFUNCTION("""COMPUTED_VALUE"""),"ink.ralitsa08.2288aa@zarabota.nl")</f>
        <v>ink.ralitsa08.2288aa@zarabota.nl</v>
      </c>
      <c r="X377" s="6" t="str">
        <f>IFERROR(__xludf.DUMMYFUNCTION("""COMPUTED_VALUE"""),"ver.ralitsa08.2288aa@zarabota.nl")</f>
        <v>ver.ralitsa08.2288aa@zarabota.nl</v>
      </c>
      <c r="Y377" s="6" t="str">
        <f>IFERROR(__xludf.DUMMYFUNCTION("""COMPUTED_VALUE"""),"Hr.")</f>
        <v>Hr.</v>
      </c>
      <c r="Z377" s="6" t="str">
        <f>IFERROR(__xludf.DUMMYFUNCTION("""COMPUTED_VALUE"""),"Angel Asenov")</f>
        <v>Angel Asenov</v>
      </c>
      <c r="AA377" s="6" t="str">
        <f>IFERROR(__xludf.DUMMYFUNCTION("""COMPUTED_VALUE"""),"Karamfilov")</f>
        <v>Karamfilov</v>
      </c>
      <c r="AB377" s="6" t="str">
        <f>IFERROR(__xludf.DUMMYFUNCTION("""COMPUTED_VALUE"""),"A.A.")</f>
        <v>A.A.</v>
      </c>
      <c r="AC377" s="6">
        <f>IFERROR(__xludf.DUMMYFUNCTION("""COMPUTED_VALUE"""),4.73216504E8)</f>
        <v>473216504</v>
      </c>
      <c r="AD377" s="9">
        <f>IFERROR(__xludf.DUMMYFUNCTION("""COMPUTED_VALUE"""),28300.0)</f>
        <v>28300</v>
      </c>
      <c r="AE377" s="6" t="str">
        <f>IFERROR(__xludf.DUMMYFUNCTION("""COMPUTED_VALUE"""),"bg")</f>
        <v>bg</v>
      </c>
      <c r="AF377" s="6" t="str">
        <f>IFERROR(__xludf.DUMMYFUNCTION("""COMPUTED_VALUE"""),"Ardino")</f>
        <v>Ardino</v>
      </c>
      <c r="AG377" s="6" t="str">
        <f>IFERROR(__xludf.DUMMYFUNCTION("""COMPUTED_VALUE"""),"Hr. A.A. Karamfilov")</f>
        <v>Hr. A.A. Karamfilov</v>
      </c>
      <c r="AH377" s="6" t="str">
        <f>IFERROR(__xludf.DUMMYFUNCTION("""COMPUTED_VALUE"""),"NL11INGB0531812022")</f>
        <v>NL11INGB0531812022</v>
      </c>
      <c r="AI377" s="9">
        <f>IFERROR(__xludf.DUMMYFUNCTION("""COMPUTED_VALUE"""),44231.0)</f>
        <v>44231</v>
      </c>
      <c r="AJ377" s="6" t="str">
        <f>IFERROR(__xludf.DUMMYFUNCTION("""COMPUTED_VALUE"""),"ID Kaart")</f>
        <v>ID Kaart</v>
      </c>
      <c r="AK377" s="6" t="str">
        <f>IFERROR(__xludf.DUMMYFUNCTION("""COMPUTED_VALUE"""),"`648079551")</f>
        <v>`648079551</v>
      </c>
      <c r="AL377" s="9">
        <f>IFERROR(__xludf.DUMMYFUNCTION("""COMPUTED_VALUE"""),47159.0)</f>
        <v>47159</v>
      </c>
      <c r="AM377" s="6" t="str">
        <f>IFERROR(__xludf.DUMMYFUNCTION("""COMPUTED_VALUE"""),"Bulgarije")</f>
        <v>Bulgarije</v>
      </c>
      <c r="AN377" s="6" t="str">
        <f>IFERROR(__xludf.DUMMYFUNCTION("""COMPUTED_VALUE"""),"Angel Asenov Karamfilov")</f>
        <v>Angel Asenov Karamfilov</v>
      </c>
      <c r="AO377" s="6">
        <f>IFERROR(__xludf.DUMMYFUNCTION("""COMPUTED_VALUE"""),1123.0)</f>
        <v>1123</v>
      </c>
    </row>
    <row r="378">
      <c r="A378" s="6" t="str">
        <f>IFERROR(__xludf.DUMMYFUNCTION("""COMPUTED_VALUE"""),"Rango Bouw")</f>
        <v>Rango Bouw</v>
      </c>
      <c r="B378" s="6" t="str">
        <f>IFERROR(__xludf.DUMMYFUNCTION("""COMPUTED_VALUE"""),"Rango Bouw")</f>
        <v>Rango Bouw</v>
      </c>
      <c r="C378" s="6">
        <f>IFERROR(__xludf.DUMMYFUNCTION("""COMPUTED_VALUE"""),970.0)</f>
        <v>970</v>
      </c>
      <c r="D378" s="7" t="str">
        <f>IFERROR(__xludf.DUMMYFUNCTION("""COMPUTED_VALUE"""),"Goran Mateski")</f>
        <v>Goran Mateski</v>
      </c>
      <c r="E378" s="7" t="str">
        <f>IFERROR(__xludf.DUMMYFUNCTION("""COMPUTED_VALUE"""),"SBI-code: 4120 - Algemene burgerlijke en utiliteitsbouw")</f>
        <v>SBI-code: 4120 - Algemene burgerlijke en utiliteitsbouw</v>
      </c>
      <c r="F378" s="7" t="str">
        <f>IFERROR(__xludf.DUMMYFUNCTION("""COMPUTED_VALUE"""),"0685334351")</f>
        <v>0685334351</v>
      </c>
      <c r="G378" s="6" t="str">
        <f>IFERROR(__xludf.DUMMYFUNCTION("""COMPUTED_VALUE"""),"mateskigoran04@gmail.com")</f>
        <v>mateskigoran04@gmail.com</v>
      </c>
      <c r="H378" s="6" t="str">
        <f>IFERROR(__xludf.DUMMYFUNCTION("""COMPUTED_VALUE"""),"Gusthuissteeg 17")</f>
        <v>Gusthuissteeg 17</v>
      </c>
      <c r="I378" s="6" t="str">
        <f>IFERROR(__xludf.DUMMYFUNCTION("""COMPUTED_VALUE"""),"1441BJ")</f>
        <v>1441BJ</v>
      </c>
      <c r="J378" s="6" t="str">
        <f>IFERROR(__xludf.DUMMYFUNCTION("""COMPUTED_VALUE"""),"PURMEREND")</f>
        <v>PURMEREND</v>
      </c>
      <c r="K378" s="6" t="str">
        <f>IFERROR(__xludf.DUMMYFUNCTION("""COMPUTED_VALUE"""),"Nederland")</f>
        <v>Nederland</v>
      </c>
      <c r="L378" s="6" t="str">
        <f>IFERROR(__xludf.DUMMYFUNCTION("""COMPUTED_VALUE"""),"Матески")</f>
        <v>Матески</v>
      </c>
      <c r="M378" s="8">
        <f>IFERROR(__xludf.DUMMYFUNCTION("""COMPUTED_VALUE"""),43926.0)</f>
        <v>43926</v>
      </c>
      <c r="N378" s="6" t="str">
        <f>IFERROR(__xludf.DUMMYFUNCTION("""COMPUTED_VALUE"""),"NL280799408B01")</f>
        <v>NL280799408B01</v>
      </c>
      <c r="O378" s="6">
        <f>IFERROR(__xludf.DUMMYFUNCTION("""COMPUTED_VALUE"""),7.7833538E7)</f>
        <v>77833538</v>
      </c>
      <c r="P378" s="6" t="str">
        <f>IFERROR(__xludf.DUMMYFUNCTION("""COMPUTED_VALUE"""),"NL70INGB0007467566")</f>
        <v>NL70INGB0007467566</v>
      </c>
      <c r="Q378" s="9">
        <f>IFERROR(__xludf.DUMMYFUNCTION("""COMPUTED_VALUE"""),43926.0)</f>
        <v>43926</v>
      </c>
      <c r="R378" s="6"/>
      <c r="S378" s="6" t="str">
        <f>IFERROR(__xludf.DUMMYFUNCTION("""COMPUTED_VALUE"""),"NL003245297B70")</f>
        <v>NL003245297B70</v>
      </c>
      <c r="T378" s="6">
        <f>IFERROR(__xludf.DUMMYFUNCTION("""COMPUTED_VALUE"""),2.80799408E8)</f>
        <v>280799408</v>
      </c>
      <c r="U378" s="7" t="str">
        <f>IFERROR(__xludf.DUMMYFUNCTION("""COMPUTED_VALUE"""),"Eenmanszaak")</f>
        <v>Eenmanszaak</v>
      </c>
      <c r="V378" s="7" t="str">
        <f>IFERROR(__xludf.DUMMYFUNCTION("""COMPUTED_VALUE"""),"000045501718")</f>
        <v>000045501718</v>
      </c>
      <c r="W378" s="6" t="str">
        <f>IFERROR(__xludf.DUMMYFUNCTION("""COMPUTED_VALUE"""),"ink.rangobouw.2288aa@zarabota.nl")</f>
        <v>ink.rangobouw.2288aa@zarabota.nl</v>
      </c>
      <c r="X378" s="6" t="str">
        <f>IFERROR(__xludf.DUMMYFUNCTION("""COMPUTED_VALUE"""),"ver.rangobouw.2288aa@zarabota.nl")</f>
        <v>ver.rangobouw.2288aa@zarabota.nl</v>
      </c>
      <c r="Y378" s="6" t="str">
        <f>IFERROR(__xludf.DUMMYFUNCTION("""COMPUTED_VALUE"""),"Hr.")</f>
        <v>Hr.</v>
      </c>
      <c r="Z378" s="6" t="str">
        <f>IFERROR(__xludf.DUMMYFUNCTION("""COMPUTED_VALUE"""),"Goran")</f>
        <v>Goran</v>
      </c>
      <c r="AA378" s="6" t="str">
        <f>IFERROR(__xludf.DUMMYFUNCTION("""COMPUTED_VALUE"""),"Mateski")</f>
        <v>Mateski</v>
      </c>
      <c r="AB378" s="6" t="str">
        <f>IFERROR(__xludf.DUMMYFUNCTION("""COMPUTED_VALUE"""),"G.")</f>
        <v>G.</v>
      </c>
      <c r="AC378" s="6">
        <f>IFERROR(__xludf.DUMMYFUNCTION("""COMPUTED_VALUE"""),2.80799408E8)</f>
        <v>280799408</v>
      </c>
      <c r="AD378" s="9">
        <f>IFERROR(__xludf.DUMMYFUNCTION("""COMPUTED_VALUE"""),31016.0)</f>
        <v>31016</v>
      </c>
      <c r="AE378" s="6" t="str">
        <f>IFERROR(__xludf.DUMMYFUNCTION("""COMPUTED_VALUE"""),"mc")</f>
        <v>mc</v>
      </c>
      <c r="AF378" s="6"/>
      <c r="AG378" s="6" t="str">
        <f>IFERROR(__xludf.DUMMYFUNCTION("""COMPUTED_VALUE"""),"Hr. G. Mateski")</f>
        <v>Hr. G. Mateski</v>
      </c>
      <c r="AH378" s="6"/>
      <c r="AI378" s="6"/>
      <c r="AJ378" s="6"/>
      <c r="AK378" s="6"/>
      <c r="AL378" s="6"/>
      <c r="AM378" s="6" t="str">
        <f>IFERROR(__xludf.DUMMYFUNCTION("""COMPUTED_VALUE"""),"Noord-Macedonië")</f>
        <v>Noord-Macedonië</v>
      </c>
      <c r="AN378" s="6" t="str">
        <f>IFERROR(__xludf.DUMMYFUNCTION("""COMPUTED_VALUE"""),"Goran Mateski")</f>
        <v>Goran Mateski</v>
      </c>
      <c r="AO378" s="6"/>
    </row>
    <row r="379">
      <c r="A379" s="6" t="str">
        <f>IFERROR(__xludf.DUMMYFUNCTION("""COMPUTED_VALUE"""),"Ratal Bouw")</f>
        <v>Ratal Bouw</v>
      </c>
      <c r="B379" s="6" t="str">
        <f>IFERROR(__xludf.DUMMYFUNCTION("""COMPUTED_VALUE"""),"Ratal Bouw")</f>
        <v>Ratal Bouw</v>
      </c>
      <c r="C379" s="6">
        <f>IFERROR(__xludf.DUMMYFUNCTION("""COMPUTED_VALUE"""),1535.0)</f>
        <v>1535</v>
      </c>
      <c r="D379" s="7" t="str">
        <f>IFERROR(__xludf.DUMMYFUNCTION("""COMPUTED_VALUE"""),"Oleh Ratalskyi")</f>
        <v>Oleh Ratalskyi</v>
      </c>
      <c r="E379" s="7" t="str">
        <f>IFERROR(__xludf.DUMMYFUNCTION("""COMPUTED_VALUE"""),"SBI-code: 4120 - Algemene burgerlijke en utiliteitsbouw")</f>
        <v>SBI-code: 4120 - Algemene burgerlijke en utiliteitsbouw</v>
      </c>
      <c r="F379" s="7" t="str">
        <f>IFERROR(__xludf.DUMMYFUNCTION("""COMPUTED_VALUE"""),"0687669034")</f>
        <v>0687669034</v>
      </c>
      <c r="G379" s="6" t="str">
        <f>IFERROR(__xludf.DUMMYFUNCTION("""COMPUTED_VALUE"""),"ratalsky@icloud.com")</f>
        <v>ratalsky@icloud.com</v>
      </c>
      <c r="H379" s="6" t="str">
        <f>IFERROR(__xludf.DUMMYFUNCTION("""COMPUTED_VALUE"""),"Pompe van Meerdervoortstraat 15")</f>
        <v>Pompe van Meerdervoortstraat 15</v>
      </c>
      <c r="I379" s="6" t="str">
        <f>IFERROR(__xludf.DUMMYFUNCTION("""COMPUTED_VALUE"""),"2691CA")</f>
        <v>2691CA</v>
      </c>
      <c r="J379" s="6" t="str">
        <f>IFERROR(__xludf.DUMMYFUNCTION("""COMPUTED_VALUE"""),"s-Gravenzande")</f>
        <v>s-Gravenzande</v>
      </c>
      <c r="K379" s="6" t="str">
        <f>IFERROR(__xludf.DUMMYFUNCTION("""COMPUTED_VALUE"""),"Nederland")</f>
        <v>Nederland</v>
      </c>
      <c r="L379" s="6" t="str">
        <f>IFERROR(__xludf.DUMMYFUNCTION("""COMPUTED_VALUE"""),"Ратальский")</f>
        <v>Ратальский</v>
      </c>
      <c r="M379" s="8">
        <f>IFERROR(__xludf.DUMMYFUNCTION("""COMPUTED_VALUE"""),45172.0)</f>
        <v>45172</v>
      </c>
      <c r="N379" s="6" t="str">
        <f>IFERROR(__xludf.DUMMYFUNCTION("""COMPUTED_VALUE"""),"NL555281401B01")</f>
        <v>NL555281401B01</v>
      </c>
      <c r="O379" s="6">
        <f>IFERROR(__xludf.DUMMYFUNCTION("""COMPUTED_VALUE"""),9.1327458E7)</f>
        <v>91327458</v>
      </c>
      <c r="P379" s="6" t="str">
        <f>IFERROR(__xludf.DUMMYFUNCTION("""COMPUTED_VALUE"""),"NL88INGB0103655255")</f>
        <v>NL88INGB0103655255</v>
      </c>
      <c r="Q379" s="9">
        <f>IFERROR(__xludf.DUMMYFUNCTION("""COMPUTED_VALUE"""),45172.0)</f>
        <v>45172</v>
      </c>
      <c r="R379" s="6"/>
      <c r="S379" s="6" t="str">
        <f>IFERROR(__xludf.DUMMYFUNCTION("""COMPUTED_VALUE"""),"NL004883351B32")</f>
        <v>NL004883351B32</v>
      </c>
      <c r="T379" s="6">
        <f>IFERROR(__xludf.DUMMYFUNCTION("""COMPUTED_VALUE"""),5.55281401E8)</f>
        <v>555281401</v>
      </c>
      <c r="U379" s="7" t="str">
        <f>IFERROR(__xludf.DUMMYFUNCTION("""COMPUTED_VALUE"""),"Eenmanszaak")</f>
        <v>Eenmanszaak</v>
      </c>
      <c r="V379" s="7" t="str">
        <f>IFERROR(__xludf.DUMMYFUNCTION("""COMPUTED_VALUE"""),"000057010137")</f>
        <v>000057010137</v>
      </c>
      <c r="W379" s="6" t="str">
        <f>IFERROR(__xludf.DUMMYFUNCTION("""COMPUTED_VALUE"""),"ink.ratalbouw.2288aa@zarabota.nl")</f>
        <v>ink.ratalbouw.2288aa@zarabota.nl</v>
      </c>
      <c r="X379" s="6" t="str">
        <f>IFERROR(__xludf.DUMMYFUNCTION("""COMPUTED_VALUE"""),"ver.ratalbouw.2288aa@zarabota.nl")</f>
        <v>ver.ratalbouw.2288aa@zarabota.nl</v>
      </c>
      <c r="Y379" s="6" t="str">
        <f>IFERROR(__xludf.DUMMYFUNCTION("""COMPUTED_VALUE"""),"Hr.")</f>
        <v>Hr.</v>
      </c>
      <c r="Z379" s="6" t="str">
        <f>IFERROR(__xludf.DUMMYFUNCTION("""COMPUTED_VALUE"""),"Oleh")</f>
        <v>Oleh</v>
      </c>
      <c r="AA379" s="6" t="str">
        <f>IFERROR(__xludf.DUMMYFUNCTION("""COMPUTED_VALUE"""),"Ratalskyi")</f>
        <v>Ratalskyi</v>
      </c>
      <c r="AB379" s="6" t="str">
        <f>IFERROR(__xludf.DUMMYFUNCTION("""COMPUTED_VALUE"""),"O.")</f>
        <v>O.</v>
      </c>
      <c r="AC379" s="6">
        <f>IFERROR(__xludf.DUMMYFUNCTION("""COMPUTED_VALUE"""),5.55281401E8)</f>
        <v>555281401</v>
      </c>
      <c r="AD379" s="9">
        <f>IFERROR(__xludf.DUMMYFUNCTION("""COMPUTED_VALUE"""),32509.0)</f>
        <v>32509</v>
      </c>
      <c r="AE379" s="6" t="str">
        <f>IFERROR(__xludf.DUMMYFUNCTION("""COMPUTED_VALUE"""),"ru")</f>
        <v>ru</v>
      </c>
      <c r="AF379" s="6"/>
      <c r="AG379" s="6" t="str">
        <f>IFERROR(__xludf.DUMMYFUNCTION("""COMPUTED_VALUE"""),"Hr. O. Ratalskyi")</f>
        <v>Hr. O. Ratalskyi</v>
      </c>
      <c r="AH379" s="6"/>
      <c r="AI379" s="9">
        <f>IFERROR(__xludf.DUMMYFUNCTION("""COMPUTED_VALUE"""),45152.0)</f>
        <v>45152</v>
      </c>
      <c r="AJ379" s="6" t="str">
        <f>IFERROR(__xludf.DUMMYFUNCTION("""COMPUTED_VALUE"""),"Paspoort")</f>
        <v>Paspoort</v>
      </c>
      <c r="AK379" s="6" t="str">
        <f>IFERROR(__xludf.DUMMYFUNCTION("""COMPUTED_VALUE"""),"FZ748957")</f>
        <v>FZ748957</v>
      </c>
      <c r="AL379" s="9">
        <f>IFERROR(__xludf.DUMMYFUNCTION("""COMPUTED_VALUE"""),47860.0)</f>
        <v>47860</v>
      </c>
      <c r="AM379" s="6" t="str">
        <f>IFERROR(__xludf.DUMMYFUNCTION("""COMPUTED_VALUE"""),"Oekraïne")</f>
        <v>Oekraïne</v>
      </c>
      <c r="AN379" s="6" t="str">
        <f>IFERROR(__xludf.DUMMYFUNCTION("""COMPUTED_VALUE"""),"Oleh Ratalskyi")</f>
        <v>Oleh Ratalskyi</v>
      </c>
      <c r="AO379" s="6">
        <f>IFERROR(__xludf.DUMMYFUNCTION("""COMPUTED_VALUE"""),1535.0)</f>
        <v>1535</v>
      </c>
    </row>
    <row r="380">
      <c r="A380" s="6" t="str">
        <f>IFERROR(__xludf.DUMMYFUNCTION("""COMPUTED_VALUE"""),"Recht Totaal Afbouw B.V.")</f>
        <v>Recht Totaal Afbouw B.V.</v>
      </c>
      <c r="B380" s="6" t="str">
        <f>IFERROR(__xludf.DUMMYFUNCTION("""COMPUTED_VALUE"""),"Recht Totaal Afbouw B.V. - GEEN 2026")</f>
        <v>Recht Totaal Afbouw B.V. - GEEN 2026</v>
      </c>
      <c r="C380" s="6">
        <f>IFERROR(__xludf.DUMMYFUNCTION("""COMPUTED_VALUE"""),1425.0)</f>
        <v>1425</v>
      </c>
      <c r="D380" s="7" t="str">
        <f>IFERROR(__xludf.DUMMYFUNCTION("""COMPUTED_VALUE"""),"Zdravko Filipov Bezergyanov")</f>
        <v>Zdravko Filipov Bezergyanov</v>
      </c>
      <c r="E380" s="7" t="str">
        <f>IFERROR(__xludf.DUMMYFUNCTION("""COMPUTED_VALUE"""),"SBI-code: 4120 - Algemene burgerlijke en utiliteitsbouw")</f>
        <v>SBI-code: 4120 - Algemene burgerlijke en utiliteitsbouw</v>
      </c>
      <c r="F380" s="7" t="str">
        <f>IFERROR(__xludf.DUMMYFUNCTION("""COMPUTED_VALUE"""),"0614515595")</f>
        <v>0614515595</v>
      </c>
      <c r="G380" s="6" t="str">
        <f>IFERROR(__xludf.DUMMYFUNCTION("""COMPUTED_VALUE"""),"bulbros@gmail.com")</f>
        <v>bulbros@gmail.com</v>
      </c>
      <c r="H380" s="6" t="str">
        <f>IFERROR(__xludf.DUMMYFUNCTION("""COMPUTED_VALUE"""),"Kruyderlaan 136")</f>
        <v>Kruyderlaan 136</v>
      </c>
      <c r="I380" s="6" t="str">
        <f>IFERROR(__xludf.DUMMYFUNCTION("""COMPUTED_VALUE"""),"3431BT")</f>
        <v>3431BT</v>
      </c>
      <c r="J380" s="6" t="str">
        <f>IFERROR(__xludf.DUMMYFUNCTION("""COMPUTED_VALUE"""),"Nieuwegein")</f>
        <v>Nieuwegein</v>
      </c>
      <c r="K380" s="6" t="str">
        <f>IFERROR(__xludf.DUMMYFUNCTION("""COMPUTED_VALUE"""),"Nederland")</f>
        <v>Nederland</v>
      </c>
      <c r="L380" s="6" t="str">
        <f>IFERROR(__xludf.DUMMYFUNCTION("""COMPUTED_VALUE"""),"Безергянов")</f>
        <v>Безергянов</v>
      </c>
      <c r="M380" s="8">
        <f>IFERROR(__xludf.DUMMYFUNCTION("""COMPUTED_VALUE"""),44853.0)</f>
        <v>44853</v>
      </c>
      <c r="N380" s="6" t="str">
        <f>IFERROR(__xludf.DUMMYFUNCTION("""COMPUTED_VALUE"""),"NL864447097B01")</f>
        <v>NL864447097B01</v>
      </c>
      <c r="O380" s="6">
        <f>IFERROR(__xludf.DUMMYFUNCTION("""COMPUTED_VALUE"""),8.7915677E7)</f>
        <v>87915677</v>
      </c>
      <c r="P380" s="6" t="str">
        <f>IFERROR(__xludf.DUMMYFUNCTION("""COMPUTED_VALUE"""),"NL78INGB0676050689")</f>
        <v>NL78INGB0676050689</v>
      </c>
      <c r="Q380" s="9">
        <f>IFERROR(__xludf.DUMMYFUNCTION("""COMPUTED_VALUE"""),44853.0)</f>
        <v>44853</v>
      </c>
      <c r="R380" s="6"/>
      <c r="S380" s="6" t="str">
        <f>IFERROR(__xludf.DUMMYFUNCTION("""COMPUTED_VALUE"""),"NL864447097B01")</f>
        <v>NL864447097B01</v>
      </c>
      <c r="T380" s="6">
        <f>IFERROR(__xludf.DUMMYFUNCTION("""COMPUTED_VALUE"""),8.64447097E8)</f>
        <v>864447097</v>
      </c>
      <c r="U380" s="7" t="str">
        <f>IFERROR(__xludf.DUMMYFUNCTION("""COMPUTED_VALUE"""),"Besloten Vennootschap")</f>
        <v>Besloten Vennootschap</v>
      </c>
      <c r="V380" s="7" t="str">
        <f>IFERROR(__xludf.DUMMYFUNCTION("""COMPUTED_VALUE"""),"000053805151")</f>
        <v>000053805151</v>
      </c>
      <c r="W380" s="6" t="str">
        <f>IFERROR(__xludf.DUMMYFUNCTION("""COMPUTED_VALUE"""),"ink.rechtafbouw.2288aa@zarabota.nl")</f>
        <v>ink.rechtafbouw.2288aa@zarabota.nl</v>
      </c>
      <c r="X380" s="6" t="str">
        <f>IFERROR(__xludf.DUMMYFUNCTION("""COMPUTED_VALUE"""),"ver.rechtafbouw.2288aa@zarabota.nl")</f>
        <v>ver.rechtafbouw.2288aa@zarabota.nl</v>
      </c>
      <c r="Y380" s="6" t="str">
        <f>IFERROR(__xludf.DUMMYFUNCTION("""COMPUTED_VALUE"""),"Hr.")</f>
        <v>Hr.</v>
      </c>
      <c r="Z380" s="6" t="str">
        <f>IFERROR(__xludf.DUMMYFUNCTION("""COMPUTED_VALUE"""),"Zdravko Filipov")</f>
        <v>Zdravko Filipov</v>
      </c>
      <c r="AA380" s="6" t="str">
        <f>IFERROR(__xludf.DUMMYFUNCTION("""COMPUTED_VALUE"""),"Bezergyanov")</f>
        <v>Bezergyanov</v>
      </c>
      <c r="AB380" s="6" t="str">
        <f>IFERROR(__xludf.DUMMYFUNCTION("""COMPUTED_VALUE"""),"Z.F.")</f>
        <v>Z.F.</v>
      </c>
      <c r="AC380" s="6">
        <f>IFERROR(__xludf.DUMMYFUNCTION("""COMPUTED_VALUE"""),5.16526686E8)</f>
        <v>516526686</v>
      </c>
      <c r="AD380" s="9">
        <f>IFERROR(__xludf.DUMMYFUNCTION("""COMPUTED_VALUE"""),32300.0)</f>
        <v>32300</v>
      </c>
      <c r="AE380" s="6" t="str">
        <f>IFERROR(__xludf.DUMMYFUNCTION("""COMPUTED_VALUE"""),"bg")</f>
        <v>bg</v>
      </c>
      <c r="AF380" s="6" t="str">
        <f>IFERROR(__xludf.DUMMYFUNCTION("""COMPUTED_VALUE"""),"Smolyan")</f>
        <v>Smolyan</v>
      </c>
      <c r="AG380" s="6" t="str">
        <f>IFERROR(__xludf.DUMMYFUNCTION("""COMPUTED_VALUE"""),"Hr. Z.F. Bezergyanov")</f>
        <v>Hr. Z.F. Bezergyanov</v>
      </c>
      <c r="AH380" s="6" t="str">
        <f>IFERROR(__xludf.DUMMYFUNCTION("""COMPUTED_VALUE"""),"NL65INGB0701750006")</f>
        <v>NL65INGB0701750006</v>
      </c>
      <c r="AI380" s="6"/>
      <c r="AJ380" s="6" t="str">
        <f>IFERROR(__xludf.DUMMYFUNCTION("""COMPUTED_VALUE"""),"ID Kaart")</f>
        <v>ID Kaart</v>
      </c>
      <c r="AK380" s="6">
        <f>IFERROR(__xludf.DUMMYFUNCTION("""COMPUTED_VALUE"""),6.44756508E8)</f>
        <v>644756508</v>
      </c>
      <c r="AL380" s="9">
        <f>IFERROR(__xludf.DUMMYFUNCTION("""COMPUTED_VALUE"""),45179.0)</f>
        <v>45179</v>
      </c>
      <c r="AM380" s="6" t="str">
        <f>IFERROR(__xludf.DUMMYFUNCTION("""COMPUTED_VALUE"""),"Bulgarije")</f>
        <v>Bulgarije</v>
      </c>
      <c r="AN380" s="6" t="str">
        <f>IFERROR(__xludf.DUMMYFUNCTION("""COMPUTED_VALUE"""),"Zdravko Filipov Bezergyanov")</f>
        <v>Zdravko Filipov Bezergyanov</v>
      </c>
      <c r="AO380" s="6">
        <f>IFERROR(__xludf.DUMMYFUNCTION("""COMPUTED_VALUE"""),1425.0)</f>
        <v>1425</v>
      </c>
    </row>
    <row r="381">
      <c r="A381" s="6" t="str">
        <f>IFERROR(__xludf.DUMMYFUNCTION("""COMPUTED_VALUE"""),"Recht Totaal B.V")</f>
        <v>Recht Totaal B.V</v>
      </c>
      <c r="B381" s="6" t="str">
        <f>IFERROR(__xludf.DUMMYFUNCTION("""COMPUTED_VALUE"""),"Recht Totaal B.V - GEEN 2026")</f>
        <v>Recht Totaal B.V - GEEN 2026</v>
      </c>
      <c r="C381" s="6">
        <f>IFERROR(__xludf.DUMMYFUNCTION("""COMPUTED_VALUE"""),1424.0)</f>
        <v>1424</v>
      </c>
      <c r="D381" s="7" t="str">
        <f>IFERROR(__xludf.DUMMYFUNCTION("""COMPUTED_VALUE"""),"Zdravko Filipov Bezergyanov")</f>
        <v>Zdravko Filipov Bezergyanov</v>
      </c>
      <c r="E381" s="7" t="str">
        <f>IFERROR(__xludf.DUMMYFUNCTION("""COMPUTED_VALUE"""),"SBI-code: 6420 - Financiële holdings")</f>
        <v>SBI-code: 6420 - Financiële holdings</v>
      </c>
      <c r="F381" s="7" t="str">
        <f>IFERROR(__xludf.DUMMYFUNCTION("""COMPUTED_VALUE"""),"00310614515595")</f>
        <v>00310614515595</v>
      </c>
      <c r="G381" s="6" t="str">
        <f>IFERROR(__xludf.DUMMYFUNCTION("""COMPUTED_VALUE"""),"zdravko@rechtbouwbv.nl")</f>
        <v>zdravko@rechtbouwbv.nl</v>
      </c>
      <c r="H381" s="6" t="str">
        <f>IFERROR(__xludf.DUMMYFUNCTION("""COMPUTED_VALUE"""),"Kruyderlaan 136")</f>
        <v>Kruyderlaan 136</v>
      </c>
      <c r="I381" s="6" t="str">
        <f>IFERROR(__xludf.DUMMYFUNCTION("""COMPUTED_VALUE"""),"3431BT")</f>
        <v>3431BT</v>
      </c>
      <c r="J381" s="6" t="str">
        <f>IFERROR(__xludf.DUMMYFUNCTION("""COMPUTED_VALUE"""),"Nieuwegein")</f>
        <v>Nieuwegein</v>
      </c>
      <c r="K381" s="6" t="str">
        <f>IFERROR(__xludf.DUMMYFUNCTION("""COMPUTED_VALUE"""),"Nederland")</f>
        <v>Nederland</v>
      </c>
      <c r="L381" s="6" t="str">
        <f>IFERROR(__xludf.DUMMYFUNCTION("""COMPUTED_VALUE"""),"Безергянов")</f>
        <v>Безергянов</v>
      </c>
      <c r="M381" s="8">
        <f>IFERROR(__xludf.DUMMYFUNCTION("""COMPUTED_VALUE"""),44853.0)</f>
        <v>44853</v>
      </c>
      <c r="N381" s="6" t="str">
        <f>IFERROR(__xludf.DUMMYFUNCTION("""COMPUTED_VALUE"""),"NL864446561B01")</f>
        <v>NL864446561B01</v>
      </c>
      <c r="O381" s="6">
        <f>IFERROR(__xludf.DUMMYFUNCTION("""COMPUTED_VALUE"""),8.7914026E7)</f>
        <v>87914026</v>
      </c>
      <c r="P381" s="6" t="str">
        <f>IFERROR(__xludf.DUMMYFUNCTION("""COMPUTED_VALUE"""),"NL02INGB0398089051")</f>
        <v>NL02INGB0398089051</v>
      </c>
      <c r="Q381" s="9">
        <f>IFERROR(__xludf.DUMMYFUNCTION("""COMPUTED_VALUE"""),44853.0)</f>
        <v>44853</v>
      </c>
      <c r="R381" s="6"/>
      <c r="S381" s="6" t="str">
        <f>IFERROR(__xludf.DUMMYFUNCTION("""COMPUTED_VALUE"""),"NL864446561B01")</f>
        <v>NL864446561B01</v>
      </c>
      <c r="T381" s="6">
        <f>IFERROR(__xludf.DUMMYFUNCTION("""COMPUTED_VALUE"""),8.64446561E8)</f>
        <v>864446561</v>
      </c>
      <c r="U381" s="7" t="str">
        <f>IFERROR(__xludf.DUMMYFUNCTION("""COMPUTED_VALUE"""),"Besloten Vennootschap")</f>
        <v>Besloten Vennootschap</v>
      </c>
      <c r="V381" s="7" t="str">
        <f>IFERROR(__xludf.DUMMYFUNCTION("""COMPUTED_VALUE"""),"000053803639")</f>
        <v>000053803639</v>
      </c>
      <c r="W381" s="6" t="str">
        <f>IFERROR(__xludf.DUMMYFUNCTION("""COMPUTED_VALUE"""),"ink.rechttotaal.2288aa@zarabota.nl")</f>
        <v>ink.rechttotaal.2288aa@zarabota.nl</v>
      </c>
      <c r="X381" s="6" t="str">
        <f>IFERROR(__xludf.DUMMYFUNCTION("""COMPUTED_VALUE"""),"ver.rechttotaal.2288aa@zarabota.nl")</f>
        <v>ver.rechttotaal.2288aa@zarabota.nl</v>
      </c>
      <c r="Y381" s="6" t="str">
        <f>IFERROR(__xludf.DUMMYFUNCTION("""COMPUTED_VALUE"""),"Hr.")</f>
        <v>Hr.</v>
      </c>
      <c r="Z381" s="6" t="str">
        <f>IFERROR(__xludf.DUMMYFUNCTION("""COMPUTED_VALUE"""),"Zdravko Filipov")</f>
        <v>Zdravko Filipov</v>
      </c>
      <c r="AA381" s="6" t="str">
        <f>IFERROR(__xludf.DUMMYFUNCTION("""COMPUTED_VALUE"""),"Bezergyanov")</f>
        <v>Bezergyanov</v>
      </c>
      <c r="AB381" s="6" t="str">
        <f>IFERROR(__xludf.DUMMYFUNCTION("""COMPUTED_VALUE"""),"Z.F.")</f>
        <v>Z.F.</v>
      </c>
      <c r="AC381" s="6">
        <f>IFERROR(__xludf.DUMMYFUNCTION("""COMPUTED_VALUE"""),5.16526686E8)</f>
        <v>516526686</v>
      </c>
      <c r="AD381" s="9">
        <f>IFERROR(__xludf.DUMMYFUNCTION("""COMPUTED_VALUE"""),32300.0)</f>
        <v>32300</v>
      </c>
      <c r="AE381" s="6" t="str">
        <f>IFERROR(__xludf.DUMMYFUNCTION("""COMPUTED_VALUE"""),"bg")</f>
        <v>bg</v>
      </c>
      <c r="AF381" s="6" t="str">
        <f>IFERROR(__xludf.DUMMYFUNCTION("""COMPUTED_VALUE"""),"Smolyan")</f>
        <v>Smolyan</v>
      </c>
      <c r="AG381" s="6" t="str">
        <f>IFERROR(__xludf.DUMMYFUNCTION("""COMPUTED_VALUE"""),"Hr. Z.F. Bezergyanov")</f>
        <v>Hr. Z.F. Bezergyanov</v>
      </c>
      <c r="AH381" s="6" t="str">
        <f>IFERROR(__xludf.DUMMYFUNCTION("""COMPUTED_VALUE"""),"NL65INGB0701750006")</f>
        <v>NL65INGB0701750006</v>
      </c>
      <c r="AI381" s="6"/>
      <c r="AJ381" s="6" t="str">
        <f>IFERROR(__xludf.DUMMYFUNCTION("""COMPUTED_VALUE"""),"ID Kaart")</f>
        <v>ID Kaart</v>
      </c>
      <c r="AK381" s="6">
        <f>IFERROR(__xludf.DUMMYFUNCTION("""COMPUTED_VALUE"""),6.44756508E8)</f>
        <v>644756508</v>
      </c>
      <c r="AL381" s="9">
        <f>IFERROR(__xludf.DUMMYFUNCTION("""COMPUTED_VALUE"""),45179.0)</f>
        <v>45179</v>
      </c>
      <c r="AM381" s="6" t="str">
        <f>IFERROR(__xludf.DUMMYFUNCTION("""COMPUTED_VALUE"""),"Bulgarije")</f>
        <v>Bulgarije</v>
      </c>
      <c r="AN381" s="6" t="str">
        <f>IFERROR(__xludf.DUMMYFUNCTION("""COMPUTED_VALUE"""),"Zdravko Filipov Bezergyanov")</f>
        <v>Zdravko Filipov Bezergyanov</v>
      </c>
      <c r="AO381" s="6">
        <f>IFERROR(__xludf.DUMMYFUNCTION("""COMPUTED_VALUE"""),1424.0)</f>
        <v>1424</v>
      </c>
    </row>
    <row r="382">
      <c r="A382" s="6" t="str">
        <f>IFERROR(__xludf.DUMMYFUNCTION("""COMPUTED_VALUE"""),"Respect Glasvezel")</f>
        <v>Respect Glasvezel</v>
      </c>
      <c r="B382" s="6" t="str">
        <f>IFERROR(__xludf.DUMMYFUNCTION("""COMPUTED_VALUE"""),"Respect Glasvezel")</f>
        <v>Respect Glasvezel</v>
      </c>
      <c r="C382" s="6">
        <f>IFERROR(__xludf.DUMMYFUNCTION("""COMPUTED_VALUE"""),882.0)</f>
        <v>882</v>
      </c>
      <c r="D382" s="7" t="str">
        <f>IFERROR(__xludf.DUMMYFUNCTION("""COMPUTED_VALUE"""),"Angel Simeonov Marinov")</f>
        <v>Angel Simeonov Marinov</v>
      </c>
      <c r="E382" s="7" t="str">
        <f>IFERROR(__xludf.DUMMYFUNCTION("""COMPUTED_VALUE"""),"SBI-code: 4120 - Algemene burgerlijke en utiliteitsbouw")</f>
        <v>SBI-code: 4120 - Algemene burgerlijke en utiliteitsbouw</v>
      </c>
      <c r="F382" s="7" t="str">
        <f>IFERROR(__xludf.DUMMYFUNCTION("""COMPUTED_VALUE"""),"0684671860")</f>
        <v>0684671860</v>
      </c>
      <c r="G382" s="6" t="str">
        <f>IFERROR(__xludf.DUMMYFUNCTION("""COMPUTED_VALUE"""),"marinovangel94@gmail.com")</f>
        <v>marinovangel94@gmail.com</v>
      </c>
      <c r="H382" s="6" t="str">
        <f>IFERROR(__xludf.DUMMYFUNCTION("""COMPUTED_VALUE"""),"Driebergenstraat 303")</f>
        <v>Driebergenstraat 303</v>
      </c>
      <c r="I382" s="6" t="str">
        <f>IFERROR(__xludf.DUMMYFUNCTION("""COMPUTED_VALUE"""),"2546 BH")</f>
        <v>2546 BH</v>
      </c>
      <c r="J382" s="6" t="str">
        <f>IFERROR(__xludf.DUMMYFUNCTION("""COMPUTED_VALUE"""),"s-Gravenhage")</f>
        <v>s-Gravenhage</v>
      </c>
      <c r="K382" s="6" t="str">
        <f>IFERROR(__xludf.DUMMYFUNCTION("""COMPUTED_VALUE"""),"Nederland")</f>
        <v>Nederland</v>
      </c>
      <c r="L382" s="6" t="str">
        <f>IFERROR(__xludf.DUMMYFUNCTION("""COMPUTED_VALUE"""),"Маринов")</f>
        <v>Маринов</v>
      </c>
      <c r="M382" s="8">
        <f>IFERROR(__xludf.DUMMYFUNCTION("""COMPUTED_VALUE"""),43773.0)</f>
        <v>43773</v>
      </c>
      <c r="N382" s="6" t="str">
        <f>IFERROR(__xludf.DUMMYFUNCTION("""COMPUTED_VALUE"""),"NL549698516B01")</f>
        <v>NL549698516B01</v>
      </c>
      <c r="O382" s="6">
        <f>IFERROR(__xludf.DUMMYFUNCTION("""COMPUTED_VALUE"""),7.648881E7)</f>
        <v>76488810</v>
      </c>
      <c r="P382" s="6" t="str">
        <f>IFERROR(__xludf.DUMMYFUNCTION("""COMPUTED_VALUE"""),"NL37INGB0007862271")</f>
        <v>NL37INGB0007862271</v>
      </c>
      <c r="Q382" s="9">
        <f>IFERROR(__xludf.DUMMYFUNCTION("""COMPUTED_VALUE"""),43773.0)</f>
        <v>43773</v>
      </c>
      <c r="R382" s="6"/>
      <c r="S382" s="6" t="str">
        <f>IFERROR(__xludf.DUMMYFUNCTION("""COMPUTED_VALUE"""),"NL003088122B94")</f>
        <v>NL003088122B94</v>
      </c>
      <c r="T382" s="6">
        <f>IFERROR(__xludf.DUMMYFUNCTION("""COMPUTED_VALUE"""),5.49698516E8)</f>
        <v>549698516</v>
      </c>
      <c r="U382" s="7" t="str">
        <f>IFERROR(__xludf.DUMMYFUNCTION("""COMPUTED_VALUE"""),"Eenmanszaak")</f>
        <v>Eenmanszaak</v>
      </c>
      <c r="V382" s="7" t="str">
        <f>IFERROR(__xludf.DUMMYFUNCTION("""COMPUTED_VALUE"""),"000044267533")</f>
        <v>000044267533</v>
      </c>
      <c r="W382" s="6" t="str">
        <f>IFERROR(__xludf.DUMMYFUNCTION("""COMPUTED_VALUE"""),"ink.respectglasvezel.2288aa@zarabota.nl")</f>
        <v>ink.respectglasvezel.2288aa@zarabota.nl</v>
      </c>
      <c r="X382" s="6" t="str">
        <f>IFERROR(__xludf.DUMMYFUNCTION("""COMPUTED_VALUE"""),"ver.respectglasvezel.2288aa@zarabota.nl")</f>
        <v>ver.respectglasvezel.2288aa@zarabota.nl</v>
      </c>
      <c r="Y382" s="6" t="str">
        <f>IFERROR(__xludf.DUMMYFUNCTION("""COMPUTED_VALUE"""),"Hr.")</f>
        <v>Hr.</v>
      </c>
      <c r="Z382" s="6" t="str">
        <f>IFERROR(__xludf.DUMMYFUNCTION("""COMPUTED_VALUE"""),"Angel Simeonov")</f>
        <v>Angel Simeonov</v>
      </c>
      <c r="AA382" s="6" t="str">
        <f>IFERROR(__xludf.DUMMYFUNCTION("""COMPUTED_VALUE"""),"Marinov")</f>
        <v>Marinov</v>
      </c>
      <c r="AB382" s="6" t="str">
        <f>IFERROR(__xludf.DUMMYFUNCTION("""COMPUTED_VALUE"""),"A S")</f>
        <v>A S</v>
      </c>
      <c r="AC382" s="6">
        <f>IFERROR(__xludf.DUMMYFUNCTION("""COMPUTED_VALUE"""),5.49698516E8)</f>
        <v>549698516</v>
      </c>
      <c r="AD382" s="9">
        <f>IFERROR(__xludf.DUMMYFUNCTION("""COMPUTED_VALUE"""),34462.0)</f>
        <v>34462</v>
      </c>
      <c r="AE382" s="6" t="str">
        <f>IFERROR(__xludf.DUMMYFUNCTION("""COMPUTED_VALUE"""),"bg")</f>
        <v>bg</v>
      </c>
      <c r="AF382" s="6" t="str">
        <f>IFERROR(__xludf.DUMMYFUNCTION("""COMPUTED_VALUE"""),"Haskovo")</f>
        <v>Haskovo</v>
      </c>
      <c r="AG382" s="6" t="str">
        <f>IFERROR(__xludf.DUMMYFUNCTION("""COMPUTED_VALUE"""),"Hr. A S Marinov")</f>
        <v>Hr. A S Marinov</v>
      </c>
      <c r="AH382" s="6" t="str">
        <f>IFERROR(__xludf.DUMMYFUNCTION("""COMPUTED_VALUE"""),"NL47INGB0652500714")</f>
        <v>NL47INGB0652500714</v>
      </c>
      <c r="AI382" s="9">
        <f>IFERROR(__xludf.DUMMYFUNCTION("""COMPUTED_VALUE"""),43773.0)</f>
        <v>43773</v>
      </c>
      <c r="AJ382" s="6" t="str">
        <f>IFERROR(__xludf.DUMMYFUNCTION("""COMPUTED_VALUE"""),"ID Kaart")</f>
        <v>ID Kaart</v>
      </c>
      <c r="AK382" s="6">
        <f>IFERROR(__xludf.DUMMYFUNCTION("""COMPUTED_VALUE"""),6.45779729E8)</f>
        <v>645779729</v>
      </c>
      <c r="AL382" s="9">
        <f>IFERROR(__xludf.DUMMYFUNCTION("""COMPUTED_VALUE"""),45774.0)</f>
        <v>45774</v>
      </c>
      <c r="AM382" s="6"/>
      <c r="AN382" s="6" t="str">
        <f>IFERROR(__xludf.DUMMYFUNCTION("""COMPUTED_VALUE"""),"Angel Simeonov Marinov")</f>
        <v>Angel Simeonov Marinov</v>
      </c>
      <c r="AO382" s="6"/>
    </row>
    <row r="383">
      <c r="A383" s="6" t="str">
        <f>IFERROR(__xludf.DUMMYFUNCTION("""COMPUTED_VALUE"""),"Richi 96")</f>
        <v>Richi 96</v>
      </c>
      <c r="B383" s="6" t="str">
        <f>IFERROR(__xludf.DUMMYFUNCTION("""COMPUTED_VALUE"""),"Richi 96")</f>
        <v>Richi 96</v>
      </c>
      <c r="C383" s="6">
        <f>IFERROR(__xludf.DUMMYFUNCTION("""COMPUTED_VALUE"""),929.0)</f>
        <v>929</v>
      </c>
      <c r="D383" s="7" t="str">
        <f>IFERROR(__xludf.DUMMYFUNCTION("""COMPUTED_VALUE"""),"Mitko Raykov Ognyanov")</f>
        <v>Mitko Raykov Ognyanov</v>
      </c>
      <c r="E383" s="7" t="str">
        <f>IFERROR(__xludf.DUMMYFUNCTION("""COMPUTED_VALUE"""),"SBI-code: 4120 - Algemene burgerlijke en utiliteitsbouw")</f>
        <v>SBI-code: 4120 - Algemene burgerlijke en utiliteitsbouw</v>
      </c>
      <c r="F383" s="7" t="str">
        <f>IFERROR(__xludf.DUMMYFUNCTION("""COMPUTED_VALUE"""),"0684632609")</f>
        <v>0684632609</v>
      </c>
      <c r="G383" s="6" t="str">
        <f>IFERROR(__xludf.DUMMYFUNCTION("""COMPUTED_VALUE"""),"mitko_ognyanov@abv.bg")</f>
        <v>mitko_ognyanov@abv.bg</v>
      </c>
      <c r="H383" s="6" t="str">
        <f>IFERROR(__xludf.DUMMYFUNCTION("""COMPUTED_VALUE"""),"Staverdenstraat 22")</f>
        <v>Staverdenstraat 22</v>
      </c>
      <c r="I383" s="6" t="str">
        <f>IFERROR(__xludf.DUMMYFUNCTION("""COMPUTED_VALUE"""),"2573DD")</f>
        <v>2573DD</v>
      </c>
      <c r="J383" s="6" t="str">
        <f>IFERROR(__xludf.DUMMYFUNCTION("""COMPUTED_VALUE"""),"s-Gravenhage")</f>
        <v>s-Gravenhage</v>
      </c>
      <c r="K383" s="6" t="str">
        <f>IFERROR(__xludf.DUMMYFUNCTION("""COMPUTED_VALUE"""),"Nederland")</f>
        <v>Nederland</v>
      </c>
      <c r="L383" s="6" t="str">
        <f>IFERROR(__xludf.DUMMYFUNCTION("""COMPUTED_VALUE"""),"Огнянов")</f>
        <v>Огнянов</v>
      </c>
      <c r="M383" s="8">
        <f>IFERROR(__xludf.DUMMYFUNCTION("""COMPUTED_VALUE"""),43891.0)</f>
        <v>43891</v>
      </c>
      <c r="N383" s="6" t="str">
        <f>IFERROR(__xludf.DUMMYFUNCTION("""COMPUTED_VALUE"""),"NL447176110B01")</f>
        <v>NL447176110B01</v>
      </c>
      <c r="O383" s="6">
        <f>IFERROR(__xludf.DUMMYFUNCTION("""COMPUTED_VALUE"""),7.7573838E7)</f>
        <v>77573838</v>
      </c>
      <c r="P383" s="6" t="str">
        <f>IFERROR(__xludf.DUMMYFUNCTION("""COMPUTED_VALUE"""),"NL73INGB0007931948")</f>
        <v>NL73INGB0007931948</v>
      </c>
      <c r="Q383" s="9">
        <f>IFERROR(__xludf.DUMMYFUNCTION("""COMPUTED_VALUE"""),43891.0)</f>
        <v>43891</v>
      </c>
      <c r="R383" s="6"/>
      <c r="S383" s="6" t="str">
        <f>IFERROR(__xludf.DUMMYFUNCTION("""COMPUTED_VALUE"""),"NL003209620B93")</f>
        <v>NL003209620B93</v>
      </c>
      <c r="T383" s="6">
        <f>IFERROR(__xludf.DUMMYFUNCTION("""COMPUTED_VALUE"""),4.4717611E8)</f>
        <v>447176110</v>
      </c>
      <c r="U383" s="7" t="str">
        <f>IFERROR(__xludf.DUMMYFUNCTION("""COMPUTED_VALUE"""),"Eenmanszaak")</f>
        <v>Eenmanszaak</v>
      </c>
      <c r="V383" s="7" t="str">
        <f>IFERROR(__xludf.DUMMYFUNCTION("""COMPUTED_VALUE"""),"000045268258")</f>
        <v>000045268258</v>
      </c>
      <c r="W383" s="6" t="str">
        <f>IFERROR(__xludf.DUMMYFUNCTION("""COMPUTED_VALUE"""),"ink.richi96.2288aa@zarabota.nl")</f>
        <v>ink.richi96.2288aa@zarabota.nl</v>
      </c>
      <c r="X383" s="6" t="str">
        <f>IFERROR(__xludf.DUMMYFUNCTION("""COMPUTED_VALUE"""),"ver.richi96.2288aa@zarabota.nl")</f>
        <v>ver.richi96.2288aa@zarabota.nl</v>
      </c>
      <c r="Y383" s="6" t="str">
        <f>IFERROR(__xludf.DUMMYFUNCTION("""COMPUTED_VALUE"""),"Hr.")</f>
        <v>Hr.</v>
      </c>
      <c r="Z383" s="6" t="str">
        <f>IFERROR(__xludf.DUMMYFUNCTION("""COMPUTED_VALUE"""),"Mitko Raykov")</f>
        <v>Mitko Raykov</v>
      </c>
      <c r="AA383" s="6" t="str">
        <f>IFERROR(__xludf.DUMMYFUNCTION("""COMPUTED_VALUE"""),"Ognyanov")</f>
        <v>Ognyanov</v>
      </c>
      <c r="AB383" s="6" t="str">
        <f>IFERROR(__xludf.DUMMYFUNCTION("""COMPUTED_VALUE"""),"M.R.")</f>
        <v>M.R.</v>
      </c>
      <c r="AC383" s="6">
        <f>IFERROR(__xludf.DUMMYFUNCTION("""COMPUTED_VALUE"""),4.4717611E8)</f>
        <v>447176110</v>
      </c>
      <c r="AD383" s="9">
        <f>IFERROR(__xludf.DUMMYFUNCTION("""COMPUTED_VALUE"""),26611.0)</f>
        <v>26611</v>
      </c>
      <c r="AE383" s="6" t="str">
        <f>IFERROR(__xludf.DUMMYFUNCTION("""COMPUTED_VALUE"""),"bg")</f>
        <v>bg</v>
      </c>
      <c r="AF383" s="6" t="str">
        <f>IFERROR(__xludf.DUMMYFUNCTION("""COMPUTED_VALUE"""),"Nova Zagora")</f>
        <v>Nova Zagora</v>
      </c>
      <c r="AG383" s="6" t="str">
        <f>IFERROR(__xludf.DUMMYFUNCTION("""COMPUTED_VALUE"""),"Hr. M.R. Ognyanov")</f>
        <v>Hr. M.R. Ognyanov</v>
      </c>
      <c r="AH383" s="6" t="str">
        <f>IFERROR(__xludf.DUMMYFUNCTION("""COMPUTED_VALUE"""),"NL54INGB0797480668")</f>
        <v>NL54INGB0797480668</v>
      </c>
      <c r="AI383" s="9">
        <f>IFERROR(__xludf.DUMMYFUNCTION("""COMPUTED_VALUE"""),43886.0)</f>
        <v>43886</v>
      </c>
      <c r="AJ383" s="6" t="str">
        <f>IFERROR(__xludf.DUMMYFUNCTION("""COMPUTED_VALUE"""),"ID Kaart")</f>
        <v>ID Kaart</v>
      </c>
      <c r="AK383" s="6">
        <f>IFERROR(__xludf.DUMMYFUNCTION("""COMPUTED_VALUE"""),6.43130867E8)</f>
        <v>643130867</v>
      </c>
      <c r="AL383" s="9">
        <f>IFERROR(__xludf.DUMMYFUNCTION("""COMPUTED_VALUE"""),44202.0)</f>
        <v>44202</v>
      </c>
      <c r="AM383" s="6" t="str">
        <f>IFERROR(__xludf.DUMMYFUNCTION("""COMPUTED_VALUE"""),"Bulgarije")</f>
        <v>Bulgarije</v>
      </c>
      <c r="AN383" s="6" t="str">
        <f>IFERROR(__xludf.DUMMYFUNCTION("""COMPUTED_VALUE"""),"Mitko Raykov Ognyanov")</f>
        <v>Mitko Raykov Ognyanov</v>
      </c>
      <c r="AO383" s="6"/>
    </row>
    <row r="384">
      <c r="A384" s="6" t="str">
        <f>IFERROR(__xludf.DUMMYFUNCTION("""COMPUTED_VALUE"""),"Rilko 78")</f>
        <v>Rilko 78</v>
      </c>
      <c r="B384" s="6" t="str">
        <f>IFERROR(__xludf.DUMMYFUNCTION("""COMPUTED_VALUE"""),"Rilko 78")</f>
        <v>Rilko 78</v>
      </c>
      <c r="C384" s="6">
        <f>IFERROR(__xludf.DUMMYFUNCTION("""COMPUTED_VALUE"""),1061.0)</f>
        <v>1061</v>
      </c>
      <c r="D384" s="7" t="str">
        <f>IFERROR(__xludf.DUMMYFUNCTION("""COMPUTED_VALUE"""),"Rilko Emilov Shopov")</f>
        <v>Rilko Emilov Shopov</v>
      </c>
      <c r="E384" s="7" t="str">
        <f>IFERROR(__xludf.DUMMYFUNCTION("""COMPUTED_VALUE"""),"SBI-code: 4120 - Algemene burgerlijke en utiliteitsbouw")</f>
        <v>SBI-code: 4120 - Algemene burgerlijke en utiliteitsbouw</v>
      </c>
      <c r="F384" s="7" t="str">
        <f>IFERROR(__xludf.DUMMYFUNCTION("""COMPUTED_VALUE"""),"0622886030")</f>
        <v>0622886030</v>
      </c>
      <c r="G384" s="6" t="str">
        <f>IFERROR(__xludf.DUMMYFUNCTION("""COMPUTED_VALUE"""),"rilko7809@gmail.com")</f>
        <v>rilko7809@gmail.com</v>
      </c>
      <c r="H384" s="6" t="str">
        <f>IFERROR(__xludf.DUMMYFUNCTION("""COMPUTED_VALUE"""),"De Constant Rebecquestr. 44")</f>
        <v>De Constant Rebecquestr. 44</v>
      </c>
      <c r="I384" s="6" t="str">
        <f>IFERROR(__xludf.DUMMYFUNCTION("""COMPUTED_VALUE"""),"2518 RE")</f>
        <v>2518 RE</v>
      </c>
      <c r="J384" s="6" t="str">
        <f>IFERROR(__xludf.DUMMYFUNCTION("""COMPUTED_VALUE"""),"s-Gravenhage")</f>
        <v>s-Gravenhage</v>
      </c>
      <c r="K384" s="6" t="str">
        <f>IFERROR(__xludf.DUMMYFUNCTION("""COMPUTED_VALUE"""),"Nederland")</f>
        <v>Nederland</v>
      </c>
      <c r="L384" s="6" t="str">
        <f>IFERROR(__xludf.DUMMYFUNCTION("""COMPUTED_VALUE"""),"Шопов")</f>
        <v>Шопов</v>
      </c>
      <c r="M384" s="8">
        <f>IFERROR(__xludf.DUMMYFUNCTION("""COMPUTED_VALUE"""),45658.0)</f>
        <v>45658</v>
      </c>
      <c r="N384" s="6" t="str">
        <f>IFERROR(__xludf.DUMMYFUNCTION("""COMPUTED_VALUE"""),"NL377337158B02")</f>
        <v>NL377337158B02</v>
      </c>
      <c r="O384" s="6">
        <f>IFERROR(__xludf.DUMMYFUNCTION("""COMPUTED_VALUE"""),9.6139188E7)</f>
        <v>96139188</v>
      </c>
      <c r="P384" s="6" t="str">
        <f>IFERROR(__xludf.DUMMYFUNCTION("""COMPUTED_VALUE"""),"NL32INGB0008343675")</f>
        <v>NL32INGB0008343675</v>
      </c>
      <c r="Q384" s="9">
        <f>IFERROR(__xludf.DUMMYFUNCTION("""COMPUTED_VALUE"""),45658.0)</f>
        <v>45658</v>
      </c>
      <c r="R384" s="6"/>
      <c r="S384" s="6" t="str">
        <f>IFERROR(__xludf.DUMMYFUNCTION("""COMPUTED_VALUE"""),"NL005193431B02")</f>
        <v>NL005193431B02</v>
      </c>
      <c r="T384" s="6">
        <f>IFERROR(__xludf.DUMMYFUNCTION("""COMPUTED_VALUE"""),3.77337158E8)</f>
        <v>377337158</v>
      </c>
      <c r="U384" s="7" t="str">
        <f>IFERROR(__xludf.DUMMYFUNCTION("""COMPUTED_VALUE"""),"Vennootschap Onder Firma")</f>
        <v>Vennootschap Onder Firma</v>
      </c>
      <c r="V384" s="7" t="str">
        <f>IFERROR(__xludf.DUMMYFUNCTION("""COMPUTED_VALUE"""),"000040697959")</f>
        <v>000040697959</v>
      </c>
      <c r="W384" s="6" t="str">
        <f>IFERROR(__xludf.DUMMYFUNCTION("""COMPUTED_VALUE"""),"ink.rilko78vof.2288aa@zarabota.nl")</f>
        <v>ink.rilko78vof.2288aa@zarabota.nl</v>
      </c>
      <c r="X384" s="6" t="str">
        <f>IFERROR(__xludf.DUMMYFUNCTION("""COMPUTED_VALUE"""),"ver.rilko78vof.2288aa@zarabota.nl")</f>
        <v>ver.rilko78vof.2288aa@zarabota.nl</v>
      </c>
      <c r="Y384" s="6" t="str">
        <f>IFERROR(__xludf.DUMMYFUNCTION("""COMPUTED_VALUE"""),"Hr.")</f>
        <v>Hr.</v>
      </c>
      <c r="Z384" s="6" t="str">
        <f>IFERROR(__xludf.DUMMYFUNCTION("""COMPUTED_VALUE"""),"Rilko Emilov")</f>
        <v>Rilko Emilov</v>
      </c>
      <c r="AA384" s="6" t="str">
        <f>IFERROR(__xludf.DUMMYFUNCTION("""COMPUTED_VALUE"""),"Shopov")</f>
        <v>Shopov</v>
      </c>
      <c r="AB384" s="6" t="str">
        <f>IFERROR(__xludf.DUMMYFUNCTION("""COMPUTED_VALUE"""),"R.E.")</f>
        <v>R.E.</v>
      </c>
      <c r="AC384" s="6">
        <f>IFERROR(__xludf.DUMMYFUNCTION("""COMPUTED_VALUE"""),3.77337158E8)</f>
        <v>377337158</v>
      </c>
      <c r="AD384" s="9">
        <f>IFERROR(__xludf.DUMMYFUNCTION("""COMPUTED_VALUE"""),28762.0)</f>
        <v>28762</v>
      </c>
      <c r="AE384" s="6" t="str">
        <f>IFERROR(__xludf.DUMMYFUNCTION("""COMPUTED_VALUE"""),"bg")</f>
        <v>bg</v>
      </c>
      <c r="AF384" s="6" t="str">
        <f>IFERROR(__xludf.DUMMYFUNCTION("""COMPUTED_VALUE"""),"Smolyan")</f>
        <v>Smolyan</v>
      </c>
      <c r="AG384" s="6" t="str">
        <f>IFERROR(__xludf.DUMMYFUNCTION("""COMPUTED_VALUE"""),"Hr. R.E. Shopov")</f>
        <v>Hr. R.E. Shopov</v>
      </c>
      <c r="AH384" s="6" t="str">
        <f>IFERROR(__xludf.DUMMYFUNCTION("""COMPUTED_VALUE"""),"NL74INGB0794351476")</f>
        <v>NL74INGB0794351476</v>
      </c>
      <c r="AI384" s="9">
        <f>IFERROR(__xludf.DUMMYFUNCTION("""COMPUTED_VALUE"""),43357.0)</f>
        <v>43357</v>
      </c>
      <c r="AJ384" s="6" t="str">
        <f>IFERROR(__xludf.DUMMYFUNCTION("""COMPUTED_VALUE"""),"ID Kaart")</f>
        <v>ID Kaart</v>
      </c>
      <c r="AK384" s="6">
        <f>IFERROR(__xludf.DUMMYFUNCTION("""COMPUTED_VALUE"""),6.4313643E8)</f>
        <v>643136430</v>
      </c>
      <c r="AL384" s="9">
        <f>IFERROR(__xludf.DUMMYFUNCTION("""COMPUTED_VALUE"""),44467.0)</f>
        <v>44467</v>
      </c>
      <c r="AM384" s="6" t="str">
        <f>IFERROR(__xludf.DUMMYFUNCTION("""COMPUTED_VALUE"""),"Bulgarije")</f>
        <v>Bulgarije</v>
      </c>
      <c r="AN384" s="6" t="str">
        <f>IFERROR(__xludf.DUMMYFUNCTION("""COMPUTED_VALUE"""),"Rilko Emilov Shopov")</f>
        <v>Rilko Emilov Shopov</v>
      </c>
      <c r="AO384" s="6">
        <f>IFERROR(__xludf.DUMMYFUNCTION("""COMPUTED_VALUE"""),1061.0)</f>
        <v>1061</v>
      </c>
    </row>
    <row r="385">
      <c r="A385" s="6" t="str">
        <f>IFERROR(__xludf.DUMMYFUNCTION("""COMPUTED_VALUE"""),"Rise &amp; Shine with GDB")</f>
        <v>Rise &amp; Shine with GDB</v>
      </c>
      <c r="B385" s="6" t="str">
        <f>IFERROR(__xludf.DUMMYFUNCTION("""COMPUTED_VALUE"""),"Rise &amp; Shine with GDB")</f>
        <v>Rise &amp; Shine with GDB</v>
      </c>
      <c r="C385" s="6">
        <f>IFERROR(__xludf.DUMMYFUNCTION("""COMPUTED_VALUE"""),1013.0)</f>
        <v>1013</v>
      </c>
      <c r="D385" s="7" t="str">
        <f>IFERROR(__xludf.DUMMYFUNCTION("""COMPUTED_VALUE"""),"Gergana Dimitrova Bogdanova")</f>
        <v>Gergana Dimitrova Bogdanova</v>
      </c>
      <c r="E385" s="7" t="str">
        <f>IFERROR(__xludf.DUMMYFUNCTION("""COMPUTED_VALUE"""),"SBI-code: 4120 - Algemene burgerlijke en utiliteitsbouw")</f>
        <v>SBI-code: 4120 - Algemene burgerlijke en utiliteitsbouw</v>
      </c>
      <c r="F385" s="7" t="str">
        <f>IFERROR(__xludf.DUMMYFUNCTION("""COMPUTED_VALUE"""),"0625284008")</f>
        <v>0625284008</v>
      </c>
      <c r="G385" s="6" t="str">
        <f>IFERROR(__xludf.DUMMYFUNCTION("""COMPUTED_VALUE"""),"geribogdanova98@gmail.com")</f>
        <v>geribogdanova98@gmail.com</v>
      </c>
      <c r="H385" s="6" t="str">
        <f>IFERROR(__xludf.DUMMYFUNCTION("""COMPUTED_VALUE"""),"Laan van Bovenduist 206")</f>
        <v>Laan van Bovenduist 206</v>
      </c>
      <c r="I385" s="6" t="str">
        <f>IFERROR(__xludf.DUMMYFUNCTION("""COMPUTED_VALUE"""),"3826JA")</f>
        <v>3826JA</v>
      </c>
      <c r="J385" s="6" t="str">
        <f>IFERROR(__xludf.DUMMYFUNCTION("""COMPUTED_VALUE"""),"Amersfoort")</f>
        <v>Amersfoort</v>
      </c>
      <c r="K385" s="6" t="str">
        <f>IFERROR(__xludf.DUMMYFUNCTION("""COMPUTED_VALUE"""),"Nederland")</f>
        <v>Nederland</v>
      </c>
      <c r="L385" s="6" t="str">
        <f>IFERROR(__xludf.DUMMYFUNCTION("""COMPUTED_VALUE"""),"Богданова")</f>
        <v>Богданова</v>
      </c>
      <c r="M385" s="8">
        <f>IFERROR(__xludf.DUMMYFUNCTION("""COMPUTED_VALUE"""),44044.0)</f>
        <v>44044</v>
      </c>
      <c r="N385" s="6" t="str">
        <f>IFERROR(__xludf.DUMMYFUNCTION("""COMPUTED_VALUE"""),"NL342345217B01")</f>
        <v>NL342345217B01</v>
      </c>
      <c r="O385" s="6">
        <f>IFERROR(__xludf.DUMMYFUNCTION("""COMPUTED_VALUE"""),7.8731038E7)</f>
        <v>78731038</v>
      </c>
      <c r="P385" s="6" t="str">
        <f>IFERROR(__xludf.DUMMYFUNCTION("""COMPUTED_VALUE"""),"NL53INGB0007838994")</f>
        <v>NL53INGB0007838994</v>
      </c>
      <c r="Q385" s="9">
        <f>IFERROR(__xludf.DUMMYFUNCTION("""COMPUTED_VALUE"""),44044.0)</f>
        <v>44044</v>
      </c>
      <c r="R385" s="6"/>
      <c r="S385" s="6" t="str">
        <f>IFERROR(__xludf.DUMMYFUNCTION("""COMPUTED_VALUE"""),"NL003373353B23")</f>
        <v>NL003373353B23</v>
      </c>
      <c r="T385" s="6">
        <f>IFERROR(__xludf.DUMMYFUNCTION("""COMPUTED_VALUE"""),3.42345217E8)</f>
        <v>342345217</v>
      </c>
      <c r="U385" s="7" t="str">
        <f>IFERROR(__xludf.DUMMYFUNCTION("""COMPUTED_VALUE"""),"Eenmanszaak")</f>
        <v>Eenmanszaak</v>
      </c>
      <c r="V385" s="7" t="str">
        <f>IFERROR(__xludf.DUMMYFUNCTION("""COMPUTED_VALUE"""),"000046338055")</f>
        <v>000046338055</v>
      </c>
      <c r="W385" s="6" t="str">
        <f>IFERROR(__xludf.DUMMYFUNCTION("""COMPUTED_VALUE"""),"ink.riseenshine.2288aa@zarabota.nl")</f>
        <v>ink.riseenshine.2288aa@zarabota.nl</v>
      </c>
      <c r="X385" s="6" t="str">
        <f>IFERROR(__xludf.DUMMYFUNCTION("""COMPUTED_VALUE"""),"ver.riseenshine.2288aa@zarabota.nl")</f>
        <v>ver.riseenshine.2288aa@zarabota.nl</v>
      </c>
      <c r="Y385" s="6" t="str">
        <f>IFERROR(__xludf.DUMMYFUNCTION("""COMPUTED_VALUE"""),"Mw.")</f>
        <v>Mw.</v>
      </c>
      <c r="Z385" s="6" t="str">
        <f>IFERROR(__xludf.DUMMYFUNCTION("""COMPUTED_VALUE"""),"Gergana Dimitrova")</f>
        <v>Gergana Dimitrova</v>
      </c>
      <c r="AA385" s="6" t="str">
        <f>IFERROR(__xludf.DUMMYFUNCTION("""COMPUTED_VALUE"""),"Bogdanova")</f>
        <v>Bogdanova</v>
      </c>
      <c r="AB385" s="6" t="str">
        <f>IFERROR(__xludf.DUMMYFUNCTION("""COMPUTED_VALUE"""),"G.D.")</f>
        <v>G.D.</v>
      </c>
      <c r="AC385" s="6">
        <f>IFERROR(__xludf.DUMMYFUNCTION("""COMPUTED_VALUE"""),3.42345217E8)</f>
        <v>342345217</v>
      </c>
      <c r="AD385" s="9">
        <f>IFERROR(__xludf.DUMMYFUNCTION("""COMPUTED_VALUE"""),35895.0)</f>
        <v>35895</v>
      </c>
      <c r="AE385" s="6" t="str">
        <f>IFERROR(__xludf.DUMMYFUNCTION("""COMPUTED_VALUE"""),"bg")</f>
        <v>bg</v>
      </c>
      <c r="AF385" s="6" t="str">
        <f>IFERROR(__xludf.DUMMYFUNCTION("""COMPUTED_VALUE"""),"Burgas")</f>
        <v>Burgas</v>
      </c>
      <c r="AG385" s="6" t="str">
        <f>IFERROR(__xludf.DUMMYFUNCTION("""COMPUTED_VALUE"""),"Mw. G.D. Bogdanova")</f>
        <v>Mw. G.D. Bogdanova</v>
      </c>
      <c r="AH385" s="6"/>
      <c r="AI385" s="6"/>
      <c r="AJ385" s="6" t="str">
        <f>IFERROR(__xludf.DUMMYFUNCTION("""COMPUTED_VALUE"""),"ID Kaart")</f>
        <v>ID Kaart</v>
      </c>
      <c r="AK385" s="6"/>
      <c r="AL385" s="6"/>
      <c r="AM385" s="6" t="str">
        <f>IFERROR(__xludf.DUMMYFUNCTION("""COMPUTED_VALUE"""),"Bulgarije")</f>
        <v>Bulgarije</v>
      </c>
      <c r="AN385" s="6" t="str">
        <f>IFERROR(__xludf.DUMMYFUNCTION("""COMPUTED_VALUE"""),"Gergana Dimitrova Bogdanova")</f>
        <v>Gergana Dimitrova Bogdanova</v>
      </c>
      <c r="AO385" s="6"/>
    </row>
    <row r="386">
      <c r="A386" s="6" t="str">
        <f>IFERROR(__xludf.DUMMYFUNCTION("""COMPUTED_VALUE"""),"ROBERTO KAREKOV")</f>
        <v>ROBERTO KAREKOV</v>
      </c>
      <c r="B386" s="6" t="str">
        <f>IFERROR(__xludf.DUMMYFUNCTION("""COMPUTED_VALUE"""),"ROBERTO KAREKOV")</f>
        <v>ROBERTO KAREKOV</v>
      </c>
      <c r="C386" s="6">
        <f>IFERROR(__xludf.DUMMYFUNCTION("""COMPUTED_VALUE"""),1746.0)</f>
        <v>1746</v>
      </c>
      <c r="D386" s="7" t="str">
        <f>IFERROR(__xludf.DUMMYFUNCTION("""COMPUTED_VALUE"""),"Sabi Malinkov Kostadinov")</f>
        <v>Sabi Malinkov Kostadinov</v>
      </c>
      <c r="E386" s="7" t="str">
        <f>IFERROR(__xludf.DUMMYFUNCTION("""COMPUTED_VALUE"""),"SBI-code: 4120 - Algemene burgerlijke en utiliteitsbouw")</f>
        <v>SBI-code: 4120 - Algemene burgerlijke en utiliteitsbouw</v>
      </c>
      <c r="F386" s="7" t="str">
        <f>IFERROR(__xludf.DUMMYFUNCTION("""COMPUTED_VALUE"""),"0616172763")</f>
        <v>0616172763</v>
      </c>
      <c r="G386" s="6" t="str">
        <f>IFERROR(__xludf.DUMMYFUNCTION("""COMPUTED_VALUE"""),"karekovsabikostadinov@gmail.com")</f>
        <v>karekovsabikostadinov@gmail.com</v>
      </c>
      <c r="H386" s="6" t="str">
        <f>IFERROR(__xludf.DUMMYFUNCTION("""COMPUTED_VALUE"""),"Isaak Hoornbeekstraat 16")</f>
        <v>Isaak Hoornbeekstraat 16</v>
      </c>
      <c r="I386" s="6" t="str">
        <f>IFERROR(__xludf.DUMMYFUNCTION("""COMPUTED_VALUE"""),"2613HH")</f>
        <v>2613HH</v>
      </c>
      <c r="J386" s="6" t="str">
        <f>IFERROR(__xludf.DUMMYFUNCTION("""COMPUTED_VALUE"""),"Delft")</f>
        <v>Delft</v>
      </c>
      <c r="K386" s="6" t="str">
        <f>IFERROR(__xludf.DUMMYFUNCTION("""COMPUTED_VALUE"""),"Nederland")</f>
        <v>Nederland</v>
      </c>
      <c r="L386" s="6" t="str">
        <f>IFERROR(__xludf.DUMMYFUNCTION("""COMPUTED_VALUE"""),"Костадинов")</f>
        <v>Костадинов</v>
      </c>
      <c r="M386" s="8">
        <f>IFERROR(__xludf.DUMMYFUNCTION("""COMPUTED_VALUE"""),45952.0)</f>
        <v>45952</v>
      </c>
      <c r="N386" s="6" t="str">
        <f>IFERROR(__xludf.DUMMYFUNCTION("""COMPUTED_VALUE"""),"NL364118763B01")</f>
        <v>NL364118763B01</v>
      </c>
      <c r="O386" s="6">
        <f>IFERROR(__xludf.DUMMYFUNCTION("""COMPUTED_VALUE"""),9.8656759E7)</f>
        <v>98656759</v>
      </c>
      <c r="P386" s="6" t="str">
        <f>IFERROR(__xludf.DUMMYFUNCTION("""COMPUTED_VALUE"""),"NL46INGB0117309052")</f>
        <v>NL46INGB0117309052</v>
      </c>
      <c r="Q386" s="9">
        <f>IFERROR(__xludf.DUMMYFUNCTION("""COMPUTED_VALUE"""),45952.0)</f>
        <v>45952</v>
      </c>
      <c r="R386" s="6"/>
      <c r="S386" s="6" t="str">
        <f>IFERROR(__xludf.DUMMYFUNCTION("""COMPUTED_VALUE"""),"NL005346390B92")</f>
        <v>NL005346390B92</v>
      </c>
      <c r="T386" s="6">
        <f>IFERROR(__xludf.DUMMYFUNCTION("""COMPUTED_VALUE"""),3.64118763E8)</f>
        <v>364118763</v>
      </c>
      <c r="U386" s="7" t="str">
        <f>IFERROR(__xludf.DUMMYFUNCTION("""COMPUTED_VALUE"""),"Eenmanszaak")</f>
        <v>Eenmanszaak</v>
      </c>
      <c r="V386" s="7" t="str">
        <f>IFERROR(__xludf.DUMMYFUNCTION("""COMPUTED_VALUE"""),"000063805383")</f>
        <v>000063805383</v>
      </c>
      <c r="W386" s="6" t="str">
        <f>IFERROR(__xludf.DUMMYFUNCTION("""COMPUTED_VALUE"""),"ink.roberto.2288aa@zarabota.nl")</f>
        <v>ink.roberto.2288aa@zarabota.nl</v>
      </c>
      <c r="X386" s="6" t="str">
        <f>IFERROR(__xludf.DUMMYFUNCTION("""COMPUTED_VALUE"""),"ver.roberto.2288aa@zarabota.nl")</f>
        <v>ver.roberto.2288aa@zarabota.nl</v>
      </c>
      <c r="Y386" s="6" t="str">
        <f>IFERROR(__xludf.DUMMYFUNCTION("""COMPUTED_VALUE"""),"Hr.")</f>
        <v>Hr.</v>
      </c>
      <c r="Z386" s="6" t="str">
        <f>IFERROR(__xludf.DUMMYFUNCTION("""COMPUTED_VALUE"""),"Sabi Malinkov")</f>
        <v>Sabi Malinkov</v>
      </c>
      <c r="AA386" s="6" t="str">
        <f>IFERROR(__xludf.DUMMYFUNCTION("""COMPUTED_VALUE"""),"Kostadinov")</f>
        <v>Kostadinov</v>
      </c>
      <c r="AB386" s="6" t="str">
        <f>IFERROR(__xludf.DUMMYFUNCTION("""COMPUTED_VALUE"""),"S.M.")</f>
        <v>S.M.</v>
      </c>
      <c r="AC386" s="6">
        <f>IFERROR(__xludf.DUMMYFUNCTION("""COMPUTED_VALUE"""),3.64118763E8)</f>
        <v>364118763</v>
      </c>
      <c r="AD386" s="9">
        <f>IFERROR(__xludf.DUMMYFUNCTION("""COMPUTED_VALUE"""),30101.0)</f>
        <v>30101</v>
      </c>
      <c r="AE386" s="6" t="str">
        <f>IFERROR(__xludf.DUMMYFUNCTION("""COMPUTED_VALUE"""),"bg")</f>
        <v>bg</v>
      </c>
      <c r="AF386" s="6" t="str">
        <f>IFERROR(__xludf.DUMMYFUNCTION("""COMPUTED_VALUE"""),"Sliven")</f>
        <v>Sliven</v>
      </c>
      <c r="AG386" s="6" t="str">
        <f>IFERROR(__xludf.DUMMYFUNCTION("""COMPUTED_VALUE"""),"Hr. S.M. Kostadinov")</f>
        <v>Hr. S.M. Kostadinov</v>
      </c>
      <c r="AH386" s="6" t="str">
        <f>IFERROR(__xludf.DUMMYFUNCTION("""COMPUTED_VALUE"""),"NL93INGB0113065426")</f>
        <v>NL93INGB0113065426</v>
      </c>
      <c r="AI386" s="9">
        <f>IFERROR(__xludf.DUMMYFUNCTION("""COMPUTED_VALUE"""),45950.0)</f>
        <v>45950</v>
      </c>
      <c r="AJ386" s="6" t="str">
        <f>IFERROR(__xludf.DUMMYFUNCTION("""COMPUTED_VALUE"""),"ID Kaart")</f>
        <v>ID Kaart</v>
      </c>
      <c r="AK386" s="6" t="str">
        <f>IFERROR(__xludf.DUMMYFUNCTION("""COMPUTED_VALUE"""),"AA1411337")</f>
        <v>AA1411337</v>
      </c>
      <c r="AL386" s="9">
        <f>IFERROR(__xludf.DUMMYFUNCTION("""COMPUTED_VALUE"""),49170.0)</f>
        <v>49170</v>
      </c>
      <c r="AM386" s="6" t="str">
        <f>IFERROR(__xludf.DUMMYFUNCTION("""COMPUTED_VALUE"""),"Bulgarije")</f>
        <v>Bulgarije</v>
      </c>
      <c r="AN386" s="6" t="str">
        <f>IFERROR(__xludf.DUMMYFUNCTION("""COMPUTED_VALUE"""),"Sabi Malinkov Kostadinov")</f>
        <v>Sabi Malinkov Kostadinov</v>
      </c>
      <c r="AO386" s="6">
        <f>IFERROR(__xludf.DUMMYFUNCTION("""COMPUTED_VALUE"""),1746.0)</f>
        <v>1746</v>
      </c>
    </row>
    <row r="387">
      <c r="A387" s="6" t="str">
        <f>IFERROR(__xludf.DUMMYFUNCTION("""COMPUTED_VALUE"""),"Rodopski")</f>
        <v>Rodopski</v>
      </c>
      <c r="B387" s="6" t="str">
        <f>IFERROR(__xludf.DUMMYFUNCTION("""COMPUTED_VALUE"""),"Rodopski")</f>
        <v>Rodopski</v>
      </c>
      <c r="C387" s="6">
        <f>IFERROR(__xludf.DUMMYFUNCTION("""COMPUTED_VALUE"""),299.0)</f>
        <v>299</v>
      </c>
      <c r="D387" s="7" t="str">
        <f>IFERROR(__xludf.DUMMYFUNCTION("""COMPUTED_VALUE"""),"Evgeni Stefanov Rodopski")</f>
        <v>Evgeni Stefanov Rodopski</v>
      </c>
      <c r="E387" s="7" t="str">
        <f>IFERROR(__xludf.DUMMYFUNCTION("""COMPUTED_VALUE"""),"SBI-code: 4120 - Algemene burgerlijke en utiliteitsbouw")</f>
        <v>SBI-code: 4120 - Algemene burgerlijke en utiliteitsbouw</v>
      </c>
      <c r="F387" s="7" t="str">
        <f>IFERROR(__xludf.DUMMYFUNCTION("""COMPUTED_VALUE"""),"0687843196")</f>
        <v>0687843196</v>
      </c>
      <c r="G387" s="6" t="str">
        <f>IFERROR(__xludf.DUMMYFUNCTION("""COMPUTED_VALUE"""),"rodopskievgeni@gmail.com")</f>
        <v>rodopskievgeni@gmail.com</v>
      </c>
      <c r="H387" s="6" t="str">
        <f>IFERROR(__xludf.DUMMYFUNCTION("""COMPUTED_VALUE"""),"Janssoniusstraat 103")</f>
        <v>Janssoniusstraat 103</v>
      </c>
      <c r="I387" s="6" t="str">
        <f>IFERROR(__xludf.DUMMYFUNCTION("""COMPUTED_VALUE"""),"2523HC")</f>
        <v>2523HC</v>
      </c>
      <c r="J387" s="6" t="str">
        <f>IFERROR(__xludf.DUMMYFUNCTION("""COMPUTED_VALUE"""),"s-Gravenhage")</f>
        <v>s-Gravenhage</v>
      </c>
      <c r="K387" s="6" t="str">
        <f>IFERROR(__xludf.DUMMYFUNCTION("""COMPUTED_VALUE"""),"Nederland")</f>
        <v>Nederland</v>
      </c>
      <c r="L387" s="6" t="str">
        <f>IFERROR(__xludf.DUMMYFUNCTION("""COMPUTED_VALUE"""),"Родопски")</f>
        <v>Родопски</v>
      </c>
      <c r="M387" s="8">
        <f>IFERROR(__xludf.DUMMYFUNCTION("""COMPUTED_VALUE"""),43175.0)</f>
        <v>43175</v>
      </c>
      <c r="N387" s="6" t="str">
        <f>IFERROR(__xludf.DUMMYFUNCTION("""COMPUTED_VALUE"""),"NL474370252B01")</f>
        <v>NL474370252B01</v>
      </c>
      <c r="O387" s="6">
        <f>IFERROR(__xludf.DUMMYFUNCTION("""COMPUTED_VALUE"""),6.5682955E7)</f>
        <v>65682955</v>
      </c>
      <c r="P387" s="6" t="str">
        <f>IFERROR(__xludf.DUMMYFUNCTION("""COMPUTED_VALUE"""),"NL60INGB0007253570")</f>
        <v>NL60INGB0007253570</v>
      </c>
      <c r="Q387" s="9">
        <f>IFERROR(__xludf.DUMMYFUNCTION("""COMPUTED_VALUE"""),42461.0)</f>
        <v>42461</v>
      </c>
      <c r="R387" s="6"/>
      <c r="S387" s="6" t="str">
        <f>IFERROR(__xludf.DUMMYFUNCTION("""COMPUTED_VALUE"""),"NL002488903B59")</f>
        <v>NL002488903B59</v>
      </c>
      <c r="T387" s="6">
        <f>IFERROR(__xludf.DUMMYFUNCTION("""COMPUTED_VALUE"""),4.74370252E8)</f>
        <v>474370252</v>
      </c>
      <c r="U387" s="7" t="str">
        <f>IFERROR(__xludf.DUMMYFUNCTION("""COMPUTED_VALUE"""),"Eenmanszaak")</f>
        <v>Eenmanszaak</v>
      </c>
      <c r="V387" s="7" t="str">
        <f>IFERROR(__xludf.DUMMYFUNCTION("""COMPUTED_VALUE"""),"000034384847")</f>
        <v>000034384847</v>
      </c>
      <c r="W387" s="6" t="str">
        <f>IFERROR(__xludf.DUMMYFUNCTION("""COMPUTED_VALUE"""),"ink.rodopski.2288aa@zarabota.nl")</f>
        <v>ink.rodopski.2288aa@zarabota.nl</v>
      </c>
      <c r="X387" s="6" t="str">
        <f>IFERROR(__xludf.DUMMYFUNCTION("""COMPUTED_VALUE"""),"ver.rodopski.2288aa@zarabota.nl")</f>
        <v>ver.rodopski.2288aa@zarabota.nl</v>
      </c>
      <c r="Y387" s="6" t="str">
        <f>IFERROR(__xludf.DUMMYFUNCTION("""COMPUTED_VALUE"""),"Hr.")</f>
        <v>Hr.</v>
      </c>
      <c r="Z387" s="6" t="str">
        <f>IFERROR(__xludf.DUMMYFUNCTION("""COMPUTED_VALUE"""),"Evgeni Stefanov")</f>
        <v>Evgeni Stefanov</v>
      </c>
      <c r="AA387" s="6" t="str">
        <f>IFERROR(__xludf.DUMMYFUNCTION("""COMPUTED_VALUE"""),"Rodopski")</f>
        <v>Rodopski</v>
      </c>
      <c r="AB387" s="6" t="str">
        <f>IFERROR(__xludf.DUMMYFUNCTION("""COMPUTED_VALUE"""),"E.S.")</f>
        <v>E.S.</v>
      </c>
      <c r="AC387" s="6">
        <f>IFERROR(__xludf.DUMMYFUNCTION("""COMPUTED_VALUE"""),4.74370252E8)</f>
        <v>474370252</v>
      </c>
      <c r="AD387" s="9">
        <f>IFERROR(__xludf.DUMMYFUNCTION("""COMPUTED_VALUE"""),29466.0)</f>
        <v>29466</v>
      </c>
      <c r="AE387" s="6" t="str">
        <f>IFERROR(__xludf.DUMMYFUNCTION("""COMPUTED_VALUE"""),"bg")</f>
        <v>bg</v>
      </c>
      <c r="AF387" s="6" t="str">
        <f>IFERROR(__xludf.DUMMYFUNCTION("""COMPUTED_VALUE"""),"Kardzhali")</f>
        <v>Kardzhali</v>
      </c>
      <c r="AG387" s="6" t="str">
        <f>IFERROR(__xludf.DUMMYFUNCTION("""COMPUTED_VALUE"""),"Hr. E.S. Rodopski")</f>
        <v>Hr. E.S. Rodopski</v>
      </c>
      <c r="AH387" s="6" t="str">
        <f>IFERROR(__xludf.DUMMYFUNCTION("""COMPUTED_VALUE"""),"NL43INGB0702585378")</f>
        <v>NL43INGB0702585378</v>
      </c>
      <c r="AI387" s="6"/>
      <c r="AJ387" s="6" t="str">
        <f>IFERROR(__xludf.DUMMYFUNCTION("""COMPUTED_VALUE"""),"ID Kaart")</f>
        <v>ID Kaart</v>
      </c>
      <c r="AK387" s="6">
        <f>IFERROR(__xludf.DUMMYFUNCTION("""COMPUTED_VALUE"""),6.41589645E8)</f>
        <v>641589645</v>
      </c>
      <c r="AL387" s="9">
        <f>IFERROR(__xludf.DUMMYFUNCTION("""COMPUTED_VALUE"""),44185.0)</f>
        <v>44185</v>
      </c>
      <c r="AM387" s="6"/>
      <c r="AN387" s="6" t="str">
        <f>IFERROR(__xludf.DUMMYFUNCTION("""COMPUTED_VALUE"""),"Evgeni Stefanov Rodopski")</f>
        <v>Evgeni Stefanov Rodopski</v>
      </c>
      <c r="AO387" s="6"/>
    </row>
    <row r="388">
      <c r="A388" s="6" t="str">
        <f>IFERROR(__xludf.DUMMYFUNCTION("""COMPUTED_VALUE"""),"Roko Yanev")</f>
        <v>Roko Yanev</v>
      </c>
      <c r="B388" s="6" t="str">
        <f>IFERROR(__xludf.DUMMYFUNCTION("""COMPUTED_VALUE"""),"Roko Yanev")</f>
        <v>Roko Yanev</v>
      </c>
      <c r="C388" s="6">
        <f>IFERROR(__xludf.DUMMYFUNCTION("""COMPUTED_VALUE"""),1371.0)</f>
        <v>1371</v>
      </c>
      <c r="D388" s="7" t="str">
        <f>IFERROR(__xludf.DUMMYFUNCTION("""COMPUTED_VALUE"""),"Chavdar Vladimirov Yanev")</f>
        <v>Chavdar Vladimirov Yanev</v>
      </c>
      <c r="E388" s="7" t="str">
        <f>IFERROR(__xludf.DUMMYFUNCTION("""COMPUTED_VALUE"""),"SBI-code: 4120 - Algemene burgerlijke en utiliteitsbouw")</f>
        <v>SBI-code: 4120 - Algemene burgerlijke en utiliteitsbouw</v>
      </c>
      <c r="F388" s="7" t="str">
        <f>IFERROR(__xludf.DUMMYFUNCTION("""COMPUTED_VALUE"""),"0645882730")</f>
        <v>0645882730</v>
      </c>
      <c r="G388" s="6" t="str">
        <f>IFERROR(__xludf.DUMMYFUNCTION("""COMPUTED_VALUE"""),"chavdaryanev75@gmail.com")</f>
        <v>chavdaryanev75@gmail.com</v>
      </c>
      <c r="H388" s="6" t="str">
        <f>IFERROR(__xludf.DUMMYFUNCTION("""COMPUTED_VALUE"""),"Beukstraat 10C")</f>
        <v>Beukstraat 10C</v>
      </c>
      <c r="I388" s="6" t="str">
        <f>IFERROR(__xludf.DUMMYFUNCTION("""COMPUTED_VALUE"""),"2535 ZA")</f>
        <v>2535 ZA</v>
      </c>
      <c r="J388" s="6" t="str">
        <f>IFERROR(__xludf.DUMMYFUNCTION("""COMPUTED_VALUE"""),"s-Gravenhage")</f>
        <v>s-Gravenhage</v>
      </c>
      <c r="K388" s="6" t="str">
        <f>IFERROR(__xludf.DUMMYFUNCTION("""COMPUTED_VALUE"""),"Nederland")</f>
        <v>Nederland</v>
      </c>
      <c r="L388" s="6" t="str">
        <f>IFERROR(__xludf.DUMMYFUNCTION("""COMPUTED_VALUE"""),"Янев")</f>
        <v>Янев</v>
      </c>
      <c r="M388" s="8">
        <f>IFERROR(__xludf.DUMMYFUNCTION("""COMPUTED_VALUE"""),44743.0)</f>
        <v>44743</v>
      </c>
      <c r="N388" s="6" t="str">
        <f>IFERROR(__xludf.DUMMYFUNCTION("""COMPUTED_VALUE"""),"NL293649170B01")</f>
        <v>NL293649170B01</v>
      </c>
      <c r="O388" s="6">
        <f>IFERROR(__xludf.DUMMYFUNCTION("""COMPUTED_VALUE"""),8.4217782E7)</f>
        <v>84217782</v>
      </c>
      <c r="P388" s="6" t="str">
        <f>IFERROR(__xludf.DUMMYFUNCTION("""COMPUTED_VALUE"""),"NL66INGB0675986109")</f>
        <v>NL66INGB0675986109</v>
      </c>
      <c r="Q388" s="9">
        <f>IFERROR(__xludf.DUMMYFUNCTION("""COMPUTED_VALUE"""),44484.0)</f>
        <v>44484</v>
      </c>
      <c r="R388" s="6"/>
      <c r="S388" s="6" t="str">
        <f>IFERROR(__xludf.DUMMYFUNCTION("""COMPUTED_VALUE"""),"NL003928715B78")</f>
        <v>NL003928715B78</v>
      </c>
      <c r="T388" s="6">
        <f>IFERROR(__xludf.DUMMYFUNCTION("""COMPUTED_VALUE"""),2.9364917E8)</f>
        <v>293649170</v>
      </c>
      <c r="U388" s="7" t="str">
        <f>IFERROR(__xludf.DUMMYFUNCTION("""COMPUTED_VALUE"""),"Eenmanszaak")</f>
        <v>Eenmanszaak</v>
      </c>
      <c r="V388" s="7" t="str">
        <f>IFERROR(__xludf.DUMMYFUNCTION("""COMPUTED_VALUE"""),"000050347098")</f>
        <v>000050347098</v>
      </c>
      <c r="W388" s="6" t="str">
        <f>IFERROR(__xludf.DUMMYFUNCTION("""COMPUTED_VALUE"""),"ink.rokoyanev.2288aa@zarabota.nl")</f>
        <v>ink.rokoyanev.2288aa@zarabota.nl</v>
      </c>
      <c r="X388" s="6" t="str">
        <f>IFERROR(__xludf.DUMMYFUNCTION("""COMPUTED_VALUE"""),"ver.rokoyanev.2288aa@zarabota.nl")</f>
        <v>ver.rokoyanev.2288aa@zarabota.nl</v>
      </c>
      <c r="Y388" s="6" t="str">
        <f>IFERROR(__xludf.DUMMYFUNCTION("""COMPUTED_VALUE"""),"Hr.")</f>
        <v>Hr.</v>
      </c>
      <c r="Z388" s="6" t="str">
        <f>IFERROR(__xludf.DUMMYFUNCTION("""COMPUTED_VALUE"""),"Chavdar Vladimirov")</f>
        <v>Chavdar Vladimirov</v>
      </c>
      <c r="AA388" s="6" t="str">
        <f>IFERROR(__xludf.DUMMYFUNCTION("""COMPUTED_VALUE"""),"Yanev")</f>
        <v>Yanev</v>
      </c>
      <c r="AB388" s="6" t="str">
        <f>IFERROR(__xludf.DUMMYFUNCTION("""COMPUTED_VALUE"""),"C.V.")</f>
        <v>C.V.</v>
      </c>
      <c r="AC388" s="6">
        <f>IFERROR(__xludf.DUMMYFUNCTION("""COMPUTED_VALUE"""),2.9364917E8)</f>
        <v>293649170</v>
      </c>
      <c r="AD388" s="9">
        <f>IFERROR(__xludf.DUMMYFUNCTION("""COMPUTED_VALUE"""),27572.0)</f>
        <v>27572</v>
      </c>
      <c r="AE388" s="6" t="str">
        <f>IFERROR(__xludf.DUMMYFUNCTION("""COMPUTED_VALUE"""),"bg")</f>
        <v>bg</v>
      </c>
      <c r="AF388" s="6" t="str">
        <f>IFERROR(__xludf.DUMMYFUNCTION("""COMPUTED_VALUE"""),"Sofia")</f>
        <v>Sofia</v>
      </c>
      <c r="AG388" s="6" t="str">
        <f>IFERROR(__xludf.DUMMYFUNCTION("""COMPUTED_VALUE"""),"Hr. C.V. Yanev")</f>
        <v>Hr. C.V. Yanev</v>
      </c>
      <c r="AH388" s="6" t="str">
        <f>IFERROR(__xludf.DUMMYFUNCTION("""COMPUTED_VALUE"""),"NL41INGB0396076084")</f>
        <v>NL41INGB0396076084</v>
      </c>
      <c r="AI388" s="6"/>
      <c r="AJ388" s="6" t="str">
        <f>IFERROR(__xludf.DUMMYFUNCTION("""COMPUTED_VALUE"""),"ID Kaart")</f>
        <v>ID Kaart</v>
      </c>
      <c r="AK388" s="6">
        <f>IFERROR(__xludf.DUMMYFUNCTION("""COMPUTED_VALUE"""),6.51162794E8)</f>
        <v>651162794</v>
      </c>
      <c r="AL388" s="9">
        <f>IFERROR(__xludf.DUMMYFUNCTION("""COMPUTED_VALUE"""),48119.0)</f>
        <v>48119</v>
      </c>
      <c r="AM388" s="6" t="str">
        <f>IFERROR(__xludf.DUMMYFUNCTION("""COMPUTED_VALUE"""),"Bulgarije")</f>
        <v>Bulgarije</v>
      </c>
      <c r="AN388" s="6" t="str">
        <f>IFERROR(__xludf.DUMMYFUNCTION("""COMPUTED_VALUE"""),"Chavdar Vladimirov Yanev")</f>
        <v>Chavdar Vladimirov Yanev</v>
      </c>
      <c r="AO388" s="6">
        <f>IFERROR(__xludf.DUMMYFUNCTION("""COMPUTED_VALUE"""),1371.0)</f>
        <v>1371</v>
      </c>
    </row>
    <row r="389">
      <c r="A389" s="6" t="str">
        <f>IFERROR(__xludf.DUMMYFUNCTION("""COMPUTED_VALUE"""),"Roots Street Wear")</f>
        <v>Roots Street Wear</v>
      </c>
      <c r="B389" s="6" t="str">
        <f>IFERROR(__xludf.DUMMYFUNCTION("""COMPUTED_VALUE"""),"Roots Street Wear")</f>
        <v>Roots Street Wear</v>
      </c>
      <c r="C389" s="6">
        <f>IFERROR(__xludf.DUMMYFUNCTION("""COMPUTED_VALUE"""),137.0)</f>
        <v>137</v>
      </c>
      <c r="D389" s="7" t="str">
        <f>IFERROR(__xludf.DUMMYFUNCTION("""COMPUTED_VALUE"""),"Aleksandar Georgiev Aleksandrov")</f>
        <v>Aleksandar Georgiev Aleksandrov</v>
      </c>
      <c r="E389" s="7" t="str">
        <f>IFERROR(__xludf.DUMMYFUNCTION("""COMPUTED_VALUE"""),"SBI-code: 4120 - Algemene burgerlijke en utiliteitsbouw")</f>
        <v>SBI-code: 4120 - Algemene burgerlijke en utiliteitsbouw</v>
      </c>
      <c r="F389" s="7" t="str">
        <f>IFERROR(__xludf.DUMMYFUNCTION("""COMPUTED_VALUE"""),"0646047505")</f>
        <v>0646047505</v>
      </c>
      <c r="G389" s="6" t="str">
        <f>IFERROR(__xludf.DUMMYFUNCTION("""COMPUTED_VALUE"""),"info@iamaleksandar.com")</f>
        <v>info@iamaleksandar.com</v>
      </c>
      <c r="H389" s="6" t="str">
        <f>IFERROR(__xludf.DUMMYFUNCTION("""COMPUTED_VALUE"""),"Capelseweg 176")</f>
        <v>Capelseweg 176</v>
      </c>
      <c r="I389" s="6" t="str">
        <f>IFERROR(__xludf.DUMMYFUNCTION("""COMPUTED_VALUE"""),"2907XD")</f>
        <v>2907XD</v>
      </c>
      <c r="J389" s="6" t="str">
        <f>IFERROR(__xludf.DUMMYFUNCTION("""COMPUTED_VALUE"""),"Capelle a/d IJssel")</f>
        <v>Capelle a/d IJssel</v>
      </c>
      <c r="K389" s="6" t="str">
        <f>IFERROR(__xludf.DUMMYFUNCTION("""COMPUTED_VALUE"""),"Nederland")</f>
        <v>Nederland</v>
      </c>
      <c r="L389" s="6" t="str">
        <f>IFERROR(__xludf.DUMMYFUNCTION("""COMPUTED_VALUE"""),"Александров")</f>
        <v>Александров</v>
      </c>
      <c r="M389" s="8">
        <f>IFERROR(__xludf.DUMMYFUNCTION("""COMPUTED_VALUE"""),43175.0)</f>
        <v>43175</v>
      </c>
      <c r="N389" s="6" t="str">
        <f>IFERROR(__xludf.DUMMYFUNCTION("""COMPUTED_VALUE"""),"NL415794109B01")</f>
        <v>NL415794109B01</v>
      </c>
      <c r="O389" s="6">
        <f>IFERROR(__xludf.DUMMYFUNCTION("""COMPUTED_VALUE"""),6.1830011E7)</f>
        <v>61830011</v>
      </c>
      <c r="P389" s="6" t="str">
        <f>IFERROR(__xludf.DUMMYFUNCTION("""COMPUTED_VALUE"""),"NL08INGB0006900165")</f>
        <v>NL08INGB0006900165</v>
      </c>
      <c r="Q389" s="9">
        <f>IFERROR(__xludf.DUMMYFUNCTION("""COMPUTED_VALUE"""),41949.0)</f>
        <v>41949</v>
      </c>
      <c r="R389" s="6"/>
      <c r="S389" s="6" t="str">
        <f>IFERROR(__xludf.DUMMYFUNCTION("""COMPUTED_VALUE"""),"NL415794109B01")</f>
        <v>NL415794109B01</v>
      </c>
      <c r="T389" s="6">
        <f>IFERROR(__xludf.DUMMYFUNCTION("""COMPUTED_VALUE"""),4.15794109E8)</f>
        <v>415794109</v>
      </c>
      <c r="U389" s="7" t="str">
        <f>IFERROR(__xludf.DUMMYFUNCTION("""COMPUTED_VALUE"""),"Eenmanszaak")</f>
        <v>Eenmanszaak</v>
      </c>
      <c r="V389" s="7" t="str">
        <f>IFERROR(__xludf.DUMMYFUNCTION("""COMPUTED_VALUE"""),"000025584561")</f>
        <v>000025584561</v>
      </c>
      <c r="W389" s="6" t="str">
        <f>IFERROR(__xludf.DUMMYFUNCTION("""COMPUTED_VALUE"""),"ink.rootsstreetwear.2288aa@zarabota.nl")</f>
        <v>ink.rootsstreetwear.2288aa@zarabota.nl</v>
      </c>
      <c r="X389" s="6" t="str">
        <f>IFERROR(__xludf.DUMMYFUNCTION("""COMPUTED_VALUE"""),"ver.rootsstreetwear.2288aa@zarabota.nl")</f>
        <v>ver.rootsstreetwear.2288aa@zarabota.nl</v>
      </c>
      <c r="Y389" s="6" t="str">
        <f>IFERROR(__xludf.DUMMYFUNCTION("""COMPUTED_VALUE"""),"Hr.")</f>
        <v>Hr.</v>
      </c>
      <c r="Z389" s="6" t="str">
        <f>IFERROR(__xludf.DUMMYFUNCTION("""COMPUTED_VALUE"""),"Aleksandar Georgiev")</f>
        <v>Aleksandar Georgiev</v>
      </c>
      <c r="AA389" s="6" t="str">
        <f>IFERROR(__xludf.DUMMYFUNCTION("""COMPUTED_VALUE"""),"Aleksandrov")</f>
        <v>Aleksandrov</v>
      </c>
      <c r="AB389" s="6" t="str">
        <f>IFERROR(__xludf.DUMMYFUNCTION("""COMPUTED_VALUE"""),"A.G.")</f>
        <v>A.G.</v>
      </c>
      <c r="AC389" s="6">
        <f>IFERROR(__xludf.DUMMYFUNCTION("""COMPUTED_VALUE"""),4.15794109E8)</f>
        <v>415794109</v>
      </c>
      <c r="AD389" s="9">
        <f>IFERROR(__xludf.DUMMYFUNCTION("""COMPUTED_VALUE"""),32276.0)</f>
        <v>32276</v>
      </c>
      <c r="AE389" s="6" t="str">
        <f>IFERROR(__xludf.DUMMYFUNCTION("""COMPUTED_VALUE"""),"bg")</f>
        <v>bg</v>
      </c>
      <c r="AF389" s="6" t="str">
        <f>IFERROR(__xludf.DUMMYFUNCTION("""COMPUTED_VALUE"""),"Plovdiv")</f>
        <v>Plovdiv</v>
      </c>
      <c r="AG389" s="6" t="str">
        <f>IFERROR(__xludf.DUMMYFUNCTION("""COMPUTED_VALUE"""),"Hr. A.G. Aleksandrov")</f>
        <v>Hr. A.G. Aleksandrov</v>
      </c>
      <c r="AH389" s="6"/>
      <c r="AI389" s="6"/>
      <c r="AJ389" s="6"/>
      <c r="AK389" s="6"/>
      <c r="AL389" s="6"/>
      <c r="AM389" s="6"/>
      <c r="AN389" s="6" t="str">
        <f>IFERROR(__xludf.DUMMYFUNCTION("""COMPUTED_VALUE"""),"Aleksandar Georgiev Aleksandrov")</f>
        <v>Aleksandar Georgiev Aleksandrov</v>
      </c>
      <c r="AO389" s="6"/>
    </row>
    <row r="390">
      <c r="A390" s="6" t="str">
        <f>IFERROR(__xludf.DUMMYFUNCTION("""COMPUTED_VALUE"""),"Rosa Transport")</f>
        <v>Rosa Transport</v>
      </c>
      <c r="B390" s="6" t="str">
        <f>IFERROR(__xludf.DUMMYFUNCTION("""COMPUTED_VALUE"""),"Rosa Transport")</f>
        <v>Rosa Transport</v>
      </c>
      <c r="C390" s="6">
        <f>IFERROR(__xludf.DUMMYFUNCTION("""COMPUTED_VALUE"""),1593.0)</f>
        <v>1593</v>
      </c>
      <c r="D390" s="7" t="str">
        <f>IFERROR(__xludf.DUMMYFUNCTION("""COMPUTED_VALUE"""),"Sheunerley Cristian Rosa")</f>
        <v>Sheunerley Cristian Rosa</v>
      </c>
      <c r="E390" s="7" t="str">
        <f>IFERROR(__xludf.DUMMYFUNCTION("""COMPUTED_VALUE"""),"SBI-code: 4941 - Goederenvervoer over de weg (geen verhuizingen)")</f>
        <v>SBI-code: 4941 - Goederenvervoer over de weg (geen verhuizingen)</v>
      </c>
      <c r="F390" s="7" t="str">
        <f>IFERROR(__xludf.DUMMYFUNCTION("""COMPUTED_VALUE"""),"0629550111")</f>
        <v>0629550111</v>
      </c>
      <c r="G390" s="6" t="str">
        <f>IFERROR(__xludf.DUMMYFUNCTION("""COMPUTED_VALUE"""),"shuneleyrosa@gmail.com")</f>
        <v>shuneleyrosa@gmail.com</v>
      </c>
      <c r="H390" s="6" t="str">
        <f>IFERROR(__xludf.DUMMYFUNCTION("""COMPUTED_VALUE"""),"Delftseplein 29")</f>
        <v>Delftseplein 29</v>
      </c>
      <c r="I390" s="6" t="str">
        <f>IFERROR(__xludf.DUMMYFUNCTION("""COMPUTED_VALUE"""),"3013AA")</f>
        <v>3013AA</v>
      </c>
      <c r="J390" s="6" t="str">
        <f>IFERROR(__xludf.DUMMYFUNCTION("""COMPUTED_VALUE"""),"Rotterdam")</f>
        <v>Rotterdam</v>
      </c>
      <c r="K390" s="6" t="str">
        <f>IFERROR(__xludf.DUMMYFUNCTION("""COMPUTED_VALUE"""),"Nederland")</f>
        <v>Nederland</v>
      </c>
      <c r="L390" s="6" t="str">
        <f>IFERROR(__xludf.DUMMYFUNCTION("""COMPUTED_VALUE"""),"Rosa")</f>
        <v>Rosa</v>
      </c>
      <c r="M390" s="8">
        <f>IFERROR(__xludf.DUMMYFUNCTION("""COMPUTED_VALUE"""),45292.0)</f>
        <v>45292</v>
      </c>
      <c r="N390" s="6" t="str">
        <f>IFERROR(__xludf.DUMMYFUNCTION("""COMPUTED_VALUE"""),"NL208375624B02")</f>
        <v>NL208375624B02</v>
      </c>
      <c r="O390" s="6">
        <f>IFERROR(__xludf.DUMMYFUNCTION("""COMPUTED_VALUE"""),9.1238641E7)</f>
        <v>91238641</v>
      </c>
      <c r="P390" s="6" t="str">
        <f>IFERROR(__xludf.DUMMYFUNCTION("""COMPUTED_VALUE"""),"NL26INGB0104947926")</f>
        <v>NL26INGB0104947926</v>
      </c>
      <c r="Q390" s="9">
        <f>IFERROR(__xludf.DUMMYFUNCTION("""COMPUTED_VALUE"""),45089.0)</f>
        <v>45089</v>
      </c>
      <c r="R390" s="6"/>
      <c r="S390" s="6" t="str">
        <f>IFERROR(__xludf.DUMMYFUNCTION("""COMPUTED_VALUE"""),"NL004875708B46")</f>
        <v>NL004875708B46</v>
      </c>
      <c r="T390" s="6">
        <f>IFERROR(__xludf.DUMMYFUNCTION("""COMPUTED_VALUE"""),2.08375624E8)</f>
        <v>208375624</v>
      </c>
      <c r="U390" s="7" t="str">
        <f>IFERROR(__xludf.DUMMYFUNCTION("""COMPUTED_VALUE"""),"Eenmanszaak")</f>
        <v>Eenmanszaak</v>
      </c>
      <c r="V390" s="7" t="str">
        <f>IFERROR(__xludf.DUMMYFUNCTION("""COMPUTED_VALUE"""),"000056923767")</f>
        <v>000056923767</v>
      </c>
      <c r="W390" s="6" t="str">
        <f>IFERROR(__xludf.DUMMYFUNCTION("""COMPUTED_VALUE"""),"ink.rosatransport.2288aa@zarabota.nl")</f>
        <v>ink.rosatransport.2288aa@zarabota.nl</v>
      </c>
      <c r="X390" s="6" t="str">
        <f>IFERROR(__xludf.DUMMYFUNCTION("""COMPUTED_VALUE"""),"ver.rosatransport.2288aa@zarabota.nl")</f>
        <v>ver.rosatransport.2288aa@zarabota.nl</v>
      </c>
      <c r="Y390" s="6" t="str">
        <f>IFERROR(__xludf.DUMMYFUNCTION("""COMPUTED_VALUE"""),"Hr.")</f>
        <v>Hr.</v>
      </c>
      <c r="Z390" s="6" t="str">
        <f>IFERROR(__xludf.DUMMYFUNCTION("""COMPUTED_VALUE"""),"Sheunerley Cristian")</f>
        <v>Sheunerley Cristian</v>
      </c>
      <c r="AA390" s="6" t="str">
        <f>IFERROR(__xludf.DUMMYFUNCTION("""COMPUTED_VALUE"""),"Rosa")</f>
        <v>Rosa</v>
      </c>
      <c r="AB390" s="6" t="str">
        <f>IFERROR(__xludf.DUMMYFUNCTION("""COMPUTED_VALUE"""),"S.C.")</f>
        <v>S.C.</v>
      </c>
      <c r="AC390" s="6">
        <f>IFERROR(__xludf.DUMMYFUNCTION("""COMPUTED_VALUE"""),2.08375624E8)</f>
        <v>208375624</v>
      </c>
      <c r="AD390" s="9">
        <f>IFERROR(__xludf.DUMMYFUNCTION("""COMPUTED_VALUE"""),33212.0)</f>
        <v>33212</v>
      </c>
      <c r="AE390" s="6" t="str">
        <f>IFERROR(__xludf.DUMMYFUNCTION("""COMPUTED_VALUE"""),"bg")</f>
        <v>bg</v>
      </c>
      <c r="AF390" s="6" t="str">
        <f>IFERROR(__xludf.DUMMYFUNCTION("""COMPUTED_VALUE"""),"Curacao")</f>
        <v>Curacao</v>
      </c>
      <c r="AG390" s="6" t="str">
        <f>IFERROR(__xludf.DUMMYFUNCTION("""COMPUTED_VALUE"""),"Hr. S.C. Rosa")</f>
        <v>Hr. S.C. Rosa</v>
      </c>
      <c r="AH390" s="6"/>
      <c r="AI390" s="6"/>
      <c r="AJ390" s="6" t="str">
        <f>IFERROR(__xludf.DUMMYFUNCTION("""COMPUTED_VALUE"""),"ID Kaart")</f>
        <v>ID Kaart</v>
      </c>
      <c r="AK390" s="6" t="str">
        <f>IFERROR(__xludf.DUMMYFUNCTION("""COMPUTED_VALUE"""),"IH2KJJ6R8")</f>
        <v>IH2KJJ6R8</v>
      </c>
      <c r="AL390" s="9">
        <f>IFERROR(__xludf.DUMMYFUNCTION("""COMPUTED_VALUE"""),47832.0)</f>
        <v>47832</v>
      </c>
      <c r="AM390" s="6" t="str">
        <f>IFERROR(__xludf.DUMMYFUNCTION("""COMPUTED_VALUE"""),"Nederland")</f>
        <v>Nederland</v>
      </c>
      <c r="AN390" s="6" t="str">
        <f>IFERROR(__xludf.DUMMYFUNCTION("""COMPUTED_VALUE"""),"Sheunerley Cristian Rosa")</f>
        <v>Sheunerley Cristian Rosa</v>
      </c>
      <c r="AO390" s="6">
        <f>IFERROR(__xludf.DUMMYFUNCTION("""COMPUTED_VALUE"""),1593.0)</f>
        <v>1593</v>
      </c>
    </row>
    <row r="391">
      <c r="A391" s="6" t="str">
        <f>IFERROR(__xludf.DUMMYFUNCTION("""COMPUTED_VALUE"""),"Rosalina Flex")</f>
        <v>Rosalina Flex</v>
      </c>
      <c r="B391" s="6" t="str">
        <f>IFERROR(__xludf.DUMMYFUNCTION("""COMPUTED_VALUE"""),"Rosalina Flex")</f>
        <v>Rosalina Flex</v>
      </c>
      <c r="C391" s="6">
        <f>IFERROR(__xludf.DUMMYFUNCTION("""COMPUTED_VALUE"""),1290.0)</f>
        <v>1290</v>
      </c>
      <c r="D391" s="7" t="str">
        <f>IFERROR(__xludf.DUMMYFUNCTION("""COMPUTED_VALUE"""),"Rosalina Simeonova Mihaylova")</f>
        <v>Rosalina Simeonova Mihaylova</v>
      </c>
      <c r="E391" s="7" t="str">
        <f>IFERROR(__xludf.DUMMYFUNCTION("""COMPUTED_VALUE"""),"SBI-code: 4120 - Algemene burgerlijke en utiliteitsbouw")</f>
        <v>SBI-code: 4120 - Algemene burgerlijke en utiliteitsbouw</v>
      </c>
      <c r="F391" s="7" t="str">
        <f>IFERROR(__xludf.DUMMYFUNCTION("""COMPUTED_VALUE"""),"0618543765")</f>
        <v>0618543765</v>
      </c>
      <c r="G391" s="6" t="str">
        <f>IFERROR(__xludf.DUMMYFUNCTION("""COMPUTED_VALUE"""),"rosalinamihailova@gmail.com")</f>
        <v>rosalinamihailova@gmail.com</v>
      </c>
      <c r="H391" s="6" t="str">
        <f>IFERROR(__xludf.DUMMYFUNCTION("""COMPUTED_VALUE"""),"Kaapstraat 121")</f>
        <v>Kaapstraat 121</v>
      </c>
      <c r="I391" s="6" t="str">
        <f>IFERROR(__xludf.DUMMYFUNCTION("""COMPUTED_VALUE"""),"2572HG")</f>
        <v>2572HG</v>
      </c>
      <c r="J391" s="6" t="str">
        <f>IFERROR(__xludf.DUMMYFUNCTION("""COMPUTED_VALUE"""),"s-Gravenhage")</f>
        <v>s-Gravenhage</v>
      </c>
      <c r="K391" s="6" t="str">
        <f>IFERROR(__xludf.DUMMYFUNCTION("""COMPUTED_VALUE"""),"Nederland")</f>
        <v>Nederland</v>
      </c>
      <c r="L391" s="6" t="str">
        <f>IFERROR(__xludf.DUMMYFUNCTION("""COMPUTED_VALUE"""),"Михайлова")</f>
        <v>Михайлова</v>
      </c>
      <c r="M391" s="8">
        <f>IFERROR(__xludf.DUMMYFUNCTION("""COMPUTED_VALUE"""),44601.0)</f>
        <v>44601</v>
      </c>
      <c r="N391" s="6" t="str">
        <f>IFERROR(__xludf.DUMMYFUNCTION("""COMPUTED_VALUE"""),"NL515854906B01")</f>
        <v>NL515854906B01</v>
      </c>
      <c r="O391" s="6">
        <f>IFERROR(__xludf.DUMMYFUNCTION("""COMPUTED_VALUE"""),8.5452378E7)</f>
        <v>85452378</v>
      </c>
      <c r="P391" s="6" t="str">
        <f>IFERROR(__xludf.DUMMYFUNCTION("""COMPUTED_VALUE"""),"NL32INGB0675347491")</f>
        <v>NL32INGB0675347491</v>
      </c>
      <c r="Q391" s="9">
        <f>IFERROR(__xludf.DUMMYFUNCTION("""COMPUTED_VALUE"""),44601.0)</f>
        <v>44601</v>
      </c>
      <c r="R391" s="6"/>
      <c r="S391" s="6" t="str">
        <f>IFERROR(__xludf.DUMMYFUNCTION("""COMPUTED_VALUE"""),"NL004095383B74")</f>
        <v>NL004095383B74</v>
      </c>
      <c r="T391" s="6">
        <f>IFERROR(__xludf.DUMMYFUNCTION("""COMPUTED_VALUE"""),5.15854906E8)</f>
        <v>515854906</v>
      </c>
      <c r="U391" s="7" t="str">
        <f>IFERROR(__xludf.DUMMYFUNCTION("""COMPUTED_VALUE"""),"Eenmanszaak")</f>
        <v>Eenmanszaak</v>
      </c>
      <c r="V391" s="7" t="str">
        <f>IFERROR(__xludf.DUMMYFUNCTION("""COMPUTED_VALUE"""),"000051497514")</f>
        <v>000051497514</v>
      </c>
      <c r="W391" s="6" t="str">
        <f>IFERROR(__xludf.DUMMYFUNCTION("""COMPUTED_VALUE"""),"ink.rosalinaflex.2288aa@zarabota.nl")</f>
        <v>ink.rosalinaflex.2288aa@zarabota.nl</v>
      </c>
      <c r="X391" s="6" t="str">
        <f>IFERROR(__xludf.DUMMYFUNCTION("""COMPUTED_VALUE"""),"ver.rosalinaflex.2288aa@zarabota.nl")</f>
        <v>ver.rosalinaflex.2288aa@zarabota.nl</v>
      </c>
      <c r="Y391" s="6" t="str">
        <f>IFERROR(__xludf.DUMMYFUNCTION("""COMPUTED_VALUE"""),"Mw.")</f>
        <v>Mw.</v>
      </c>
      <c r="Z391" s="6" t="str">
        <f>IFERROR(__xludf.DUMMYFUNCTION("""COMPUTED_VALUE"""),"Rosalina Simeonova")</f>
        <v>Rosalina Simeonova</v>
      </c>
      <c r="AA391" s="6" t="str">
        <f>IFERROR(__xludf.DUMMYFUNCTION("""COMPUTED_VALUE"""),"Mihaylova")</f>
        <v>Mihaylova</v>
      </c>
      <c r="AB391" s="6" t="str">
        <f>IFERROR(__xludf.DUMMYFUNCTION("""COMPUTED_VALUE"""),"R.S.")</f>
        <v>R.S.</v>
      </c>
      <c r="AC391" s="6">
        <f>IFERROR(__xludf.DUMMYFUNCTION("""COMPUTED_VALUE"""),5.15854906E8)</f>
        <v>515854906</v>
      </c>
      <c r="AD391" s="9">
        <f>IFERROR(__xludf.DUMMYFUNCTION("""COMPUTED_VALUE"""),32931.0)</f>
        <v>32931</v>
      </c>
      <c r="AE391" s="6" t="str">
        <f>IFERROR(__xludf.DUMMYFUNCTION("""COMPUTED_VALUE"""),"bg")</f>
        <v>bg</v>
      </c>
      <c r="AF391" s="6"/>
      <c r="AG391" s="6" t="str">
        <f>IFERROR(__xludf.DUMMYFUNCTION("""COMPUTED_VALUE"""),"Mw. R.S. Mihaylova")</f>
        <v>Mw. R.S. Mihaylova</v>
      </c>
      <c r="AH391" s="6"/>
      <c r="AI391" s="6"/>
      <c r="AJ391" s="6" t="str">
        <f>IFERROR(__xludf.DUMMYFUNCTION("""COMPUTED_VALUE"""),"ID Kaart")</f>
        <v>ID Kaart</v>
      </c>
      <c r="AK391" s="6"/>
      <c r="AL391" s="6"/>
      <c r="AM391" s="6" t="str">
        <f>IFERROR(__xludf.DUMMYFUNCTION("""COMPUTED_VALUE"""),"Bulgarije")</f>
        <v>Bulgarije</v>
      </c>
      <c r="AN391" s="6" t="str">
        <f>IFERROR(__xludf.DUMMYFUNCTION("""COMPUTED_VALUE"""),"Rosalina Simeonova Mihaylova")</f>
        <v>Rosalina Simeonova Mihaylova</v>
      </c>
      <c r="AO391" s="6">
        <f>IFERROR(__xludf.DUMMYFUNCTION("""COMPUTED_VALUE"""),1290.0)</f>
        <v>1290</v>
      </c>
    </row>
    <row r="392">
      <c r="A392" s="6" t="str">
        <f>IFERROR(__xludf.DUMMYFUNCTION("""COMPUTED_VALUE"""),"Rosenov Loonbedrijf")</f>
        <v>Rosenov Loonbedrijf</v>
      </c>
      <c r="B392" s="6" t="str">
        <f>IFERROR(__xludf.DUMMYFUNCTION("""COMPUTED_VALUE"""),"Rosenov Loonbedrijf")</f>
        <v>Rosenov Loonbedrijf</v>
      </c>
      <c r="C392" s="6">
        <f>IFERROR(__xludf.DUMMYFUNCTION("""COMPUTED_VALUE"""),906.0)</f>
        <v>906</v>
      </c>
      <c r="D392" s="7" t="str">
        <f>IFERROR(__xludf.DUMMYFUNCTION("""COMPUTED_VALUE"""),"Yuliyan Angelov Rosenov")</f>
        <v>Yuliyan Angelov Rosenov</v>
      </c>
      <c r="E392" s="7" t="str">
        <f>IFERROR(__xludf.DUMMYFUNCTION("""COMPUTED_VALUE"""),"SBI-code: 4120 - Algemene burgerlijke en utiliteitsbouw")</f>
        <v>SBI-code: 4120 - Algemene burgerlijke en utiliteitsbouw</v>
      </c>
      <c r="F392" s="7" t="str">
        <f>IFERROR(__xludf.DUMMYFUNCTION("""COMPUTED_VALUE"""),"0686253452")</f>
        <v>0686253452</v>
      </c>
      <c r="G392" s="6" t="str">
        <f>IFERROR(__xludf.DUMMYFUNCTION("""COMPUTED_VALUE"""),"nikolainiki171@gmail.com")</f>
        <v>nikolainiki171@gmail.com</v>
      </c>
      <c r="H392" s="6" t="str">
        <f>IFERROR(__xludf.DUMMYFUNCTION("""COMPUTED_VALUE"""),"Forelledaal 416")</f>
        <v>Forelledaal 416</v>
      </c>
      <c r="I392" s="6" t="str">
        <f>IFERROR(__xludf.DUMMYFUNCTION("""COMPUTED_VALUE"""),"2553 LP")</f>
        <v>2553 LP</v>
      </c>
      <c r="J392" s="6" t="str">
        <f>IFERROR(__xludf.DUMMYFUNCTION("""COMPUTED_VALUE"""),"s-Gravenhage")</f>
        <v>s-Gravenhage</v>
      </c>
      <c r="K392" s="6" t="str">
        <f>IFERROR(__xludf.DUMMYFUNCTION("""COMPUTED_VALUE"""),"Nederland")</f>
        <v>Nederland</v>
      </c>
      <c r="L392" s="6" t="str">
        <f>IFERROR(__xludf.DUMMYFUNCTION("""COMPUTED_VALUE"""),"Росенов")</f>
        <v>Росенов</v>
      </c>
      <c r="M392" s="8">
        <f>IFERROR(__xludf.DUMMYFUNCTION("""COMPUTED_VALUE"""),43862.0)</f>
        <v>43862</v>
      </c>
      <c r="N392" s="6" t="str">
        <f>IFERROR(__xludf.DUMMYFUNCTION("""COMPUTED_VALUE"""),"NL496049896B01")</f>
        <v>NL496049896B01</v>
      </c>
      <c r="O392" s="6">
        <f>IFERROR(__xludf.DUMMYFUNCTION("""COMPUTED_VALUE"""),7.7342828E7)</f>
        <v>77342828</v>
      </c>
      <c r="P392" s="6" t="str">
        <f>IFERROR(__xludf.DUMMYFUNCTION("""COMPUTED_VALUE"""),"NL24INGB0006136196")</f>
        <v>NL24INGB0006136196</v>
      </c>
      <c r="Q392" s="9">
        <f>IFERROR(__xludf.DUMMYFUNCTION("""COMPUTED_VALUE"""),43862.0)</f>
        <v>43862</v>
      </c>
      <c r="R392" s="6"/>
      <c r="S392" s="6" t="str">
        <f>IFERROR(__xludf.DUMMYFUNCTION("""COMPUTED_VALUE"""),"NL003181383B86")</f>
        <v>NL003181383B86</v>
      </c>
      <c r="T392" s="6">
        <f>IFERROR(__xludf.DUMMYFUNCTION("""COMPUTED_VALUE"""),4.96049896E8)</f>
        <v>496049896</v>
      </c>
      <c r="U392" s="7" t="str">
        <f>IFERROR(__xludf.DUMMYFUNCTION("""COMPUTED_VALUE"""),"Eenmanszaak")</f>
        <v>Eenmanszaak</v>
      </c>
      <c r="V392" s="7" t="str">
        <f>IFERROR(__xludf.DUMMYFUNCTION("""COMPUTED_VALUE"""),"000045049564")</f>
        <v>000045049564</v>
      </c>
      <c r="W392" s="6" t="str">
        <f>IFERROR(__xludf.DUMMYFUNCTION("""COMPUTED_VALUE"""),"ink.rosenovloonbedrijf.2288aa@zarabota.nl")</f>
        <v>ink.rosenovloonbedrijf.2288aa@zarabota.nl</v>
      </c>
      <c r="X392" s="6" t="str">
        <f>IFERROR(__xludf.DUMMYFUNCTION("""COMPUTED_VALUE"""),"ver.rosenovloonbedrijf.2288aa@zarabota.nl")</f>
        <v>ver.rosenovloonbedrijf.2288aa@zarabota.nl</v>
      </c>
      <c r="Y392" s="6" t="str">
        <f>IFERROR(__xludf.DUMMYFUNCTION("""COMPUTED_VALUE"""),"Hr.")</f>
        <v>Hr.</v>
      </c>
      <c r="Z392" s="6" t="str">
        <f>IFERROR(__xludf.DUMMYFUNCTION("""COMPUTED_VALUE"""),"Yuliyan Angelov")</f>
        <v>Yuliyan Angelov</v>
      </c>
      <c r="AA392" s="6" t="str">
        <f>IFERROR(__xludf.DUMMYFUNCTION("""COMPUTED_VALUE"""),"Rosenov")</f>
        <v>Rosenov</v>
      </c>
      <c r="AB392" s="6" t="str">
        <f>IFERROR(__xludf.DUMMYFUNCTION("""COMPUTED_VALUE"""),"Y.A.")</f>
        <v>Y.A.</v>
      </c>
      <c r="AC392" s="6">
        <f>IFERROR(__xludf.DUMMYFUNCTION("""COMPUTED_VALUE"""),4.96049896E8)</f>
        <v>496049896</v>
      </c>
      <c r="AD392" s="9">
        <f>IFERROR(__xludf.DUMMYFUNCTION("""COMPUTED_VALUE"""),32682.0)</f>
        <v>32682</v>
      </c>
      <c r="AE392" s="6" t="str">
        <f>IFERROR(__xludf.DUMMYFUNCTION("""COMPUTED_VALUE"""),"bg")</f>
        <v>bg</v>
      </c>
      <c r="AF392" s="6" t="str">
        <f>IFERROR(__xludf.DUMMYFUNCTION("""COMPUTED_VALUE"""),"Haskovo")</f>
        <v>Haskovo</v>
      </c>
      <c r="AG392" s="6" t="str">
        <f>IFERROR(__xludf.DUMMYFUNCTION("""COMPUTED_VALUE"""),"Hr. Y.A. Rosenov")</f>
        <v>Hr. Y.A. Rosenov</v>
      </c>
      <c r="AH392" s="6" t="str">
        <f>IFERROR(__xludf.DUMMYFUNCTION("""COMPUTED_VALUE"""),"NL47INGB0670861553")</f>
        <v>NL47INGB0670861553</v>
      </c>
      <c r="AI392" s="6"/>
      <c r="AJ392" s="6" t="str">
        <f>IFERROR(__xludf.DUMMYFUNCTION("""COMPUTED_VALUE"""),"ID Kaart")</f>
        <v>ID Kaart</v>
      </c>
      <c r="AK392" s="6">
        <f>IFERROR(__xludf.DUMMYFUNCTION("""COMPUTED_VALUE"""),6.48645007E8)</f>
        <v>648645007</v>
      </c>
      <c r="AL392" s="6"/>
      <c r="AM392" s="6" t="str">
        <f>IFERROR(__xludf.DUMMYFUNCTION("""COMPUTED_VALUE"""),"Bulgarije")</f>
        <v>Bulgarije</v>
      </c>
      <c r="AN392" s="6" t="str">
        <f>IFERROR(__xludf.DUMMYFUNCTION("""COMPUTED_VALUE"""),"Yuliyan Angelov Rosenov")</f>
        <v>Yuliyan Angelov Rosenov</v>
      </c>
      <c r="AO392" s="6"/>
    </row>
    <row r="393">
      <c r="A393" s="6" t="str">
        <f>IFERROR(__xludf.DUMMYFUNCTION("""COMPUTED_VALUE"""),"RS Angelov VOF")</f>
        <v>RS Angelov VOF</v>
      </c>
      <c r="B393" s="6" t="str">
        <f>IFERROR(__xludf.DUMMYFUNCTION("""COMPUTED_VALUE"""),"RS Angelov VOF")</f>
        <v>RS Angelov VOF</v>
      </c>
      <c r="C393" s="6">
        <f>IFERROR(__xludf.DUMMYFUNCTION("""COMPUTED_VALUE"""),1038.0)</f>
        <v>1038</v>
      </c>
      <c r="D393" s="7" t="str">
        <f>IFERROR(__xludf.DUMMYFUNCTION("""COMPUTED_VALUE"""),"Svetlin Stamatov Angelov")</f>
        <v>Svetlin Stamatov Angelov</v>
      </c>
      <c r="E393" s="7" t="str">
        <f>IFERROR(__xludf.DUMMYFUNCTION("""COMPUTED_VALUE"""),"SBI-code: 4120 - Algemene burgerlijke en utiliteitsbouw")</f>
        <v>SBI-code: 4120 - Algemene burgerlijke en utiliteitsbouw</v>
      </c>
      <c r="F393" s="7" t="str">
        <f>IFERROR(__xludf.DUMMYFUNCTION("""COMPUTED_VALUE"""),"0684908440")</f>
        <v>0684908440</v>
      </c>
      <c r="G393" s="6" t="str">
        <f>IFERROR(__xludf.DUMMYFUNCTION("""COMPUTED_VALUE"""),"svetlio1979rs@abv.bg")</f>
        <v>svetlio1979rs@abv.bg</v>
      </c>
      <c r="H393" s="6" t="str">
        <f>IFERROR(__xludf.DUMMYFUNCTION("""COMPUTED_VALUE"""),"Rozenburgstraat 12")</f>
        <v>Rozenburgstraat 12</v>
      </c>
      <c r="I393" s="6" t="str">
        <f>IFERROR(__xludf.DUMMYFUNCTION("""COMPUTED_VALUE"""),"2512ST")</f>
        <v>2512ST</v>
      </c>
      <c r="J393" s="6" t="str">
        <f>IFERROR(__xludf.DUMMYFUNCTION("""COMPUTED_VALUE"""),"s-Gravenhage")</f>
        <v>s-Gravenhage</v>
      </c>
      <c r="K393" s="6" t="str">
        <f>IFERROR(__xludf.DUMMYFUNCTION("""COMPUTED_VALUE"""),"Nederland")</f>
        <v>Nederland</v>
      </c>
      <c r="L393" s="6" t="str">
        <f>IFERROR(__xludf.DUMMYFUNCTION("""COMPUTED_VALUE"""),"Ангелов")</f>
        <v>Ангелов</v>
      </c>
      <c r="M393" s="8">
        <f>IFERROR(__xludf.DUMMYFUNCTION("""COMPUTED_VALUE"""),43851.0)</f>
        <v>43851</v>
      </c>
      <c r="N393" s="6" t="str">
        <f>IFERROR(__xludf.DUMMYFUNCTION("""COMPUTED_VALUE"""),"NL861762708B01")</f>
        <v>NL861762708B01</v>
      </c>
      <c r="O393" s="6">
        <f>IFERROR(__xludf.DUMMYFUNCTION("""COMPUTED_VALUE"""),8.0685471E7)</f>
        <v>80685471</v>
      </c>
      <c r="P393" s="6" t="str">
        <f>IFERROR(__xludf.DUMMYFUNCTION("""COMPUTED_VALUE"""),"NL49INGB0009324330")</f>
        <v>NL49INGB0009324330</v>
      </c>
      <c r="Q393" s="9">
        <f>IFERROR(__xludf.DUMMYFUNCTION("""COMPUTED_VALUE"""),44105.0)</f>
        <v>44105</v>
      </c>
      <c r="R393" s="6"/>
      <c r="S393" s="6" t="str">
        <f>IFERROR(__xludf.DUMMYFUNCTION("""COMPUTED_VALUE"""),"NL861762708B01")</f>
        <v>NL861762708B01</v>
      </c>
      <c r="T393" s="6">
        <f>IFERROR(__xludf.DUMMYFUNCTION("""COMPUTED_VALUE"""),8.61762708E8)</f>
        <v>861762708</v>
      </c>
      <c r="U393" s="7" t="str">
        <f>IFERROR(__xludf.DUMMYFUNCTION("""COMPUTED_VALUE"""),"Vennootschap Onder Firma")</f>
        <v>Vennootschap Onder Firma</v>
      </c>
      <c r="V393" s="7" t="str">
        <f>IFERROR(__xludf.DUMMYFUNCTION("""COMPUTED_VALUE"""),"000044810911")</f>
        <v>000044810911</v>
      </c>
      <c r="W393" s="6" t="str">
        <f>IFERROR(__xludf.DUMMYFUNCTION("""COMPUTED_VALUE"""),"ink.rsangelovvof.2288aa@zarabota.nl")</f>
        <v>ink.rsangelovvof.2288aa@zarabota.nl</v>
      </c>
      <c r="X393" s="6" t="str">
        <f>IFERROR(__xludf.DUMMYFUNCTION("""COMPUTED_VALUE"""),"ver.rsangelovvof.2288aa@zarabota.nl")</f>
        <v>ver.rsangelovvof.2288aa@zarabota.nl</v>
      </c>
      <c r="Y393" s="6" t="str">
        <f>IFERROR(__xludf.DUMMYFUNCTION("""COMPUTED_VALUE"""),"Hr.")</f>
        <v>Hr.</v>
      </c>
      <c r="Z393" s="6" t="str">
        <f>IFERROR(__xludf.DUMMYFUNCTION("""COMPUTED_VALUE"""),"Svetlin Stamatov")</f>
        <v>Svetlin Stamatov</v>
      </c>
      <c r="AA393" s="6" t="str">
        <f>IFERROR(__xludf.DUMMYFUNCTION("""COMPUTED_VALUE"""),"Angelov")</f>
        <v>Angelov</v>
      </c>
      <c r="AB393" s="6" t="str">
        <f>IFERROR(__xludf.DUMMYFUNCTION("""COMPUTED_VALUE"""),"S.S.")</f>
        <v>S.S.</v>
      </c>
      <c r="AC393" s="6">
        <f>IFERROR(__xludf.DUMMYFUNCTION("""COMPUTED_VALUE"""),5.40165062E8)</f>
        <v>540165062</v>
      </c>
      <c r="AD393" s="9">
        <f>IFERROR(__xludf.DUMMYFUNCTION("""COMPUTED_VALUE"""),28883.0)</f>
        <v>28883</v>
      </c>
      <c r="AE393" s="6" t="str">
        <f>IFERROR(__xludf.DUMMYFUNCTION("""COMPUTED_VALUE"""),"bg")</f>
        <v>bg</v>
      </c>
      <c r="AF393" s="6" t="str">
        <f>IFERROR(__xludf.DUMMYFUNCTION("""COMPUTED_VALUE"""),"Haskovo")</f>
        <v>Haskovo</v>
      </c>
      <c r="AG393" s="6" t="str">
        <f>IFERROR(__xludf.DUMMYFUNCTION("""COMPUTED_VALUE"""),"Hr. S.S. Angelov")</f>
        <v>Hr. S.S. Angelov</v>
      </c>
      <c r="AH393" s="6"/>
      <c r="AI393" s="6"/>
      <c r="AJ393" s="6" t="str">
        <f>IFERROR(__xludf.DUMMYFUNCTION("""COMPUTED_VALUE"""),"ID Kaart")</f>
        <v>ID Kaart</v>
      </c>
      <c r="AK393" s="6">
        <f>IFERROR(__xludf.DUMMYFUNCTION("""COMPUTED_VALUE"""),6.47253575E8)</f>
        <v>647253575</v>
      </c>
      <c r="AL393" s="9">
        <f>IFERROR(__xludf.DUMMYFUNCTION("""COMPUTED_VALUE"""),46649.0)</f>
        <v>46649</v>
      </c>
      <c r="AM393" s="6" t="str">
        <f>IFERROR(__xludf.DUMMYFUNCTION("""COMPUTED_VALUE"""),"Bulgarije")</f>
        <v>Bulgarije</v>
      </c>
      <c r="AN393" s="6" t="str">
        <f>IFERROR(__xludf.DUMMYFUNCTION("""COMPUTED_VALUE"""),"Svetlin Stamatov Angelov")</f>
        <v>Svetlin Stamatov Angelov</v>
      </c>
      <c r="AO393" s="6"/>
    </row>
    <row r="394">
      <c r="A394" s="6" t="str">
        <f>IFERROR(__xludf.DUMMYFUNCTION("""COMPUTED_VALUE"""),"Rumen Miryana VOF")</f>
        <v>Rumen Miryana VOF</v>
      </c>
      <c r="B394" s="6" t="str">
        <f>IFERROR(__xludf.DUMMYFUNCTION("""COMPUTED_VALUE"""),"Rumen Miryana VOF")</f>
        <v>Rumen Miryana VOF</v>
      </c>
      <c r="C394" s="6">
        <f>IFERROR(__xludf.DUMMYFUNCTION("""COMPUTED_VALUE"""),1160.0)</f>
        <v>1160</v>
      </c>
      <c r="D394" s="7" t="str">
        <f>IFERROR(__xludf.DUMMYFUNCTION("""COMPUTED_VALUE"""),"Rumen Stoyanov Atanasov")</f>
        <v>Rumen Stoyanov Atanasov</v>
      </c>
      <c r="E394" s="7" t="str">
        <f>IFERROR(__xludf.DUMMYFUNCTION("""COMPUTED_VALUE"""),"SBI-code: 4120 - Algemene burgerlijke en utiliteitsbouw")</f>
        <v>SBI-code: 4120 - Algemene burgerlijke en utiliteitsbouw</v>
      </c>
      <c r="F394" s="7" t="str">
        <f>IFERROR(__xludf.DUMMYFUNCTION("""COMPUTED_VALUE"""),"0686212543")</f>
        <v>0686212543</v>
      </c>
      <c r="G394" s="6" t="str">
        <f>IFERROR(__xludf.DUMMYFUNCTION("""COMPUTED_VALUE"""),"rumenmiryana@gmail.com")</f>
        <v>rumenmiryana@gmail.com</v>
      </c>
      <c r="H394" s="6" t="str">
        <f>IFERROR(__xludf.DUMMYFUNCTION("""COMPUTED_VALUE"""),"Meidoornstraat 144")</f>
        <v>Meidoornstraat 144</v>
      </c>
      <c r="I394" s="6" t="str">
        <f>IFERROR(__xludf.DUMMYFUNCTION("""COMPUTED_VALUE"""),"2563 GL")</f>
        <v>2563 GL</v>
      </c>
      <c r="J394" s="6" t="str">
        <f>IFERROR(__xludf.DUMMYFUNCTION("""COMPUTED_VALUE"""),"s-Gravenhage")</f>
        <v>s-Gravenhage</v>
      </c>
      <c r="K394" s="6" t="str">
        <f>IFERROR(__xludf.DUMMYFUNCTION("""COMPUTED_VALUE"""),"Nederland")</f>
        <v>Nederland</v>
      </c>
      <c r="L394" s="6" t="str">
        <f>IFERROR(__xludf.DUMMYFUNCTION("""COMPUTED_VALUE"""),"Атанасов")</f>
        <v>Атанасов</v>
      </c>
      <c r="M394" s="8">
        <f>IFERROR(__xludf.DUMMYFUNCTION("""COMPUTED_VALUE"""),44305.0)</f>
        <v>44305</v>
      </c>
      <c r="N394" s="6" t="str">
        <f>IFERROR(__xludf.DUMMYFUNCTION("""COMPUTED_VALUE"""),"NL862525081B01")</f>
        <v>NL862525081B01</v>
      </c>
      <c r="O394" s="6">
        <f>IFERROR(__xludf.DUMMYFUNCTION("""COMPUTED_VALUE"""),8.2576599E7)</f>
        <v>82576599</v>
      </c>
      <c r="P394" s="6" t="str">
        <f>IFERROR(__xludf.DUMMYFUNCTION("""COMPUTED_VALUE"""),"NL70INGB0007459418")</f>
        <v>NL70INGB0007459418</v>
      </c>
      <c r="Q394" s="9">
        <f>IFERROR(__xludf.DUMMYFUNCTION("""COMPUTED_VALUE"""),44305.0)</f>
        <v>44305</v>
      </c>
      <c r="R394" s="6"/>
      <c r="S394" s="6" t="str">
        <f>IFERROR(__xludf.DUMMYFUNCTION("""COMPUTED_VALUE"""),"NL862525081B01")</f>
        <v>NL862525081B01</v>
      </c>
      <c r="T394" s="6">
        <f>IFERROR(__xludf.DUMMYFUNCTION("""COMPUTED_VALUE"""),8.62525081E8)</f>
        <v>862525081</v>
      </c>
      <c r="U394" s="7" t="str">
        <f>IFERROR(__xludf.DUMMYFUNCTION("""COMPUTED_VALUE"""),"Vennootschap Onder Firma")</f>
        <v>Vennootschap Onder Firma</v>
      </c>
      <c r="V394" s="7" t="str">
        <f>IFERROR(__xludf.DUMMYFUNCTION("""COMPUTED_VALUE"""),"000048800813")</f>
        <v>000048800813</v>
      </c>
      <c r="W394" s="6" t="str">
        <f>IFERROR(__xludf.DUMMYFUNCTION("""COMPUTED_VALUE"""),"ink.rumenmiryanavof.2288aa@zarabota.nl")</f>
        <v>ink.rumenmiryanavof.2288aa@zarabota.nl</v>
      </c>
      <c r="X394" s="6" t="str">
        <f>IFERROR(__xludf.DUMMYFUNCTION("""COMPUTED_VALUE"""),"ver.rumenmiryanavof.2288aa@zarabota.nl")</f>
        <v>ver.rumenmiryanavof.2288aa@zarabota.nl</v>
      </c>
      <c r="Y394" s="6" t="str">
        <f>IFERROR(__xludf.DUMMYFUNCTION("""COMPUTED_VALUE"""),"Hr.")</f>
        <v>Hr.</v>
      </c>
      <c r="Z394" s="6" t="str">
        <f>IFERROR(__xludf.DUMMYFUNCTION("""COMPUTED_VALUE"""),"Rumen Stoyanov")</f>
        <v>Rumen Stoyanov</v>
      </c>
      <c r="AA394" s="6" t="str">
        <f>IFERROR(__xludf.DUMMYFUNCTION("""COMPUTED_VALUE"""),"Atanasov")</f>
        <v>Atanasov</v>
      </c>
      <c r="AB394" s="6" t="str">
        <f>IFERROR(__xludf.DUMMYFUNCTION("""COMPUTED_VALUE"""),"R.S.")</f>
        <v>R.S.</v>
      </c>
      <c r="AC394" s="6">
        <f>IFERROR(__xludf.DUMMYFUNCTION("""COMPUTED_VALUE"""),4.09186156E8)</f>
        <v>409186156</v>
      </c>
      <c r="AD394" s="9">
        <f>IFERROR(__xludf.DUMMYFUNCTION("""COMPUTED_VALUE"""),31454.0)</f>
        <v>31454</v>
      </c>
      <c r="AE394" s="6" t="str">
        <f>IFERROR(__xludf.DUMMYFUNCTION("""COMPUTED_VALUE"""),"bg")</f>
        <v>bg</v>
      </c>
      <c r="AF394" s="6" t="str">
        <f>IFERROR(__xludf.DUMMYFUNCTION("""COMPUTED_VALUE"""),"Haskovo")</f>
        <v>Haskovo</v>
      </c>
      <c r="AG394" s="6" t="str">
        <f>IFERROR(__xludf.DUMMYFUNCTION("""COMPUTED_VALUE"""),"Hr. R.S. Atanasov")</f>
        <v>Hr. R.S. Atanasov</v>
      </c>
      <c r="AH394" s="6"/>
      <c r="AI394" s="6"/>
      <c r="AJ394" s="6"/>
      <c r="AK394" s="6"/>
      <c r="AL394" s="6"/>
      <c r="AM394" s="6" t="str">
        <f>IFERROR(__xludf.DUMMYFUNCTION("""COMPUTED_VALUE"""),"Bulgarije")</f>
        <v>Bulgarije</v>
      </c>
      <c r="AN394" s="6" t="str">
        <f>IFERROR(__xludf.DUMMYFUNCTION("""COMPUTED_VALUE"""),"Rumen Stoyanov Atanasov")</f>
        <v>Rumen Stoyanov Atanasov</v>
      </c>
      <c r="AO394" s="6">
        <f>IFERROR(__xludf.DUMMYFUNCTION("""COMPUTED_VALUE"""),1160.0)</f>
        <v>1160</v>
      </c>
    </row>
    <row r="395">
      <c r="A395" s="6" t="str">
        <f>IFERROR(__xludf.DUMMYFUNCTION("""COMPUTED_VALUE"""),"Rumen SD")</f>
        <v>Rumen SD</v>
      </c>
      <c r="B395" s="6" t="str">
        <f>IFERROR(__xludf.DUMMYFUNCTION("""COMPUTED_VALUE"""),"Rumen SD")</f>
        <v>Rumen SD</v>
      </c>
      <c r="C395" s="6">
        <f>IFERROR(__xludf.DUMMYFUNCTION("""COMPUTED_VALUE"""),763.0)</f>
        <v>763</v>
      </c>
      <c r="D395" s="7" t="str">
        <f>IFERROR(__xludf.DUMMYFUNCTION("""COMPUTED_VALUE"""),"Rumen Mitkov Petrov")</f>
        <v>Rumen Mitkov Petrov</v>
      </c>
      <c r="E395" s="7" t="str">
        <f>IFERROR(__xludf.DUMMYFUNCTION("""COMPUTED_VALUE"""),"SBI-code: 4120 - Algemene burgerlijke en utiliteitsbouw")</f>
        <v>SBI-code: 4120 - Algemene burgerlijke en utiliteitsbouw</v>
      </c>
      <c r="F395" s="7" t="str">
        <f>IFERROR(__xludf.DUMMYFUNCTION("""COMPUTED_VALUE"""),"0639030323")</f>
        <v>0639030323</v>
      </c>
      <c r="G395" s="6" t="str">
        <f>IFERROR(__xludf.DUMMYFUNCTION("""COMPUTED_VALUE"""),"rumensd1@gmail.com")</f>
        <v>rumensd1@gmail.com</v>
      </c>
      <c r="H395" s="6" t="str">
        <f>IFERROR(__xludf.DUMMYFUNCTION("""COMPUTED_VALUE"""),"Ruysdaelplein 42")</f>
        <v>Ruysdaelplein 42</v>
      </c>
      <c r="I395" s="6" t="str">
        <f>IFERROR(__xludf.DUMMYFUNCTION("""COMPUTED_VALUE"""),"2282BJ")</f>
        <v>2282BJ</v>
      </c>
      <c r="J395" s="6" t="str">
        <f>IFERROR(__xludf.DUMMYFUNCTION("""COMPUTED_VALUE"""),"Rijswijk")</f>
        <v>Rijswijk</v>
      </c>
      <c r="K395" s="6" t="str">
        <f>IFERROR(__xludf.DUMMYFUNCTION("""COMPUTED_VALUE"""),"Nederland")</f>
        <v>Nederland</v>
      </c>
      <c r="L395" s="6" t="str">
        <f>IFERROR(__xludf.DUMMYFUNCTION("""COMPUTED_VALUE"""),"Петров")</f>
        <v>Петров</v>
      </c>
      <c r="M395" s="8">
        <f>IFERROR(__xludf.DUMMYFUNCTION("""COMPUTED_VALUE"""),43571.0)</f>
        <v>43571</v>
      </c>
      <c r="N395" s="6" t="str">
        <f>IFERROR(__xludf.DUMMYFUNCTION("""COMPUTED_VALUE"""),"NL444305452B01")</f>
        <v>NL444305452B01</v>
      </c>
      <c r="O395" s="6">
        <f>IFERROR(__xludf.DUMMYFUNCTION("""COMPUTED_VALUE"""),7.4630644E7)</f>
        <v>74630644</v>
      </c>
      <c r="P395" s="6" t="str">
        <f>IFERROR(__xludf.DUMMYFUNCTION("""COMPUTED_VALUE"""),"NL19INGB0008943466")</f>
        <v>NL19INGB0008943466</v>
      </c>
      <c r="Q395" s="9">
        <f>IFERROR(__xludf.DUMMYFUNCTION("""COMPUTED_VALUE"""),43571.0)</f>
        <v>43571</v>
      </c>
      <c r="R395" s="6"/>
      <c r="S395" s="6" t="str">
        <f>IFERROR(__xludf.DUMMYFUNCTION("""COMPUTED_VALUE"""),"NL002484809B45")</f>
        <v>NL002484809B45</v>
      </c>
      <c r="T395" s="6">
        <f>IFERROR(__xludf.DUMMYFUNCTION("""COMPUTED_VALUE"""),4.44305452E8)</f>
        <v>444305452</v>
      </c>
      <c r="U395" s="7" t="str">
        <f>IFERROR(__xludf.DUMMYFUNCTION("""COMPUTED_VALUE"""),"Eenmanszaak")</f>
        <v>Eenmanszaak</v>
      </c>
      <c r="V395" s="7" t="str">
        <f>IFERROR(__xludf.DUMMYFUNCTION("""COMPUTED_VALUE"""),"000042572843")</f>
        <v>000042572843</v>
      </c>
      <c r="W395" s="6" t="str">
        <f>IFERROR(__xludf.DUMMYFUNCTION("""COMPUTED_VALUE"""),"ink.rumensd.2288aa@zarabota.nl")</f>
        <v>ink.rumensd.2288aa@zarabota.nl</v>
      </c>
      <c r="X395" s="6" t="str">
        <f>IFERROR(__xludf.DUMMYFUNCTION("""COMPUTED_VALUE"""),"ver.rumensd.2288aa@zarabota.nl")</f>
        <v>ver.rumensd.2288aa@zarabota.nl</v>
      </c>
      <c r="Y395" s="6" t="str">
        <f>IFERROR(__xludf.DUMMYFUNCTION("""COMPUTED_VALUE"""),"Hr.")</f>
        <v>Hr.</v>
      </c>
      <c r="Z395" s="6" t="str">
        <f>IFERROR(__xludf.DUMMYFUNCTION("""COMPUTED_VALUE"""),"Rumen Mitkov")</f>
        <v>Rumen Mitkov</v>
      </c>
      <c r="AA395" s="6" t="str">
        <f>IFERROR(__xludf.DUMMYFUNCTION("""COMPUTED_VALUE"""),"Petrov")</f>
        <v>Petrov</v>
      </c>
      <c r="AB395" s="6" t="str">
        <f>IFERROR(__xludf.DUMMYFUNCTION("""COMPUTED_VALUE"""),"R.M.")</f>
        <v>R.M.</v>
      </c>
      <c r="AC395" s="6">
        <f>IFERROR(__xludf.DUMMYFUNCTION("""COMPUTED_VALUE"""),4.44305452E8)</f>
        <v>444305452</v>
      </c>
      <c r="AD395" s="9">
        <f>IFERROR(__xludf.DUMMYFUNCTION("""COMPUTED_VALUE"""),26252.0)</f>
        <v>26252</v>
      </c>
      <c r="AE395" s="6" t="str">
        <f>IFERROR(__xludf.DUMMYFUNCTION("""COMPUTED_VALUE"""),"bg")</f>
        <v>bg</v>
      </c>
      <c r="AF395" s="6" t="str">
        <f>IFERROR(__xludf.DUMMYFUNCTION("""COMPUTED_VALUE"""),"Benkovski")</f>
        <v>Benkovski</v>
      </c>
      <c r="AG395" s="6" t="str">
        <f>IFERROR(__xludf.DUMMYFUNCTION("""COMPUTED_VALUE"""),"Hr. R.M. Petrov")</f>
        <v>Hr. R.M. Petrov</v>
      </c>
      <c r="AH395" s="6" t="str">
        <f>IFERROR(__xludf.DUMMYFUNCTION("""COMPUTED_VALUE"""),"NL23INGB0795316283")</f>
        <v>NL23INGB0795316283</v>
      </c>
      <c r="AI395" s="9">
        <f>IFERROR(__xludf.DUMMYFUNCTION("""COMPUTED_VALUE"""),43570.0)</f>
        <v>43570</v>
      </c>
      <c r="AJ395" s="6"/>
      <c r="AK395" s="6"/>
      <c r="AL395" s="6"/>
      <c r="AM395" s="6"/>
      <c r="AN395" s="6" t="str">
        <f>IFERROR(__xludf.DUMMYFUNCTION("""COMPUTED_VALUE"""),"Rumen Mitkov Petrov")</f>
        <v>Rumen Mitkov Petrov</v>
      </c>
      <c r="AO395" s="6"/>
    </row>
    <row r="396">
      <c r="A396" s="6" t="str">
        <f>IFERROR(__xludf.DUMMYFUNCTION("""COMPUTED_VALUE"""),"Rumenov Flex")</f>
        <v>Rumenov Flex</v>
      </c>
      <c r="B396" s="6" t="str">
        <f>IFERROR(__xludf.DUMMYFUNCTION("""COMPUTED_VALUE"""),"Rumenov Flex")</f>
        <v>Rumenov Flex</v>
      </c>
      <c r="C396" s="6">
        <f>IFERROR(__xludf.DUMMYFUNCTION("""COMPUTED_VALUE"""),957.0)</f>
        <v>957</v>
      </c>
      <c r="D396" s="7" t="str">
        <f>IFERROR(__xludf.DUMMYFUNCTION("""COMPUTED_VALUE"""),"Zhivko Rumenov Zhelev")</f>
        <v>Zhivko Rumenov Zhelev</v>
      </c>
      <c r="E396" s="7" t="str">
        <f>IFERROR(__xludf.DUMMYFUNCTION("""COMPUTED_VALUE"""),"SBI-code: 4120 - Algemene burgerlijke en utiliteitsbouw")</f>
        <v>SBI-code: 4120 - Algemene burgerlijke en utiliteitsbouw</v>
      </c>
      <c r="F396" s="7" t="str">
        <f>IFERROR(__xludf.DUMMYFUNCTION("""COMPUTED_VALUE"""),"0687516099")</f>
        <v>0687516099</v>
      </c>
      <c r="G396" s="6" t="str">
        <f>IFERROR(__xludf.DUMMYFUNCTION("""COMPUTED_VALUE"""),"jivkorumenov12345@gmail.com")</f>
        <v>jivkorumenov12345@gmail.com</v>
      </c>
      <c r="H396" s="6" t="str">
        <f>IFERROR(__xludf.DUMMYFUNCTION("""COMPUTED_VALUE"""),"Kaapstraat 121")</f>
        <v>Kaapstraat 121</v>
      </c>
      <c r="I396" s="6" t="str">
        <f>IFERROR(__xludf.DUMMYFUNCTION("""COMPUTED_VALUE"""),"2572HG")</f>
        <v>2572HG</v>
      </c>
      <c r="J396" s="6" t="str">
        <f>IFERROR(__xludf.DUMMYFUNCTION("""COMPUTED_VALUE"""),"s-Gravenhage")</f>
        <v>s-Gravenhage</v>
      </c>
      <c r="K396" s="6" t="str">
        <f>IFERROR(__xludf.DUMMYFUNCTION("""COMPUTED_VALUE"""),"Nederland")</f>
        <v>Nederland</v>
      </c>
      <c r="L396" s="6" t="str">
        <f>IFERROR(__xludf.DUMMYFUNCTION("""COMPUTED_VALUE"""),"Желев")</f>
        <v>Желев</v>
      </c>
      <c r="M396" s="8">
        <f>IFERROR(__xludf.DUMMYFUNCTION("""COMPUTED_VALUE"""),43858.0)</f>
        <v>43858</v>
      </c>
      <c r="N396" s="6" t="str">
        <f>IFERROR(__xludf.DUMMYFUNCTION("""COMPUTED_VALUE"""),"NL560012871B01")</f>
        <v>NL560012871B01</v>
      </c>
      <c r="O396" s="6">
        <f>IFERROR(__xludf.DUMMYFUNCTION("""COMPUTED_VALUE"""),7.7188675E7)</f>
        <v>77188675</v>
      </c>
      <c r="P396" s="6" t="str">
        <f>IFERROR(__xludf.DUMMYFUNCTION("""COMPUTED_VALUE"""),"NL28INGB0009118874")</f>
        <v>NL28INGB0009118874</v>
      </c>
      <c r="Q396" s="9">
        <f>IFERROR(__xludf.DUMMYFUNCTION("""COMPUTED_VALUE"""),43858.0)</f>
        <v>43858</v>
      </c>
      <c r="R396" s="6"/>
      <c r="S396" s="6" t="str">
        <f>IFERROR(__xludf.DUMMYFUNCTION("""COMPUTED_VALUE"""),"NL003158921B96")</f>
        <v>NL003158921B96</v>
      </c>
      <c r="T396" s="6">
        <f>IFERROR(__xludf.DUMMYFUNCTION("""COMPUTED_VALUE"""),5.60012871E8)</f>
        <v>560012871</v>
      </c>
      <c r="U396" s="7" t="str">
        <f>IFERROR(__xludf.DUMMYFUNCTION("""COMPUTED_VALUE"""),"Eenmanszaak")</f>
        <v>Eenmanszaak</v>
      </c>
      <c r="V396" s="7" t="str">
        <f>IFERROR(__xludf.DUMMYFUNCTION("""COMPUTED_VALUE"""),"000044905653")</f>
        <v>000044905653</v>
      </c>
      <c r="W396" s="6" t="str">
        <f>IFERROR(__xludf.DUMMYFUNCTION("""COMPUTED_VALUE"""),"ink.rumenovflex.2288aa@zarabota.nl")</f>
        <v>ink.rumenovflex.2288aa@zarabota.nl</v>
      </c>
      <c r="X396" s="6" t="str">
        <f>IFERROR(__xludf.DUMMYFUNCTION("""COMPUTED_VALUE"""),"ver.rumenovflex.2288aa@zarabota.nl")</f>
        <v>ver.rumenovflex.2288aa@zarabota.nl</v>
      </c>
      <c r="Y396" s="6" t="str">
        <f>IFERROR(__xludf.DUMMYFUNCTION("""COMPUTED_VALUE"""),"Hr.")</f>
        <v>Hr.</v>
      </c>
      <c r="Z396" s="6" t="str">
        <f>IFERROR(__xludf.DUMMYFUNCTION("""COMPUTED_VALUE"""),"Zhivko Rumenov")</f>
        <v>Zhivko Rumenov</v>
      </c>
      <c r="AA396" s="6" t="str">
        <f>IFERROR(__xludf.DUMMYFUNCTION("""COMPUTED_VALUE"""),"Zhelev")</f>
        <v>Zhelev</v>
      </c>
      <c r="AB396" s="6" t="str">
        <f>IFERROR(__xludf.DUMMYFUNCTION("""COMPUTED_VALUE"""),"Z.R.")</f>
        <v>Z.R.</v>
      </c>
      <c r="AC396" s="6">
        <f>IFERROR(__xludf.DUMMYFUNCTION("""COMPUTED_VALUE"""),5.60012871E8)</f>
        <v>560012871</v>
      </c>
      <c r="AD396" s="9">
        <f>IFERROR(__xludf.DUMMYFUNCTION("""COMPUTED_VALUE"""),30503.0)</f>
        <v>30503</v>
      </c>
      <c r="AE396" s="6" t="str">
        <f>IFERROR(__xludf.DUMMYFUNCTION("""COMPUTED_VALUE"""),"bg")</f>
        <v>bg</v>
      </c>
      <c r="AF396" s="6"/>
      <c r="AG396" s="6" t="str">
        <f>IFERROR(__xludf.DUMMYFUNCTION("""COMPUTED_VALUE"""),"Hr. Z.R. Zhelev")</f>
        <v>Hr. Z.R. Zhelev</v>
      </c>
      <c r="AH396" s="6"/>
      <c r="AI396" s="6"/>
      <c r="AJ396" s="6" t="str">
        <f>IFERROR(__xludf.DUMMYFUNCTION("""COMPUTED_VALUE"""),"ID Kaart")</f>
        <v>ID Kaart</v>
      </c>
      <c r="AK396" s="6">
        <f>IFERROR(__xludf.DUMMYFUNCTION("""COMPUTED_VALUE"""),6.43940567E8)</f>
        <v>643940567</v>
      </c>
      <c r="AL396" s="9">
        <f>IFERROR(__xludf.DUMMYFUNCTION("""COMPUTED_VALUE"""),44598.0)</f>
        <v>44598</v>
      </c>
      <c r="AM396" s="6" t="str">
        <f>IFERROR(__xludf.DUMMYFUNCTION("""COMPUTED_VALUE"""),"Bulgarije")</f>
        <v>Bulgarije</v>
      </c>
      <c r="AN396" s="6" t="str">
        <f>IFERROR(__xludf.DUMMYFUNCTION("""COMPUTED_VALUE"""),"Zhivko Rumenov Zhelev")</f>
        <v>Zhivko Rumenov Zhelev</v>
      </c>
      <c r="AO396" s="6">
        <f>IFERROR(__xludf.DUMMYFUNCTION("""COMPUTED_VALUE"""),957.0)</f>
        <v>957</v>
      </c>
    </row>
    <row r="397">
      <c r="A397" s="6" t="str">
        <f>IFERROR(__xludf.DUMMYFUNCTION("""COMPUTED_VALUE"""),"RYMS Service")</f>
        <v>RYMS Service</v>
      </c>
      <c r="B397" s="6" t="str">
        <f>IFERROR(__xludf.DUMMYFUNCTION("""COMPUTED_VALUE"""),"RYMS Service")</f>
        <v>RYMS Service</v>
      </c>
      <c r="C397" s="6">
        <f>IFERROR(__xludf.DUMMYFUNCTION("""COMPUTED_VALUE"""),789.0)</f>
        <v>789</v>
      </c>
      <c r="D397" s="7" t="str">
        <f>IFERROR(__xludf.DUMMYFUNCTION("""COMPUTED_VALUE"""),"Rumen Marinov Yankov")</f>
        <v>Rumen Marinov Yankov</v>
      </c>
      <c r="E397" s="7" t="str">
        <f>IFERROR(__xludf.DUMMYFUNCTION("""COMPUTED_VALUE"""),"SBI-code: 4120 - Algemene burgerlijke en utiliteitsbouw")</f>
        <v>SBI-code: 4120 - Algemene burgerlijke en utiliteitsbouw</v>
      </c>
      <c r="F397" s="7" t="str">
        <f>IFERROR(__xludf.DUMMYFUNCTION("""COMPUTED_VALUE"""),"0617957693")</f>
        <v>0617957693</v>
      </c>
      <c r="G397" s="6" t="str">
        <f>IFERROR(__xludf.DUMMYFUNCTION("""COMPUTED_VALUE"""),"rumen.yankow@gmail.com")</f>
        <v>rumen.yankow@gmail.com</v>
      </c>
      <c r="H397" s="6" t="str">
        <f>IFERROR(__xludf.DUMMYFUNCTION("""COMPUTED_VALUE"""),"Schlegelstraat 68")</f>
        <v>Schlegelstraat 68</v>
      </c>
      <c r="I397" s="6" t="str">
        <f>IFERROR(__xludf.DUMMYFUNCTION("""COMPUTED_VALUE"""),"2522PN")</f>
        <v>2522PN</v>
      </c>
      <c r="J397" s="6" t="str">
        <f>IFERROR(__xludf.DUMMYFUNCTION("""COMPUTED_VALUE"""),"s-Gravenhage")</f>
        <v>s-Gravenhage</v>
      </c>
      <c r="K397" s="6" t="str">
        <f>IFERROR(__xludf.DUMMYFUNCTION("""COMPUTED_VALUE"""),"Nederland")</f>
        <v>Nederland</v>
      </c>
      <c r="L397" s="6" t="str">
        <f>IFERROR(__xludf.DUMMYFUNCTION("""COMPUTED_VALUE"""),"Янков")</f>
        <v>Янков</v>
      </c>
      <c r="M397" s="8">
        <f>IFERROR(__xludf.DUMMYFUNCTION("""COMPUTED_VALUE"""),43586.0)</f>
        <v>43586</v>
      </c>
      <c r="N397" s="6" t="str">
        <f>IFERROR(__xludf.DUMMYFUNCTION("""COMPUTED_VALUE"""),"NL376730857B01")</f>
        <v>NL376730857B01</v>
      </c>
      <c r="O397" s="6">
        <f>IFERROR(__xludf.DUMMYFUNCTION("""COMPUTED_VALUE"""),7.472138E7)</f>
        <v>74721380</v>
      </c>
      <c r="P397" s="6" t="str">
        <f>IFERROR(__xludf.DUMMYFUNCTION("""COMPUTED_VALUE"""),"NL81INGB0009248773")</f>
        <v>NL81INGB0009248773</v>
      </c>
      <c r="Q397" s="9">
        <f>IFERROR(__xludf.DUMMYFUNCTION("""COMPUTED_VALUE"""),43586.0)</f>
        <v>43586</v>
      </c>
      <c r="R397" s="6"/>
      <c r="S397" s="6" t="str">
        <f>IFERROR(__xludf.DUMMYFUNCTION("""COMPUTED_VALUE"""),"NL002476024B55")</f>
        <v>NL002476024B55</v>
      </c>
      <c r="T397" s="6">
        <f>IFERROR(__xludf.DUMMYFUNCTION("""COMPUTED_VALUE"""),3.76730857E8)</f>
        <v>376730857</v>
      </c>
      <c r="U397" s="7" t="str">
        <f>IFERROR(__xludf.DUMMYFUNCTION("""COMPUTED_VALUE"""),"Eenmanszaak")</f>
        <v>Eenmanszaak</v>
      </c>
      <c r="V397" s="7" t="str">
        <f>IFERROR(__xludf.DUMMYFUNCTION("""COMPUTED_VALUE"""),"000042657776")</f>
        <v>000042657776</v>
      </c>
      <c r="W397" s="6" t="str">
        <f>IFERROR(__xludf.DUMMYFUNCTION("""COMPUTED_VALUE"""),"ink.rymsservice.2288aa@zarabota.nl")</f>
        <v>ink.rymsservice.2288aa@zarabota.nl</v>
      </c>
      <c r="X397" s="6" t="str">
        <f>IFERROR(__xludf.DUMMYFUNCTION("""COMPUTED_VALUE"""),"ver.rymsservice.2288aa@zarabota.nl")</f>
        <v>ver.rymsservice.2288aa@zarabota.nl</v>
      </c>
      <c r="Y397" s="6" t="str">
        <f>IFERROR(__xludf.DUMMYFUNCTION("""COMPUTED_VALUE"""),"Hr.")</f>
        <v>Hr.</v>
      </c>
      <c r="Z397" s="6" t="str">
        <f>IFERROR(__xludf.DUMMYFUNCTION("""COMPUTED_VALUE"""),"Rumen Marinov")</f>
        <v>Rumen Marinov</v>
      </c>
      <c r="AA397" s="6" t="str">
        <f>IFERROR(__xludf.DUMMYFUNCTION("""COMPUTED_VALUE"""),"Yankov")</f>
        <v>Yankov</v>
      </c>
      <c r="AB397" s="6" t="str">
        <f>IFERROR(__xludf.DUMMYFUNCTION("""COMPUTED_VALUE"""),"R.M.")</f>
        <v>R.M.</v>
      </c>
      <c r="AC397" s="6">
        <f>IFERROR(__xludf.DUMMYFUNCTION("""COMPUTED_VALUE"""),3.76730857E8)</f>
        <v>376730857</v>
      </c>
      <c r="AD397" s="9">
        <f>IFERROR(__xludf.DUMMYFUNCTION("""COMPUTED_VALUE"""),27595.0)</f>
        <v>27595</v>
      </c>
      <c r="AE397" s="6" t="str">
        <f>IFERROR(__xludf.DUMMYFUNCTION("""COMPUTED_VALUE"""),"bg")</f>
        <v>bg</v>
      </c>
      <c r="AF397" s="6" t="str">
        <f>IFERROR(__xludf.DUMMYFUNCTION("""COMPUTED_VALUE"""),"Rudozem")</f>
        <v>Rudozem</v>
      </c>
      <c r="AG397" s="6" t="str">
        <f>IFERROR(__xludf.DUMMYFUNCTION("""COMPUTED_VALUE"""),"Hr. R.M. Yankov")</f>
        <v>Hr. R.M. Yankov</v>
      </c>
      <c r="AH397" s="6" t="str">
        <f>IFERROR(__xludf.DUMMYFUNCTION("""COMPUTED_VALUE"""),"NL72INGB0700662413")</f>
        <v>NL72INGB0700662413</v>
      </c>
      <c r="AI397" s="6"/>
      <c r="AJ397" s="6"/>
      <c r="AK397" s="6"/>
      <c r="AL397" s="6"/>
      <c r="AM397" s="6"/>
      <c r="AN397" s="6" t="str">
        <f>IFERROR(__xludf.DUMMYFUNCTION("""COMPUTED_VALUE"""),"Rumen Marinov Yankov")</f>
        <v>Rumen Marinov Yankov</v>
      </c>
      <c r="AO397" s="6"/>
    </row>
    <row r="398">
      <c r="A398" s="6" t="str">
        <f>IFERROR(__xludf.DUMMYFUNCTION("""COMPUTED_VALUE"""),"S. Kucuk")</f>
        <v>S. Kucuk</v>
      </c>
      <c r="B398" s="6" t="str">
        <f>IFERROR(__xludf.DUMMYFUNCTION("""COMPUTED_VALUE"""),"S. Kucuk")</f>
        <v>S. Kucuk</v>
      </c>
      <c r="C398" s="6">
        <f>IFERROR(__xludf.DUMMYFUNCTION("""COMPUTED_VALUE"""),572.0)</f>
        <v>572</v>
      </c>
      <c r="D398" s="7" t="str">
        <f>IFERROR(__xludf.DUMMYFUNCTION("""COMPUTED_VALUE"""),"Serkan Kyucyuk")</f>
        <v>Serkan Kyucyuk</v>
      </c>
      <c r="E398" s="7" t="str">
        <f>IFERROR(__xludf.DUMMYFUNCTION("""COMPUTED_VALUE"""),"SBI-code: 4120 - Algemene burgerlijke en utiliteitsbouw")</f>
        <v>SBI-code: 4120 - Algemene burgerlijke en utiliteitsbouw</v>
      </c>
      <c r="F398" s="7" t="str">
        <f>IFERROR(__xludf.DUMMYFUNCTION("""COMPUTED_VALUE"""),"0682424799")</f>
        <v>0682424799</v>
      </c>
      <c r="G398" s="6" t="str">
        <f>IFERROR(__xludf.DUMMYFUNCTION("""COMPUTED_VALUE"""),"kucukserkan94@gmail.com")</f>
        <v>kucukserkan94@gmail.com</v>
      </c>
      <c r="H398" s="6" t="str">
        <f>IFERROR(__xludf.DUMMYFUNCTION("""COMPUTED_VALUE"""),"Wateringsestraat 262")</f>
        <v>Wateringsestraat 262</v>
      </c>
      <c r="I398" s="6" t="str">
        <f>IFERROR(__xludf.DUMMYFUNCTION("""COMPUTED_VALUE"""),"2512 PT")</f>
        <v>2512 PT</v>
      </c>
      <c r="J398" s="6" t="str">
        <f>IFERROR(__xludf.DUMMYFUNCTION("""COMPUTED_VALUE"""),"s-Gravenhage")</f>
        <v>s-Gravenhage</v>
      </c>
      <c r="K398" s="6" t="str">
        <f>IFERROR(__xludf.DUMMYFUNCTION("""COMPUTED_VALUE"""),"Nederland")</f>
        <v>Nederland</v>
      </c>
      <c r="L398" s="6" t="str">
        <f>IFERROR(__xludf.DUMMYFUNCTION("""COMPUTED_VALUE"""),"Кючук")</f>
        <v>Кючук</v>
      </c>
      <c r="M398" s="8">
        <f>IFERROR(__xludf.DUMMYFUNCTION("""COMPUTED_VALUE"""),43132.0)</f>
        <v>43132</v>
      </c>
      <c r="N398" s="6" t="str">
        <f>IFERROR(__xludf.DUMMYFUNCTION("""COMPUTED_VALUE"""),"NL349148119B01")</f>
        <v>NL349148119B01</v>
      </c>
      <c r="O398" s="6">
        <f>IFERROR(__xludf.DUMMYFUNCTION("""COMPUTED_VALUE"""),7.1561226E7)</f>
        <v>71561226</v>
      </c>
      <c r="P398" s="6" t="str">
        <f>IFERROR(__xludf.DUMMYFUNCTION("""COMPUTED_VALUE"""),"NL66INGB0008410575")</f>
        <v>NL66INGB0008410575</v>
      </c>
      <c r="Q398" s="9">
        <f>IFERROR(__xludf.DUMMYFUNCTION("""COMPUTED_VALUE"""),43133.0)</f>
        <v>43133</v>
      </c>
      <c r="R398" s="6"/>
      <c r="S398" s="6" t="str">
        <f>IFERROR(__xludf.DUMMYFUNCTION("""COMPUTED_VALUE"""),"NL002472112B52")</f>
        <v>NL002472112B52</v>
      </c>
      <c r="T398" s="6">
        <f>IFERROR(__xludf.DUMMYFUNCTION("""COMPUTED_VALUE"""),3.49148119E8)</f>
        <v>349148119</v>
      </c>
      <c r="U398" s="7" t="str">
        <f>IFERROR(__xludf.DUMMYFUNCTION("""COMPUTED_VALUE"""),"Eenmanszaak")</f>
        <v>Eenmanszaak</v>
      </c>
      <c r="V398" s="7" t="str">
        <f>IFERROR(__xludf.DUMMYFUNCTION("""COMPUTED_VALUE"""),"000039738345")</f>
        <v>000039738345</v>
      </c>
      <c r="W398" s="6" t="str">
        <f>IFERROR(__xludf.DUMMYFUNCTION("""COMPUTED_VALUE"""),"ink.s.kucuk.2288aa@zarabota.nl")</f>
        <v>ink.s.kucuk.2288aa@zarabota.nl</v>
      </c>
      <c r="X398" s="6" t="str">
        <f>IFERROR(__xludf.DUMMYFUNCTION("""COMPUTED_VALUE"""),"ver.s.kucuk.2288aa@zarabota.nl")</f>
        <v>ver.s.kucuk.2288aa@zarabota.nl</v>
      </c>
      <c r="Y398" s="6" t="str">
        <f>IFERROR(__xludf.DUMMYFUNCTION("""COMPUTED_VALUE"""),"Hr.")</f>
        <v>Hr.</v>
      </c>
      <c r="Z398" s="6" t="str">
        <f>IFERROR(__xludf.DUMMYFUNCTION("""COMPUTED_VALUE"""),"Serkan")</f>
        <v>Serkan</v>
      </c>
      <c r="AA398" s="6" t="str">
        <f>IFERROR(__xludf.DUMMYFUNCTION("""COMPUTED_VALUE"""),"Kyucyuk")</f>
        <v>Kyucyuk</v>
      </c>
      <c r="AB398" s="6" t="str">
        <f>IFERROR(__xludf.DUMMYFUNCTION("""COMPUTED_VALUE"""),"S.")</f>
        <v>S.</v>
      </c>
      <c r="AC398" s="6">
        <f>IFERROR(__xludf.DUMMYFUNCTION("""COMPUTED_VALUE"""),3.49148119E8)</f>
        <v>349148119</v>
      </c>
      <c r="AD398" s="9">
        <f>IFERROR(__xludf.DUMMYFUNCTION("""COMPUTED_VALUE"""),34661.0)</f>
        <v>34661</v>
      </c>
      <c r="AE398" s="6" t="str">
        <f>IFERROR(__xludf.DUMMYFUNCTION("""COMPUTED_VALUE"""),"bg")</f>
        <v>bg</v>
      </c>
      <c r="AF398" s="6" t="str">
        <f>IFERROR(__xludf.DUMMYFUNCTION("""COMPUTED_VALUE"""),"Turkije")</f>
        <v>Turkije</v>
      </c>
      <c r="AG398" s="6" t="str">
        <f>IFERROR(__xludf.DUMMYFUNCTION("""COMPUTED_VALUE"""),"Hr. S. Kyucyuk")</f>
        <v>Hr. S. Kyucyuk</v>
      </c>
      <c r="AH398" s="6"/>
      <c r="AI398" s="6"/>
      <c r="AJ398" s="6" t="str">
        <f>IFERROR(__xludf.DUMMYFUNCTION("""COMPUTED_VALUE"""),"ID Kaart")</f>
        <v>ID Kaart</v>
      </c>
      <c r="AK398" s="6"/>
      <c r="AL398" s="6"/>
      <c r="AM398" s="6"/>
      <c r="AN398" s="6" t="str">
        <f>IFERROR(__xludf.DUMMYFUNCTION("""COMPUTED_VALUE"""),"Serkan Kyucyuk")</f>
        <v>Serkan Kyucyuk</v>
      </c>
      <c r="AO398" s="6"/>
    </row>
    <row r="399">
      <c r="A399" s="6" t="str">
        <f>IFERROR(__xludf.DUMMYFUNCTION("""COMPUTED_VALUE"""),"S.H.V. Onderhoudsbedrijf")</f>
        <v>S.H.V. Onderhoudsbedrijf</v>
      </c>
      <c r="B399" s="6" t="str">
        <f>IFERROR(__xludf.DUMMYFUNCTION("""COMPUTED_VALUE"""),"S.H.V. Onderhoudsbedrijf")</f>
        <v>S.H.V. Onderhoudsbedrijf</v>
      </c>
      <c r="C399" s="6">
        <f>IFERROR(__xludf.DUMMYFUNCTION("""COMPUTED_VALUE"""),1667.0)</f>
        <v>1667</v>
      </c>
      <c r="D399" s="7" t="str">
        <f>IFERROR(__xludf.DUMMYFUNCTION("""COMPUTED_VALUE"""),"Svilen Hristov Velichkov")</f>
        <v>Svilen Hristov Velichkov</v>
      </c>
      <c r="E399" s="7" t="str">
        <f>IFERROR(__xludf.DUMMYFUNCTION("""COMPUTED_VALUE"""),"SBI-code: 4120 - Algemene burgerlijke en utiliteitsbouw")</f>
        <v>SBI-code: 4120 - Algemene burgerlijke en utiliteitsbouw</v>
      </c>
      <c r="F399" s="7" t="str">
        <f>IFERROR(__xludf.DUMMYFUNCTION("""COMPUTED_VALUE"""),"0646116989")</f>
        <v>0646116989</v>
      </c>
      <c r="G399" s="6" t="str">
        <f>IFERROR(__xludf.DUMMYFUNCTION("""COMPUTED_VALUE"""),"svilenvelichkov@yahoo.com")</f>
        <v>svilenvelichkov@yahoo.com</v>
      </c>
      <c r="H399" s="6" t="str">
        <f>IFERROR(__xludf.DUMMYFUNCTION("""COMPUTED_VALUE"""),"Columbusstraat 271 C")</f>
        <v>Columbusstraat 271 C</v>
      </c>
      <c r="I399" s="6" t="str">
        <f>IFERROR(__xludf.DUMMYFUNCTION("""COMPUTED_VALUE"""),"2561AL")</f>
        <v>2561AL</v>
      </c>
      <c r="J399" s="6" t="str">
        <f>IFERROR(__xludf.DUMMYFUNCTION("""COMPUTED_VALUE"""),"s-Gravenhage")</f>
        <v>s-Gravenhage</v>
      </c>
      <c r="K399" s="6" t="str">
        <f>IFERROR(__xludf.DUMMYFUNCTION("""COMPUTED_VALUE"""),"Nederland")</f>
        <v>Nederland</v>
      </c>
      <c r="L399" s="6" t="str">
        <f>IFERROR(__xludf.DUMMYFUNCTION("""COMPUTED_VALUE"""),"Величков")</f>
        <v>Величков</v>
      </c>
      <c r="M399" s="8">
        <f>IFERROR(__xludf.DUMMYFUNCTION("""COMPUTED_VALUE"""),45474.0)</f>
        <v>45474</v>
      </c>
      <c r="N399" s="6" t="str">
        <f>IFERROR(__xludf.DUMMYFUNCTION("""COMPUTED_VALUE"""),"NL264266961B01")</f>
        <v>NL264266961B01</v>
      </c>
      <c r="O399" s="6">
        <f>IFERROR(__xludf.DUMMYFUNCTION("""COMPUTED_VALUE"""),2.733023E7)</f>
        <v>27330230</v>
      </c>
      <c r="P399" s="6" t="str">
        <f>IFERROR(__xludf.DUMMYFUNCTION("""COMPUTED_VALUE"""),"NL16RABO0148763235")</f>
        <v>NL16RABO0148763235</v>
      </c>
      <c r="Q399" s="9">
        <f>IFERROR(__xludf.DUMMYFUNCTION("""COMPUTED_VALUE"""),39776.0)</f>
        <v>39776</v>
      </c>
      <c r="R399" s="6"/>
      <c r="S399" s="6" t="str">
        <f>IFERROR(__xludf.DUMMYFUNCTION("""COMPUTED_VALUE"""),"NL002455418B45")</f>
        <v>NL002455418B45</v>
      </c>
      <c r="T399" s="6">
        <f>IFERROR(__xludf.DUMMYFUNCTION("""COMPUTED_VALUE"""),2.64266961E8)</f>
        <v>264266961</v>
      </c>
      <c r="U399" s="7" t="str">
        <f>IFERROR(__xludf.DUMMYFUNCTION("""COMPUTED_VALUE"""),"Eenmanszaak")</f>
        <v>Eenmanszaak</v>
      </c>
      <c r="V399" s="7" t="str">
        <f>IFERROR(__xludf.DUMMYFUNCTION("""COMPUTED_VALUE"""),"000014590956")</f>
        <v>000014590956</v>
      </c>
      <c r="W399" s="6" t="str">
        <f>IFERROR(__xludf.DUMMYFUNCTION("""COMPUTED_VALUE"""),"ink.shv.2288aa@zarabota.nl")</f>
        <v>ink.shv.2288aa@zarabota.nl</v>
      </c>
      <c r="X399" s="6" t="str">
        <f>IFERROR(__xludf.DUMMYFUNCTION("""COMPUTED_VALUE"""),"ver.shv.2288aa@zarabota.nl")</f>
        <v>ver.shv.2288aa@zarabota.nl</v>
      </c>
      <c r="Y399" s="6" t="str">
        <f>IFERROR(__xludf.DUMMYFUNCTION("""COMPUTED_VALUE"""),"Hr.")</f>
        <v>Hr.</v>
      </c>
      <c r="Z399" s="6" t="str">
        <f>IFERROR(__xludf.DUMMYFUNCTION("""COMPUTED_VALUE"""),"Svilen Hristov")</f>
        <v>Svilen Hristov</v>
      </c>
      <c r="AA399" s="6" t="str">
        <f>IFERROR(__xludf.DUMMYFUNCTION("""COMPUTED_VALUE"""),"Velichkov")</f>
        <v>Velichkov</v>
      </c>
      <c r="AB399" s="6" t="str">
        <f>IFERROR(__xludf.DUMMYFUNCTION("""COMPUTED_VALUE"""),"S.H.")</f>
        <v>S.H.</v>
      </c>
      <c r="AC399" s="6">
        <f>IFERROR(__xludf.DUMMYFUNCTION("""COMPUTED_VALUE"""),2.64266961E8)</f>
        <v>264266961</v>
      </c>
      <c r="AD399" s="9">
        <f>IFERROR(__xludf.DUMMYFUNCTION("""COMPUTED_VALUE"""),27534.0)</f>
        <v>27534</v>
      </c>
      <c r="AE399" s="6" t="str">
        <f>IFERROR(__xludf.DUMMYFUNCTION("""COMPUTED_VALUE"""),"bg")</f>
        <v>bg</v>
      </c>
      <c r="AF399" s="6" t="str">
        <f>IFERROR(__xludf.DUMMYFUNCTION("""COMPUTED_VALUE"""),"Gorna Oryahovica")</f>
        <v>Gorna Oryahovica</v>
      </c>
      <c r="AG399" s="6" t="str">
        <f>IFERROR(__xludf.DUMMYFUNCTION("""COMPUTED_VALUE"""),"Hr. S.H. Velichkov")</f>
        <v>Hr. S.H. Velichkov</v>
      </c>
      <c r="AH399" s="6"/>
      <c r="AI399" s="6"/>
      <c r="AJ399" s="6"/>
      <c r="AK399" s="6"/>
      <c r="AL399" s="6"/>
      <c r="AM399" s="6" t="str">
        <f>IFERROR(__xludf.DUMMYFUNCTION("""COMPUTED_VALUE"""),"Bulgarije")</f>
        <v>Bulgarije</v>
      </c>
      <c r="AN399" s="6" t="str">
        <f>IFERROR(__xludf.DUMMYFUNCTION("""COMPUTED_VALUE"""),"Svilen Hristov Velichkov")</f>
        <v>Svilen Hristov Velichkov</v>
      </c>
      <c r="AO399" s="6">
        <f>IFERROR(__xludf.DUMMYFUNCTION("""COMPUTED_VALUE"""),1667.0)</f>
        <v>1667</v>
      </c>
    </row>
    <row r="400">
      <c r="A400" s="6" t="str">
        <f>IFERROR(__xludf.DUMMYFUNCTION("""COMPUTED_VALUE"""),"S.R.S. Bouwbedrijf")</f>
        <v>S.R.S. Bouwbedrijf</v>
      </c>
      <c r="B400" s="6" t="str">
        <f>IFERROR(__xludf.DUMMYFUNCTION("""COMPUTED_VALUE"""),"S.R.S. Bouwbedrijf")</f>
        <v>S.R.S. Bouwbedrijf</v>
      </c>
      <c r="C400" s="6">
        <f>IFERROR(__xludf.DUMMYFUNCTION("""COMPUTED_VALUE"""),1460.0)</f>
        <v>1460</v>
      </c>
      <c r="D400" s="7" t="str">
        <f>IFERROR(__xludf.DUMMYFUNCTION("""COMPUTED_VALUE"""),"Shefket Ramadan Shefket")</f>
        <v>Shefket Ramadan Shefket</v>
      </c>
      <c r="E400" s="7" t="str">
        <f>IFERROR(__xludf.DUMMYFUNCTION("""COMPUTED_VALUE"""),"SBI-code: 4120 - Algemene burgerlijke en utiliteitsbouw")</f>
        <v>SBI-code: 4120 - Algemene burgerlijke en utiliteitsbouw</v>
      </c>
      <c r="F400" s="7" t="str">
        <f>IFERROR(__xludf.DUMMYFUNCTION("""COMPUTED_VALUE"""),"0634610481")</f>
        <v>0634610481</v>
      </c>
      <c r="G400" s="6" t="str">
        <f>IFERROR(__xludf.DUMMYFUNCTION("""COMPUTED_VALUE"""),"shefket_shefket@abv.bg")</f>
        <v>shefket_shefket@abv.bg</v>
      </c>
      <c r="H400" s="6" t="str">
        <f>IFERROR(__xludf.DUMMYFUNCTION("""COMPUTED_VALUE"""),"Hulshorststraat 3")</f>
        <v>Hulshorststraat 3</v>
      </c>
      <c r="I400" s="6" t="str">
        <f>IFERROR(__xludf.DUMMYFUNCTION("""COMPUTED_VALUE"""),"2573 EA")</f>
        <v>2573 EA</v>
      </c>
      <c r="J400" s="6" t="str">
        <f>IFERROR(__xludf.DUMMYFUNCTION("""COMPUTED_VALUE"""),"s-Gravenhage")</f>
        <v>s-Gravenhage</v>
      </c>
      <c r="K400" s="6" t="str">
        <f>IFERROR(__xludf.DUMMYFUNCTION("""COMPUTED_VALUE"""),"Nederland")</f>
        <v>Nederland</v>
      </c>
      <c r="L400" s="6" t="str">
        <f>IFERROR(__xludf.DUMMYFUNCTION("""COMPUTED_VALUE"""),"Шефкет")</f>
        <v>Шефкет</v>
      </c>
      <c r="M400" s="8">
        <f>IFERROR(__xludf.DUMMYFUNCTION("""COMPUTED_VALUE"""),44927.0)</f>
        <v>44927</v>
      </c>
      <c r="N400" s="6" t="str">
        <f>IFERROR(__xludf.DUMMYFUNCTION("""COMPUTED_VALUE"""),"NL539250144B01")</f>
        <v>NL539250144B01</v>
      </c>
      <c r="O400" s="6">
        <f>IFERROR(__xludf.DUMMYFUNCTION("""COMPUTED_VALUE"""),8.9179153E7)</f>
        <v>89179153</v>
      </c>
      <c r="P400" s="6" t="str">
        <f>IFERROR(__xludf.DUMMYFUNCTION("""COMPUTED_VALUE"""),"NL95INGB0101450028")</f>
        <v>NL95INGB0101450028</v>
      </c>
      <c r="Q400" s="9">
        <f>IFERROR(__xludf.DUMMYFUNCTION("""COMPUTED_VALUE"""),44927.0)</f>
        <v>44927</v>
      </c>
      <c r="R400" s="6"/>
      <c r="S400" s="6" t="str">
        <f>IFERROR(__xludf.DUMMYFUNCTION("""COMPUTED_VALUE"""),"NL004699585B76")</f>
        <v>NL004699585B76</v>
      </c>
      <c r="T400" s="6">
        <f>IFERROR(__xludf.DUMMYFUNCTION("""COMPUTED_VALUE"""),5.39250144E8)</f>
        <v>539250144</v>
      </c>
      <c r="U400" s="7" t="str">
        <f>IFERROR(__xludf.DUMMYFUNCTION("""COMPUTED_VALUE"""),"Eenmanszaak")</f>
        <v>Eenmanszaak</v>
      </c>
      <c r="V400" s="7" t="str">
        <f>IFERROR(__xludf.DUMMYFUNCTION("""COMPUTED_VALUE"""),"000054986117")</f>
        <v>000054986117</v>
      </c>
      <c r="W400" s="6" t="str">
        <f>IFERROR(__xludf.DUMMYFUNCTION("""COMPUTED_VALUE"""),"ink.srsbouwbedrijf.2288aa@zarabota.nl")</f>
        <v>ink.srsbouwbedrijf.2288aa@zarabota.nl</v>
      </c>
      <c r="X400" s="6" t="str">
        <f>IFERROR(__xludf.DUMMYFUNCTION("""COMPUTED_VALUE"""),"ver.srsbouwbedrijf.2288aa@zarabota.nl")</f>
        <v>ver.srsbouwbedrijf.2288aa@zarabota.nl</v>
      </c>
      <c r="Y400" s="6" t="str">
        <f>IFERROR(__xludf.DUMMYFUNCTION("""COMPUTED_VALUE"""),"Hr.")</f>
        <v>Hr.</v>
      </c>
      <c r="Z400" s="6" t="str">
        <f>IFERROR(__xludf.DUMMYFUNCTION("""COMPUTED_VALUE"""),"Shefket Ramadan")</f>
        <v>Shefket Ramadan</v>
      </c>
      <c r="AA400" s="6" t="str">
        <f>IFERROR(__xludf.DUMMYFUNCTION("""COMPUTED_VALUE"""),"Shefket")</f>
        <v>Shefket</v>
      </c>
      <c r="AB400" s="6" t="str">
        <f>IFERROR(__xludf.DUMMYFUNCTION("""COMPUTED_VALUE"""),"S.R.")</f>
        <v>S.R.</v>
      </c>
      <c r="AC400" s="6">
        <f>IFERROR(__xludf.DUMMYFUNCTION("""COMPUTED_VALUE"""),5.39250144E8)</f>
        <v>539250144</v>
      </c>
      <c r="AD400" s="9">
        <f>IFERROR(__xludf.DUMMYFUNCTION("""COMPUTED_VALUE"""),31694.0)</f>
        <v>31694</v>
      </c>
      <c r="AE400" s="6" t="str">
        <f>IFERROR(__xludf.DUMMYFUNCTION("""COMPUTED_VALUE"""),"bg")</f>
        <v>bg</v>
      </c>
      <c r="AF400" s="6" t="str">
        <f>IFERROR(__xludf.DUMMYFUNCTION("""COMPUTED_VALUE"""),"Haskovo")</f>
        <v>Haskovo</v>
      </c>
      <c r="AG400" s="6" t="str">
        <f>IFERROR(__xludf.DUMMYFUNCTION("""COMPUTED_VALUE"""),"Hr. S.R. Shefket")</f>
        <v>Hr. S.R. Shefket</v>
      </c>
      <c r="AH400" s="6"/>
      <c r="AI400" s="6"/>
      <c r="AJ400" s="6" t="str">
        <f>IFERROR(__xludf.DUMMYFUNCTION("""COMPUTED_VALUE"""),"ID Kaart")</f>
        <v>ID Kaart</v>
      </c>
      <c r="AK400" s="6">
        <f>IFERROR(__xludf.DUMMYFUNCTION("""COMPUTED_VALUE"""),6.45723477E8)</f>
        <v>645723477</v>
      </c>
      <c r="AL400" s="9">
        <f>IFERROR(__xludf.DUMMYFUNCTION("""COMPUTED_VALUE"""),45754.0)</f>
        <v>45754</v>
      </c>
      <c r="AM400" s="6" t="str">
        <f>IFERROR(__xludf.DUMMYFUNCTION("""COMPUTED_VALUE"""),"Bulgarije")</f>
        <v>Bulgarije</v>
      </c>
      <c r="AN400" s="6" t="str">
        <f>IFERROR(__xludf.DUMMYFUNCTION("""COMPUTED_VALUE"""),"Shefket Ramadan Shefket")</f>
        <v>Shefket Ramadan Shefket</v>
      </c>
      <c r="AO400" s="6">
        <f>IFERROR(__xludf.DUMMYFUNCTION("""COMPUTED_VALUE"""),1460.0)</f>
        <v>1460</v>
      </c>
    </row>
    <row r="401">
      <c r="A401" s="6" t="str">
        <f>IFERROR(__xludf.DUMMYFUNCTION("""COMPUTED_VALUE"""),"SABO Renovatie")</f>
        <v>SABO Renovatie</v>
      </c>
      <c r="B401" s="6" t="str">
        <f>IFERROR(__xludf.DUMMYFUNCTION("""COMPUTED_VALUE"""),"SABO Renovatie")</f>
        <v>SABO Renovatie</v>
      </c>
      <c r="C401" s="6">
        <f>IFERROR(__xludf.DUMMYFUNCTION("""COMPUTED_VALUE"""),1390.0)</f>
        <v>1390</v>
      </c>
      <c r="D401" s="7" t="str">
        <f>IFERROR(__xludf.DUMMYFUNCTION("""COMPUTED_VALUE"""),"Dmytro Kuz")</f>
        <v>Dmytro Kuz</v>
      </c>
      <c r="E401" s="7" t="str">
        <f>IFERROR(__xludf.DUMMYFUNCTION("""COMPUTED_VALUE"""),"SBI-code: 4120 - Algemene burgerlijke en utiliteitsbouw")</f>
        <v>SBI-code: 4120 - Algemene burgerlijke en utiliteitsbouw</v>
      </c>
      <c r="F401" s="7" t="str">
        <f>IFERROR(__xludf.DUMMYFUNCTION("""COMPUTED_VALUE"""),"+31 6 81 03 40 28")</f>
        <v>+31 6 81 03 40 28</v>
      </c>
      <c r="G401" s="6" t="str">
        <f>IFERROR(__xludf.DUMMYFUNCTION("""COMPUTED_VALUE"""),"infoo.sabo@gmail.com")</f>
        <v>infoo.sabo@gmail.com</v>
      </c>
      <c r="H401" s="6" t="str">
        <f>IFERROR(__xludf.DUMMYFUNCTION("""COMPUTED_VALUE"""),"Badhuisstraat 216")</f>
        <v>Badhuisstraat 216</v>
      </c>
      <c r="I401" s="6" t="str">
        <f>IFERROR(__xludf.DUMMYFUNCTION("""COMPUTED_VALUE"""),"2584HN")</f>
        <v>2584HN</v>
      </c>
      <c r="J401" s="6" t="str">
        <f>IFERROR(__xludf.DUMMYFUNCTION("""COMPUTED_VALUE"""),"s-Gravenhage")</f>
        <v>s-Gravenhage</v>
      </c>
      <c r="K401" s="6" t="str">
        <f>IFERROR(__xludf.DUMMYFUNCTION("""COMPUTED_VALUE"""),"Nederland")</f>
        <v>Nederland</v>
      </c>
      <c r="L401" s="6" t="str">
        <f>IFERROR(__xludf.DUMMYFUNCTION("""COMPUTED_VALUE"""),"Куз")</f>
        <v>Куз</v>
      </c>
      <c r="M401" s="8">
        <f>IFERROR(__xludf.DUMMYFUNCTION("""COMPUTED_VALUE"""),44743.0)</f>
        <v>44743</v>
      </c>
      <c r="N401" s="6" t="str">
        <f>IFERROR(__xludf.DUMMYFUNCTION("""COMPUTED_VALUE"""),"NL408696278B01")</f>
        <v>NL408696278B01</v>
      </c>
      <c r="O401" s="6">
        <f>IFERROR(__xludf.DUMMYFUNCTION("""COMPUTED_VALUE"""),8.6778242E7)</f>
        <v>86778242</v>
      </c>
      <c r="P401" s="6" t="str">
        <f>IFERROR(__xludf.DUMMYFUNCTION("""COMPUTED_VALUE"""),"NL64INGB0395747422")</f>
        <v>NL64INGB0395747422</v>
      </c>
      <c r="Q401" s="9">
        <f>IFERROR(__xludf.DUMMYFUNCTION("""COMPUTED_VALUE"""),44743.0)</f>
        <v>44743</v>
      </c>
      <c r="R401" s="6"/>
      <c r="S401" s="6" t="str">
        <f>IFERROR(__xludf.DUMMYFUNCTION("""COMPUTED_VALUE"""),"NL004311874B94")</f>
        <v>NL004311874B94</v>
      </c>
      <c r="T401" s="6">
        <f>IFERROR(__xludf.DUMMYFUNCTION("""COMPUTED_VALUE"""),4.08696278E8)</f>
        <v>408696278</v>
      </c>
      <c r="U401" s="7" t="str">
        <f>IFERROR(__xludf.DUMMYFUNCTION("""COMPUTED_VALUE"""),"Eenmanszaak")</f>
        <v>Eenmanszaak</v>
      </c>
      <c r="V401" s="7" t="str">
        <f>IFERROR(__xludf.DUMMYFUNCTION("""COMPUTED_VALUE"""),"000052732789")</f>
        <v>000052732789</v>
      </c>
      <c r="W401" s="6" t="str">
        <f>IFERROR(__xludf.DUMMYFUNCTION("""COMPUTED_VALUE"""),"ink.sabo.2288aa@zarabota.nl")</f>
        <v>ink.sabo.2288aa@zarabota.nl</v>
      </c>
      <c r="X401" s="6" t="str">
        <f>IFERROR(__xludf.DUMMYFUNCTION("""COMPUTED_VALUE"""),"ver.sabo.2288aa@zarabota.nl")</f>
        <v>ver.sabo.2288aa@zarabota.nl</v>
      </c>
      <c r="Y401" s="6" t="str">
        <f>IFERROR(__xludf.DUMMYFUNCTION("""COMPUTED_VALUE"""),"Hr.")</f>
        <v>Hr.</v>
      </c>
      <c r="Z401" s="6" t="str">
        <f>IFERROR(__xludf.DUMMYFUNCTION("""COMPUTED_VALUE"""),"Dmytro")</f>
        <v>Dmytro</v>
      </c>
      <c r="AA401" s="6" t="str">
        <f>IFERROR(__xludf.DUMMYFUNCTION("""COMPUTED_VALUE"""),"Kuz")</f>
        <v>Kuz</v>
      </c>
      <c r="AB401" s="6" t="str">
        <f>IFERROR(__xludf.DUMMYFUNCTION("""COMPUTED_VALUE"""),"D.")</f>
        <v>D.</v>
      </c>
      <c r="AC401" s="6">
        <f>IFERROR(__xludf.DUMMYFUNCTION("""COMPUTED_VALUE"""),4.08696278E8)</f>
        <v>408696278</v>
      </c>
      <c r="AD401" s="9">
        <f>IFERROR(__xludf.DUMMYFUNCTION("""COMPUTED_VALUE"""),36105.0)</f>
        <v>36105</v>
      </c>
      <c r="AE401" s="6" t="str">
        <f>IFERROR(__xludf.DUMMYFUNCTION("""COMPUTED_VALUE"""),"ru")</f>
        <v>ru</v>
      </c>
      <c r="AF401" s="6" t="str">
        <f>IFERROR(__xludf.DUMMYFUNCTION("""COMPUTED_VALUE"""),"Kalush")</f>
        <v>Kalush</v>
      </c>
      <c r="AG401" s="6" t="str">
        <f>IFERROR(__xludf.DUMMYFUNCTION("""COMPUTED_VALUE"""),"Hr. D. Kuz")</f>
        <v>Hr. D. Kuz</v>
      </c>
      <c r="AH401" s="6"/>
      <c r="AI401" s="6"/>
      <c r="AJ401" s="6" t="str">
        <f>IFERROR(__xludf.DUMMYFUNCTION("""COMPUTED_VALUE"""),"Paspoort")</f>
        <v>Paspoort</v>
      </c>
      <c r="AK401" s="6" t="str">
        <f>IFERROR(__xludf.DUMMYFUNCTION("""COMPUTED_VALUE"""),"FL499703")</f>
        <v>FL499703</v>
      </c>
      <c r="AL401" s="9">
        <f>IFERROR(__xludf.DUMMYFUNCTION("""COMPUTED_VALUE"""),46785.0)</f>
        <v>46785</v>
      </c>
      <c r="AM401" s="6" t="str">
        <f>IFERROR(__xludf.DUMMYFUNCTION("""COMPUTED_VALUE"""),"Oekraïne")</f>
        <v>Oekraïne</v>
      </c>
      <c r="AN401" s="6" t="str">
        <f>IFERROR(__xludf.DUMMYFUNCTION("""COMPUTED_VALUE"""),"Dmytro Kuz")</f>
        <v>Dmytro Kuz</v>
      </c>
      <c r="AO401" s="6">
        <f>IFERROR(__xludf.DUMMYFUNCTION("""COMPUTED_VALUE"""),1390.0)</f>
        <v>1390</v>
      </c>
    </row>
    <row r="402">
      <c r="A402" s="6" t="str">
        <f>IFERROR(__xludf.DUMMYFUNCTION("""COMPUTED_VALUE"""),"SabSa")</f>
        <v>SabSa</v>
      </c>
      <c r="B402" s="6" t="str">
        <f>IFERROR(__xludf.DUMMYFUNCTION("""COMPUTED_VALUE"""),"SabSa")</f>
        <v>SabSa</v>
      </c>
      <c r="C402" s="6">
        <f>IFERROR(__xludf.DUMMYFUNCTION("""COMPUTED_VALUE"""),359.0)</f>
        <v>359</v>
      </c>
      <c r="D402" s="7" t="str">
        <f>IFERROR(__xludf.DUMMYFUNCTION("""COMPUTED_VALUE"""),"Sabri Bahtinur Sabri")</f>
        <v>Sabri Bahtinur Sabri</v>
      </c>
      <c r="E402" s="7" t="str">
        <f>IFERROR(__xludf.DUMMYFUNCTION("""COMPUTED_VALUE"""),"SBI-code: 4120 - Algemene burgerlijke en utiliteitsbouw")</f>
        <v>SBI-code: 4120 - Algemene burgerlijke en utiliteitsbouw</v>
      </c>
      <c r="F402" s="7" t="str">
        <f>IFERROR(__xludf.DUMMYFUNCTION("""COMPUTED_VALUE"""),"0614616217")</f>
        <v>0614616217</v>
      </c>
      <c r="G402" s="6" t="str">
        <f>IFERROR(__xludf.DUMMYFUNCTION("""COMPUTED_VALUE"""),"sabriii1982@gmail.com")</f>
        <v>sabriii1982@gmail.com</v>
      </c>
      <c r="H402" s="6" t="str">
        <f>IFERROR(__xludf.DUMMYFUNCTION("""COMPUTED_VALUE"""),"Leyweg 962")</f>
        <v>Leyweg 962</v>
      </c>
      <c r="I402" s="6" t="str">
        <f>IFERROR(__xludf.DUMMYFUNCTION("""COMPUTED_VALUE"""),"2545 GV")</f>
        <v>2545 GV</v>
      </c>
      <c r="J402" s="6" t="str">
        <f>IFERROR(__xludf.DUMMYFUNCTION("""COMPUTED_VALUE"""),"s-Gravenhage")</f>
        <v>s-Gravenhage</v>
      </c>
      <c r="K402" s="6" t="str">
        <f>IFERROR(__xludf.DUMMYFUNCTION("""COMPUTED_VALUE"""),"Nederland")</f>
        <v>Nederland</v>
      </c>
      <c r="L402" s="6" t="str">
        <f>IFERROR(__xludf.DUMMYFUNCTION("""COMPUTED_VALUE"""),"Сабри")</f>
        <v>Сабри</v>
      </c>
      <c r="M402" s="8">
        <f>IFERROR(__xludf.DUMMYFUNCTION("""COMPUTED_VALUE"""),43175.0)</f>
        <v>43175</v>
      </c>
      <c r="N402" s="6" t="str">
        <f>IFERROR(__xludf.DUMMYFUNCTION("""COMPUTED_VALUE"""),"NL450390536B01")</f>
        <v>NL450390536B01</v>
      </c>
      <c r="O402" s="6">
        <f>IFERROR(__xludf.DUMMYFUNCTION("""COMPUTED_VALUE"""),6.7325645E7)</f>
        <v>67325645</v>
      </c>
      <c r="P402" s="6" t="str">
        <f>IFERROR(__xludf.DUMMYFUNCTION("""COMPUTED_VALUE"""),"NL60INGB0007594622")</f>
        <v>NL60INGB0007594622</v>
      </c>
      <c r="Q402" s="9">
        <f>IFERROR(__xludf.DUMMYFUNCTION("""COMPUTED_VALUE"""),42695.0)</f>
        <v>42695</v>
      </c>
      <c r="R402" s="6"/>
      <c r="S402" s="6" t="str">
        <f>IFERROR(__xludf.DUMMYFUNCTION("""COMPUTED_VALUE"""),"NL002485666B92")</f>
        <v>NL002485666B92</v>
      </c>
      <c r="T402" s="6">
        <f>IFERROR(__xludf.DUMMYFUNCTION("""COMPUTED_VALUE"""),4.50390536E8)</f>
        <v>450390536</v>
      </c>
      <c r="U402" s="7" t="str">
        <f>IFERROR(__xludf.DUMMYFUNCTION("""COMPUTED_VALUE"""),"Eenmanszaak")</f>
        <v>Eenmanszaak</v>
      </c>
      <c r="V402" s="7" t="str">
        <f>IFERROR(__xludf.DUMMYFUNCTION("""COMPUTED_VALUE"""),"000035876069")</f>
        <v>000035876069</v>
      </c>
      <c r="W402" s="6" t="str">
        <f>IFERROR(__xludf.DUMMYFUNCTION("""COMPUTED_VALUE"""),"ink.sabsa.2288aa@zarabota.nl")</f>
        <v>ink.sabsa.2288aa@zarabota.nl</v>
      </c>
      <c r="X402" s="6" t="str">
        <f>IFERROR(__xludf.DUMMYFUNCTION("""COMPUTED_VALUE"""),"ver.sabsa.2288aa@zarabota.nl")</f>
        <v>ver.sabsa.2288aa@zarabota.nl</v>
      </c>
      <c r="Y402" s="6" t="str">
        <f>IFERROR(__xludf.DUMMYFUNCTION("""COMPUTED_VALUE"""),"Hr.")</f>
        <v>Hr.</v>
      </c>
      <c r="Z402" s="6" t="str">
        <f>IFERROR(__xludf.DUMMYFUNCTION("""COMPUTED_VALUE"""),"Sabri Bahtinur")</f>
        <v>Sabri Bahtinur</v>
      </c>
      <c r="AA402" s="6" t="str">
        <f>IFERROR(__xludf.DUMMYFUNCTION("""COMPUTED_VALUE"""),"Sabri")</f>
        <v>Sabri</v>
      </c>
      <c r="AB402" s="6" t="str">
        <f>IFERROR(__xludf.DUMMYFUNCTION("""COMPUTED_VALUE"""),"S.B")</f>
        <v>S.B</v>
      </c>
      <c r="AC402" s="6">
        <f>IFERROR(__xludf.DUMMYFUNCTION("""COMPUTED_VALUE"""),4.50390536E8)</f>
        <v>450390536</v>
      </c>
      <c r="AD402" s="9">
        <f>IFERROR(__xludf.DUMMYFUNCTION("""COMPUTED_VALUE"""),29959.0)</f>
        <v>29959</v>
      </c>
      <c r="AE402" s="6" t="str">
        <f>IFERROR(__xludf.DUMMYFUNCTION("""COMPUTED_VALUE"""),"bg")</f>
        <v>bg</v>
      </c>
      <c r="AF402" s="6" t="str">
        <f>IFERROR(__xludf.DUMMYFUNCTION("""COMPUTED_VALUE"""),"Haskovo")</f>
        <v>Haskovo</v>
      </c>
      <c r="AG402" s="6" t="str">
        <f>IFERROR(__xludf.DUMMYFUNCTION("""COMPUTED_VALUE"""),"Hr. S.B Sabri")</f>
        <v>Hr. S.B Sabri</v>
      </c>
      <c r="AH402" s="6" t="str">
        <f>IFERROR(__xludf.DUMMYFUNCTION("""COMPUTED_VALUE"""),"NL25ABNA0531870413")</f>
        <v>NL25ABNA0531870413</v>
      </c>
      <c r="AI402" s="6"/>
      <c r="AJ402" s="6"/>
      <c r="AK402" s="6"/>
      <c r="AL402" s="6"/>
      <c r="AM402" s="6"/>
      <c r="AN402" s="6" t="str">
        <f>IFERROR(__xludf.DUMMYFUNCTION("""COMPUTED_VALUE"""),"Sabri Bahtinur Sabri")</f>
        <v>Sabri Bahtinur Sabri</v>
      </c>
      <c r="AO402" s="6"/>
    </row>
    <row r="403">
      <c r="A403" s="6" t="str">
        <f>IFERROR(__xludf.DUMMYFUNCTION("""COMPUTED_VALUE"""),"Saleks")</f>
        <v>Saleks</v>
      </c>
      <c r="B403" s="6" t="str">
        <f>IFERROR(__xludf.DUMMYFUNCTION("""COMPUTED_VALUE"""),"Saleks")</f>
        <v>Saleks</v>
      </c>
      <c r="C403" s="6">
        <f>IFERROR(__xludf.DUMMYFUNCTION("""COMPUTED_VALUE"""),1263.0)</f>
        <v>1263</v>
      </c>
      <c r="D403" s="7" t="str">
        <f>IFERROR(__xludf.DUMMYFUNCTION("""COMPUTED_VALUE"""),"Sarko  Nishanov Nishanov")</f>
        <v>Sarko  Nishanov Nishanov</v>
      </c>
      <c r="E403" s="7" t="str">
        <f>IFERROR(__xludf.DUMMYFUNCTION("""COMPUTED_VALUE"""),"SBI-code: 4120 - Algemene burgerlijke en utiliteitsbouw")</f>
        <v>SBI-code: 4120 - Algemene burgerlijke en utiliteitsbouw</v>
      </c>
      <c r="F403" s="7" t="str">
        <f>IFERROR(__xludf.DUMMYFUNCTION("""COMPUTED_VALUE"""),"0642261875")</f>
        <v>0642261875</v>
      </c>
      <c r="G403" s="6" t="str">
        <f>IFERROR(__xludf.DUMMYFUNCTION("""COMPUTED_VALUE"""),"SALEKS1305@GMAIL.COM")</f>
        <v>SALEKS1305@GMAIL.COM</v>
      </c>
      <c r="H403" s="6" t="str">
        <f>IFERROR(__xludf.DUMMYFUNCTION("""COMPUTED_VALUE"""),"Paulinastraat 89")</f>
        <v>Paulinastraat 89</v>
      </c>
      <c r="I403" s="6" t="str">
        <f>IFERROR(__xludf.DUMMYFUNCTION("""COMPUTED_VALUE"""),"2595GH")</f>
        <v>2595GH</v>
      </c>
      <c r="J403" s="6" t="str">
        <f>IFERROR(__xludf.DUMMYFUNCTION("""COMPUTED_VALUE"""),"s-Gravenhage")</f>
        <v>s-Gravenhage</v>
      </c>
      <c r="K403" s="6" t="str">
        <f>IFERROR(__xludf.DUMMYFUNCTION("""COMPUTED_VALUE"""),"Nederland")</f>
        <v>Nederland</v>
      </c>
      <c r="L403" s="6" t="str">
        <f>IFERROR(__xludf.DUMMYFUNCTION("""COMPUTED_VALUE"""),"Нишанов")</f>
        <v>Нишанов</v>
      </c>
      <c r="M403" s="8">
        <f>IFERROR(__xludf.DUMMYFUNCTION("""COMPUTED_VALUE"""),44197.0)</f>
        <v>44197</v>
      </c>
      <c r="N403" s="6" t="str">
        <f>IFERROR(__xludf.DUMMYFUNCTION("""COMPUTED_VALUE"""),"NL362036627B01")</f>
        <v>NL362036627B01</v>
      </c>
      <c r="O403" s="6">
        <f>IFERROR(__xludf.DUMMYFUNCTION("""COMPUTED_VALUE"""),8.1578539E7)</f>
        <v>81578539</v>
      </c>
      <c r="P403" s="6" t="str">
        <f>IFERROR(__xludf.DUMMYFUNCTION("""COMPUTED_VALUE"""),"NL56INGB0675619823")</f>
        <v>NL56INGB0675619823</v>
      </c>
      <c r="Q403" s="9">
        <f>IFERROR(__xludf.DUMMYFUNCTION("""COMPUTED_VALUE"""),44197.0)</f>
        <v>44197</v>
      </c>
      <c r="R403" s="6"/>
      <c r="S403" s="6" t="str">
        <f>IFERROR(__xludf.DUMMYFUNCTION("""COMPUTED_VALUE"""),"NL003577617B88")</f>
        <v>NL003577617B88</v>
      </c>
      <c r="T403" s="6">
        <f>IFERROR(__xludf.DUMMYFUNCTION("""COMPUTED_VALUE"""),3.62036627E8)</f>
        <v>362036627</v>
      </c>
      <c r="U403" s="7" t="str">
        <f>IFERROR(__xludf.DUMMYFUNCTION("""COMPUTED_VALUE"""),"Eenmanszaak")</f>
        <v>Eenmanszaak</v>
      </c>
      <c r="V403" s="7" t="str">
        <f>IFERROR(__xludf.DUMMYFUNCTION("""COMPUTED_VALUE"""),"000047860022")</f>
        <v>000047860022</v>
      </c>
      <c r="W403" s="6" t="str">
        <f>IFERROR(__xludf.DUMMYFUNCTION("""COMPUTED_VALUE"""),"ink.saleks.2288aa@zarabota.nl")</f>
        <v>ink.saleks.2288aa@zarabota.nl</v>
      </c>
      <c r="X403" s="6" t="str">
        <f>IFERROR(__xludf.DUMMYFUNCTION("""COMPUTED_VALUE"""),"ver.saleks.2288aa@zarabota.nl")</f>
        <v>ver.saleks.2288aa@zarabota.nl</v>
      </c>
      <c r="Y403" s="6" t="str">
        <f>IFERROR(__xludf.DUMMYFUNCTION("""COMPUTED_VALUE"""),"Hr.")</f>
        <v>Hr.</v>
      </c>
      <c r="Z403" s="6" t="str">
        <f>IFERROR(__xludf.DUMMYFUNCTION("""COMPUTED_VALUE"""),"Sarko  Nishanov")</f>
        <v>Sarko  Nishanov</v>
      </c>
      <c r="AA403" s="6" t="str">
        <f>IFERROR(__xludf.DUMMYFUNCTION("""COMPUTED_VALUE"""),"Nishanov")</f>
        <v>Nishanov</v>
      </c>
      <c r="AB403" s="6" t="str">
        <f>IFERROR(__xludf.DUMMYFUNCTION("""COMPUTED_VALUE"""),"S.N.")</f>
        <v>S.N.</v>
      </c>
      <c r="AC403" s="6">
        <f>IFERROR(__xludf.DUMMYFUNCTION("""COMPUTED_VALUE"""),3.62036627E8)</f>
        <v>362036627</v>
      </c>
      <c r="AD403" s="9">
        <f>IFERROR(__xludf.DUMMYFUNCTION("""COMPUTED_VALUE"""),24025.0)</f>
        <v>24025</v>
      </c>
      <c r="AE403" s="6" t="str">
        <f>IFERROR(__xludf.DUMMYFUNCTION("""COMPUTED_VALUE"""),"bg")</f>
        <v>bg</v>
      </c>
      <c r="AF403" s="6" t="str">
        <f>IFERROR(__xludf.DUMMYFUNCTION("""COMPUTED_VALUE"""),"Varna")</f>
        <v>Varna</v>
      </c>
      <c r="AG403" s="6" t="str">
        <f>IFERROR(__xludf.DUMMYFUNCTION("""COMPUTED_VALUE"""),"Hr. S.N. Nishanov")</f>
        <v>Hr. S.N. Nishanov</v>
      </c>
      <c r="AH403" s="6" t="str">
        <f>IFERROR(__xludf.DUMMYFUNCTION("""COMPUTED_VALUE"""),"NL08INGB0665811659")</f>
        <v>NL08INGB0665811659</v>
      </c>
      <c r="AI403" s="6"/>
      <c r="AJ403" s="6" t="str">
        <f>IFERROR(__xludf.DUMMYFUNCTION("""COMPUTED_VALUE"""),"ID Kaart")</f>
        <v>ID Kaart</v>
      </c>
      <c r="AK403" s="6">
        <f>IFERROR(__xludf.DUMMYFUNCTION("""COMPUTED_VALUE"""),6.48069467E8)</f>
        <v>648069467</v>
      </c>
      <c r="AL403" s="9">
        <f>IFERROR(__xludf.DUMMYFUNCTION("""COMPUTED_VALUE"""),47164.0)</f>
        <v>47164</v>
      </c>
      <c r="AM403" s="6" t="str">
        <f>IFERROR(__xludf.DUMMYFUNCTION("""COMPUTED_VALUE"""),"Bulgarije")</f>
        <v>Bulgarije</v>
      </c>
      <c r="AN403" s="6" t="str">
        <f>IFERROR(__xludf.DUMMYFUNCTION("""COMPUTED_VALUE"""),"Sarko  Nishanov Nishanov")</f>
        <v>Sarko  Nishanov Nishanov</v>
      </c>
      <c r="AO403" s="6"/>
    </row>
    <row r="404">
      <c r="A404" s="6" t="str">
        <f>IFERROR(__xludf.DUMMYFUNCTION("""COMPUTED_VALUE"""),"Salim Madzhar")</f>
        <v>Salim Madzhar</v>
      </c>
      <c r="B404" s="6" t="str">
        <f>IFERROR(__xludf.DUMMYFUNCTION("""COMPUTED_VALUE"""),"Salim Madzhar")</f>
        <v>Salim Madzhar</v>
      </c>
      <c r="C404" s="6">
        <f>IFERROR(__xludf.DUMMYFUNCTION("""COMPUTED_VALUE"""),933.0)</f>
        <v>933</v>
      </c>
      <c r="D404" s="7" t="str">
        <f>IFERROR(__xludf.DUMMYFUNCTION("""COMPUTED_VALUE"""),"Salim Veli Madzhar")</f>
        <v>Salim Veli Madzhar</v>
      </c>
      <c r="E404" s="7" t="str">
        <f>IFERROR(__xludf.DUMMYFUNCTION("""COMPUTED_VALUE"""),"SBI-code: 4311 - Slopen van bouwwerken")</f>
        <v>SBI-code: 4311 - Slopen van bouwwerken</v>
      </c>
      <c r="F404" s="7" t="str">
        <f>IFERROR(__xludf.DUMMYFUNCTION("""COMPUTED_VALUE"""),"0616940133")</f>
        <v>0616940133</v>
      </c>
      <c r="G404" s="6" t="str">
        <f>IFERROR(__xludf.DUMMYFUNCTION("""COMPUTED_VALUE"""),"salimmadzhar@gmail.com")</f>
        <v>salimmadzhar@gmail.com</v>
      </c>
      <c r="H404" s="6" t="str">
        <f>IFERROR(__xludf.DUMMYFUNCTION("""COMPUTED_VALUE"""),"Majubastraat 79")</f>
        <v>Majubastraat 79</v>
      </c>
      <c r="I404" s="6" t="str">
        <f>IFERROR(__xludf.DUMMYFUNCTION("""COMPUTED_VALUE"""),"2572NV")</f>
        <v>2572NV</v>
      </c>
      <c r="J404" s="6" t="str">
        <f>IFERROR(__xludf.DUMMYFUNCTION("""COMPUTED_VALUE"""),"s-Gravenhage")</f>
        <v>s-Gravenhage</v>
      </c>
      <c r="K404" s="6" t="str">
        <f>IFERROR(__xludf.DUMMYFUNCTION("""COMPUTED_VALUE"""),"Nederland")</f>
        <v>Nederland</v>
      </c>
      <c r="L404" s="6" t="str">
        <f>IFERROR(__xludf.DUMMYFUNCTION("""COMPUTED_VALUE"""),"Салим")</f>
        <v>Салим</v>
      </c>
      <c r="M404" s="8">
        <f>IFERROR(__xludf.DUMMYFUNCTION("""COMPUTED_VALUE"""),43872.0)</f>
        <v>43872</v>
      </c>
      <c r="N404" s="6" t="str">
        <f>IFERROR(__xludf.DUMMYFUNCTION("""COMPUTED_VALUE"""),"NL411328979B01")</f>
        <v>NL411328979B01</v>
      </c>
      <c r="O404" s="6">
        <f>IFERROR(__xludf.DUMMYFUNCTION("""COMPUTED_VALUE"""),7.7376226E7)</f>
        <v>77376226</v>
      </c>
      <c r="P404" s="6" t="str">
        <f>IFERROR(__xludf.DUMMYFUNCTION("""COMPUTED_VALUE"""),"NL43INGB0008407982")</f>
        <v>NL43INGB0008407982</v>
      </c>
      <c r="Q404" s="9">
        <f>IFERROR(__xludf.DUMMYFUNCTION("""COMPUTED_VALUE"""),43872.0)</f>
        <v>43872</v>
      </c>
      <c r="R404" s="6"/>
      <c r="S404" s="6" t="str">
        <f>IFERROR(__xludf.DUMMYFUNCTION("""COMPUTED_VALUE"""),"NL003187526B89")</f>
        <v>NL003187526B89</v>
      </c>
      <c r="T404" s="6">
        <f>IFERROR(__xludf.DUMMYFUNCTION("""COMPUTED_VALUE"""),4.11328979E8)</f>
        <v>411328979</v>
      </c>
      <c r="U404" s="7" t="str">
        <f>IFERROR(__xludf.DUMMYFUNCTION("""COMPUTED_VALUE"""),"Eenmanszaak")</f>
        <v>Eenmanszaak</v>
      </c>
      <c r="V404" s="7" t="str">
        <f>IFERROR(__xludf.DUMMYFUNCTION("""COMPUTED_VALUE"""),"000045081298")</f>
        <v>000045081298</v>
      </c>
      <c r="W404" s="6" t="str">
        <f>IFERROR(__xludf.DUMMYFUNCTION("""COMPUTED_VALUE"""),"ink.salimmadzhar.2288aa@zarabota.nl")</f>
        <v>ink.salimmadzhar.2288aa@zarabota.nl</v>
      </c>
      <c r="X404" s="6" t="str">
        <f>IFERROR(__xludf.DUMMYFUNCTION("""COMPUTED_VALUE"""),"ver.salimmadzhar.2288aa@zarabota.nl")</f>
        <v>ver.salimmadzhar.2288aa@zarabota.nl</v>
      </c>
      <c r="Y404" s="6" t="str">
        <f>IFERROR(__xludf.DUMMYFUNCTION("""COMPUTED_VALUE"""),"Hr.")</f>
        <v>Hr.</v>
      </c>
      <c r="Z404" s="6" t="str">
        <f>IFERROR(__xludf.DUMMYFUNCTION("""COMPUTED_VALUE"""),"Salim Veli")</f>
        <v>Salim Veli</v>
      </c>
      <c r="AA404" s="6" t="str">
        <f>IFERROR(__xludf.DUMMYFUNCTION("""COMPUTED_VALUE"""),"Madzhar")</f>
        <v>Madzhar</v>
      </c>
      <c r="AB404" s="6" t="str">
        <f>IFERROR(__xludf.DUMMYFUNCTION("""COMPUTED_VALUE"""),"S.V.")</f>
        <v>S.V.</v>
      </c>
      <c r="AC404" s="6">
        <f>IFERROR(__xludf.DUMMYFUNCTION("""COMPUTED_VALUE"""),4.11328979E8)</f>
        <v>411328979</v>
      </c>
      <c r="AD404" s="9">
        <f>IFERROR(__xludf.DUMMYFUNCTION("""COMPUTED_VALUE"""),33231.0)</f>
        <v>33231</v>
      </c>
      <c r="AE404" s="6" t="str">
        <f>IFERROR(__xludf.DUMMYFUNCTION("""COMPUTED_VALUE"""),"bg")</f>
        <v>bg</v>
      </c>
      <c r="AF404" s="6" t="str">
        <f>IFERROR(__xludf.DUMMYFUNCTION("""COMPUTED_VALUE"""),"Kubrat")</f>
        <v>Kubrat</v>
      </c>
      <c r="AG404" s="6" t="str">
        <f>IFERROR(__xludf.DUMMYFUNCTION("""COMPUTED_VALUE"""),"Hr. S.V. Madzhar")</f>
        <v>Hr. S.V. Madzhar</v>
      </c>
      <c r="AH404" s="6" t="str">
        <f>IFERROR(__xludf.DUMMYFUNCTION("""COMPUTED_VALUE"""),"NL95INGB0798407735")</f>
        <v>NL95INGB0798407735</v>
      </c>
      <c r="AI404" s="6"/>
      <c r="AJ404" s="6" t="str">
        <f>IFERROR(__xludf.DUMMYFUNCTION("""COMPUTED_VALUE"""),"ID Kaart")</f>
        <v>ID Kaart</v>
      </c>
      <c r="AK404" s="6">
        <f>IFERROR(__xludf.DUMMYFUNCTION("""COMPUTED_VALUE"""),6.44357456E8)</f>
        <v>644357456</v>
      </c>
      <c r="AL404" s="9">
        <f>IFERROR(__xludf.DUMMYFUNCTION("""COMPUTED_VALUE"""),44824.0)</f>
        <v>44824</v>
      </c>
      <c r="AM404" s="6" t="str">
        <f>IFERROR(__xludf.DUMMYFUNCTION("""COMPUTED_VALUE"""),"Bulgarije")</f>
        <v>Bulgarije</v>
      </c>
      <c r="AN404" s="6" t="str">
        <f>IFERROR(__xludf.DUMMYFUNCTION("""COMPUTED_VALUE"""),"Salim Veli Madzhar")</f>
        <v>Salim Veli Madzhar</v>
      </c>
      <c r="AO404" s="6"/>
    </row>
    <row r="405">
      <c r="A405" s="6" t="str">
        <f>IFERROR(__xludf.DUMMYFUNCTION("""COMPUTED_VALUE"""),"Salim83")</f>
        <v>Salim83</v>
      </c>
      <c r="B405" s="6" t="str">
        <f>IFERROR(__xludf.DUMMYFUNCTION("""COMPUTED_VALUE"""),"Salim83")</f>
        <v>Salim83</v>
      </c>
      <c r="C405" s="6">
        <f>IFERROR(__xludf.DUMMYFUNCTION("""COMPUTED_VALUE"""),449.0)</f>
        <v>449</v>
      </c>
      <c r="D405" s="7" t="str">
        <f>IFERROR(__xludf.DUMMYFUNCTION("""COMPUTED_VALUE"""),"Salim Sabri Ibrahim")</f>
        <v>Salim Sabri Ibrahim</v>
      </c>
      <c r="E405" s="7" t="str">
        <f>IFERROR(__xludf.DUMMYFUNCTION("""COMPUTED_VALUE"""),"SBI-code: 4120 - Algemene burgerlijke en utiliteitsbouw")</f>
        <v>SBI-code: 4120 - Algemene burgerlijke en utiliteitsbouw</v>
      </c>
      <c r="F405" s="7" t="str">
        <f>IFERROR(__xludf.DUMMYFUNCTION("""COMPUTED_VALUE"""),"0641351211")</f>
        <v>0641351211</v>
      </c>
      <c r="G405" s="6" t="str">
        <f>IFERROR(__xludf.DUMMYFUNCTION("""COMPUTED_VALUE"""),"salim_ibrahim@abv.bg")</f>
        <v>salim_ibrahim@abv.bg</v>
      </c>
      <c r="H405" s="6" t="str">
        <f>IFERROR(__xludf.DUMMYFUNCTION("""COMPUTED_VALUE"""),"Jasmijnstraat 7")</f>
        <v>Jasmijnstraat 7</v>
      </c>
      <c r="I405" s="6" t="str">
        <f>IFERROR(__xludf.DUMMYFUNCTION("""COMPUTED_VALUE"""),"2563 RR")</f>
        <v>2563 RR</v>
      </c>
      <c r="J405" s="6" t="str">
        <f>IFERROR(__xludf.DUMMYFUNCTION("""COMPUTED_VALUE"""),"s-Gravenhage")</f>
        <v>s-Gravenhage</v>
      </c>
      <c r="K405" s="6" t="str">
        <f>IFERROR(__xludf.DUMMYFUNCTION("""COMPUTED_VALUE"""),"Nederland")</f>
        <v>Nederland</v>
      </c>
      <c r="L405" s="6" t="str">
        <f>IFERROR(__xludf.DUMMYFUNCTION("""COMPUTED_VALUE"""),"Ибрахим")</f>
        <v>Ибрахим</v>
      </c>
      <c r="M405" s="8">
        <f>IFERROR(__xludf.DUMMYFUNCTION("""COMPUTED_VALUE"""),43175.0)</f>
        <v>43175</v>
      </c>
      <c r="N405" s="6" t="str">
        <f>IFERROR(__xludf.DUMMYFUNCTION("""COMPUTED_VALUE"""),"NL627643589B01")</f>
        <v>NL627643589B01</v>
      </c>
      <c r="O405" s="6">
        <f>IFERROR(__xludf.DUMMYFUNCTION("""COMPUTED_VALUE"""),6.9751013E7)</f>
        <v>69751013</v>
      </c>
      <c r="P405" s="6" t="str">
        <f>IFERROR(__xludf.DUMMYFUNCTION("""COMPUTED_VALUE"""),"NL70INGB0008056744")</f>
        <v>NL70INGB0008056744</v>
      </c>
      <c r="Q405" s="9">
        <f>IFERROR(__xludf.DUMMYFUNCTION("""COMPUTED_VALUE"""),43010.0)</f>
        <v>43010</v>
      </c>
      <c r="R405" s="6"/>
      <c r="S405" s="6" t="str">
        <f>IFERROR(__xludf.DUMMYFUNCTION("""COMPUTED_VALUE"""),"NL002510040B43")</f>
        <v>NL002510040B43</v>
      </c>
      <c r="T405" s="6">
        <f>IFERROR(__xludf.DUMMYFUNCTION("""COMPUTED_VALUE"""),6.27643589E8)</f>
        <v>627643589</v>
      </c>
      <c r="U405" s="7" t="str">
        <f>IFERROR(__xludf.DUMMYFUNCTION("""COMPUTED_VALUE"""),"Eenmanszaak")</f>
        <v>Eenmanszaak</v>
      </c>
      <c r="V405" s="7" t="str">
        <f>IFERROR(__xludf.DUMMYFUNCTION("""COMPUTED_VALUE"""),"000038081059")</f>
        <v>000038081059</v>
      </c>
      <c r="W405" s="6" t="str">
        <f>IFERROR(__xludf.DUMMYFUNCTION("""COMPUTED_VALUE"""),"ink.salim83.2288aa@zarabota.nl")</f>
        <v>ink.salim83.2288aa@zarabota.nl</v>
      </c>
      <c r="X405" s="6" t="str">
        <f>IFERROR(__xludf.DUMMYFUNCTION("""COMPUTED_VALUE"""),"ver.salim83.2288aa@zarabota.nl")</f>
        <v>ver.salim83.2288aa@zarabota.nl</v>
      </c>
      <c r="Y405" s="6" t="str">
        <f>IFERROR(__xludf.DUMMYFUNCTION("""COMPUTED_VALUE"""),"Hr.")</f>
        <v>Hr.</v>
      </c>
      <c r="Z405" s="6" t="str">
        <f>IFERROR(__xludf.DUMMYFUNCTION("""COMPUTED_VALUE"""),"Salim Sabri")</f>
        <v>Salim Sabri</v>
      </c>
      <c r="AA405" s="6" t="str">
        <f>IFERROR(__xludf.DUMMYFUNCTION("""COMPUTED_VALUE"""),"Ibrahim")</f>
        <v>Ibrahim</v>
      </c>
      <c r="AB405" s="6" t="str">
        <f>IFERROR(__xludf.DUMMYFUNCTION("""COMPUTED_VALUE"""),"S.S.")</f>
        <v>S.S.</v>
      </c>
      <c r="AC405" s="6">
        <f>IFERROR(__xludf.DUMMYFUNCTION("""COMPUTED_VALUE"""),6.27643589E8)</f>
        <v>627643589</v>
      </c>
      <c r="AD405" s="9">
        <f>IFERROR(__xludf.DUMMYFUNCTION("""COMPUTED_VALUE"""),30626.0)</f>
        <v>30626</v>
      </c>
      <c r="AE405" s="6" t="str">
        <f>IFERROR(__xludf.DUMMYFUNCTION("""COMPUTED_VALUE"""),"bg")</f>
        <v>bg</v>
      </c>
      <c r="AF405" s="6" t="str">
        <f>IFERROR(__xludf.DUMMYFUNCTION("""COMPUTED_VALUE"""),"Ivaylovgrad")</f>
        <v>Ivaylovgrad</v>
      </c>
      <c r="AG405" s="6" t="str">
        <f>IFERROR(__xludf.DUMMYFUNCTION("""COMPUTED_VALUE"""),"Hr. S.S. Ibrahim")</f>
        <v>Hr. S.S. Ibrahim</v>
      </c>
      <c r="AH405" s="6"/>
      <c r="AI405" s="6"/>
      <c r="AJ405" s="6" t="str">
        <f>IFERROR(__xludf.DUMMYFUNCTION("""COMPUTED_VALUE"""),"ID Kaart")</f>
        <v>ID Kaart</v>
      </c>
      <c r="AK405" s="6">
        <f>IFERROR(__xludf.DUMMYFUNCTION("""COMPUTED_VALUE"""),6.46162744E8)</f>
        <v>646162744</v>
      </c>
      <c r="AL405" s="9">
        <f>IFERROR(__xludf.DUMMYFUNCTION("""COMPUTED_VALUE"""),46006.0)</f>
        <v>46006</v>
      </c>
      <c r="AM405" s="6"/>
      <c r="AN405" s="6" t="str">
        <f>IFERROR(__xludf.DUMMYFUNCTION("""COMPUTED_VALUE"""),"Salim Sabri Ibrahim")</f>
        <v>Salim Sabri Ibrahim</v>
      </c>
      <c r="AO405" s="6"/>
    </row>
    <row r="406">
      <c r="A406" s="6" t="str">
        <f>IFERROR(__xludf.DUMMYFUNCTION("""COMPUTED_VALUE"""),"Salipeski Bouw")</f>
        <v>Salipeski Bouw</v>
      </c>
      <c r="B406" s="6" t="str">
        <f>IFERROR(__xludf.DUMMYFUNCTION("""COMPUTED_VALUE"""),"Salipeski Bouw")</f>
        <v>Salipeski Bouw</v>
      </c>
      <c r="C406" s="6">
        <f>IFERROR(__xludf.DUMMYFUNCTION("""COMPUTED_VALUE"""),747.0)</f>
        <v>747</v>
      </c>
      <c r="D406" s="7" t="str">
        <f>IFERROR(__xludf.DUMMYFUNCTION("""COMPUTED_VALUE"""),"Sali Syuleymanov Tyulogluev")</f>
        <v>Sali Syuleymanov Tyulogluev</v>
      </c>
      <c r="E406" s="7" t="str">
        <f>IFERROR(__xludf.DUMMYFUNCTION("""COMPUTED_VALUE"""),"SBI-code: 4120 - Algemene burgerlijke en utiliteitsbouw")</f>
        <v>SBI-code: 4120 - Algemene burgerlijke en utiliteitsbouw</v>
      </c>
      <c r="F406" s="7" t="str">
        <f>IFERROR(__xludf.DUMMYFUNCTION("""COMPUTED_VALUE"""),"0685493313")</f>
        <v>0685493313</v>
      </c>
      <c r="G406" s="6" t="str">
        <f>IFERROR(__xludf.DUMMYFUNCTION("""COMPUTED_VALUE"""),"ayazsaliev@gmail.com")</f>
        <v>ayazsaliev@gmail.com</v>
      </c>
      <c r="H406" s="6" t="str">
        <f>IFERROR(__xludf.DUMMYFUNCTION("""COMPUTED_VALUE"""),"Antheunisstraat 60")</f>
        <v>Antheunisstraat 60</v>
      </c>
      <c r="I406" s="6" t="str">
        <f>IFERROR(__xludf.DUMMYFUNCTION("""COMPUTED_VALUE"""),"2522 ZG")</f>
        <v>2522 ZG</v>
      </c>
      <c r="J406" s="6" t="str">
        <f>IFERROR(__xludf.DUMMYFUNCTION("""COMPUTED_VALUE"""),"s-Gravenhage")</f>
        <v>s-Gravenhage</v>
      </c>
      <c r="K406" s="6" t="str">
        <f>IFERROR(__xludf.DUMMYFUNCTION("""COMPUTED_VALUE"""),"Nederland")</f>
        <v>Nederland</v>
      </c>
      <c r="L406" s="6" t="str">
        <f>IFERROR(__xludf.DUMMYFUNCTION("""COMPUTED_VALUE"""),"Тюлоглуев")</f>
        <v>Тюлоглуев</v>
      </c>
      <c r="M406" s="8">
        <f>IFERROR(__xludf.DUMMYFUNCTION("""COMPUTED_VALUE"""),43497.0)</f>
        <v>43497</v>
      </c>
      <c r="N406" s="6" t="str">
        <f>IFERROR(__xludf.DUMMYFUNCTION("""COMPUTED_VALUE"""),"NL443383121B01")</f>
        <v>NL443383121B01</v>
      </c>
      <c r="O406" s="6">
        <f>IFERROR(__xludf.DUMMYFUNCTION("""COMPUTED_VALUE"""),7.4271539E7)</f>
        <v>74271539</v>
      </c>
      <c r="P406" s="6" t="str">
        <f>IFERROR(__xludf.DUMMYFUNCTION("""COMPUTED_VALUE"""),"NL13INGB0009018264")</f>
        <v>NL13INGB0009018264</v>
      </c>
      <c r="Q406" s="9">
        <f>IFERROR(__xludf.DUMMYFUNCTION("""COMPUTED_VALUE"""),43497.0)</f>
        <v>43497</v>
      </c>
      <c r="R406" s="6"/>
      <c r="S406" s="6" t="str">
        <f>IFERROR(__xludf.DUMMYFUNCTION("""COMPUTED_VALUE"""),"NL002484303B40")</f>
        <v>NL002484303B40</v>
      </c>
      <c r="T406" s="6">
        <f>IFERROR(__xludf.DUMMYFUNCTION("""COMPUTED_VALUE"""),4.43383121E8)</f>
        <v>443383121</v>
      </c>
      <c r="U406" s="7" t="str">
        <f>IFERROR(__xludf.DUMMYFUNCTION("""COMPUTED_VALUE"""),"Eenmanszaak")</f>
        <v>Eenmanszaak</v>
      </c>
      <c r="V406" s="7" t="str">
        <f>IFERROR(__xludf.DUMMYFUNCTION("""COMPUTED_VALUE"""),"000042243912")</f>
        <v>000042243912</v>
      </c>
      <c r="W406" s="6" t="str">
        <f>IFERROR(__xludf.DUMMYFUNCTION("""COMPUTED_VALUE"""),"ink.salipeskibouw.2288aa@zarabota.nl")</f>
        <v>ink.salipeskibouw.2288aa@zarabota.nl</v>
      </c>
      <c r="X406" s="6" t="str">
        <f>IFERROR(__xludf.DUMMYFUNCTION("""COMPUTED_VALUE"""),"ver.salipeskibouw.2288aa@zarabota.nl")</f>
        <v>ver.salipeskibouw.2288aa@zarabota.nl</v>
      </c>
      <c r="Y406" s="6" t="str">
        <f>IFERROR(__xludf.DUMMYFUNCTION("""COMPUTED_VALUE"""),"Hr.")</f>
        <v>Hr.</v>
      </c>
      <c r="Z406" s="6" t="str">
        <f>IFERROR(__xludf.DUMMYFUNCTION("""COMPUTED_VALUE"""),"Sali Syuleymanov")</f>
        <v>Sali Syuleymanov</v>
      </c>
      <c r="AA406" s="6" t="str">
        <f>IFERROR(__xludf.DUMMYFUNCTION("""COMPUTED_VALUE"""),"Tyulogluev")</f>
        <v>Tyulogluev</v>
      </c>
      <c r="AB406" s="6" t="str">
        <f>IFERROR(__xludf.DUMMYFUNCTION("""COMPUTED_VALUE"""),"S.S.")</f>
        <v>S.S.</v>
      </c>
      <c r="AC406" s="6">
        <f>IFERROR(__xludf.DUMMYFUNCTION("""COMPUTED_VALUE"""),4.43383121E8)</f>
        <v>443383121</v>
      </c>
      <c r="AD406" s="9">
        <f>IFERROR(__xludf.DUMMYFUNCTION("""COMPUTED_VALUE"""),30532.0)</f>
        <v>30532</v>
      </c>
      <c r="AE406" s="6" t="str">
        <f>IFERROR(__xludf.DUMMYFUNCTION("""COMPUTED_VALUE"""),"bg")</f>
        <v>bg</v>
      </c>
      <c r="AF406" s="6" t="str">
        <f>IFERROR(__xludf.DUMMYFUNCTION("""COMPUTED_VALUE"""),"Kubrat")</f>
        <v>Kubrat</v>
      </c>
      <c r="AG406" s="6" t="str">
        <f>IFERROR(__xludf.DUMMYFUNCTION("""COMPUTED_VALUE"""),"Hr. S.S. Tyulogluev")</f>
        <v>Hr. S.S. Tyulogluev</v>
      </c>
      <c r="AH406" s="6" t="str">
        <f>IFERROR(__xludf.DUMMYFUNCTION("""COMPUTED_VALUE"""),"NL95INGB0795155131")</f>
        <v>NL95INGB0795155131</v>
      </c>
      <c r="AI406" s="9">
        <f>IFERROR(__xludf.DUMMYFUNCTION("""COMPUTED_VALUE"""),43521.0)</f>
        <v>43521</v>
      </c>
      <c r="AJ406" s="6" t="str">
        <f>IFERROR(__xludf.DUMMYFUNCTION("""COMPUTED_VALUE"""),"ID Kaart")</f>
        <v>ID Kaart</v>
      </c>
      <c r="AK406" s="6">
        <f>IFERROR(__xludf.DUMMYFUNCTION("""COMPUTED_VALUE"""),6.45581255E8)</f>
        <v>645581255</v>
      </c>
      <c r="AL406" s="9">
        <f>IFERROR(__xludf.DUMMYFUNCTION("""COMPUTED_VALUE"""),45664.0)</f>
        <v>45664</v>
      </c>
      <c r="AM406" s="6"/>
      <c r="AN406" s="6" t="str">
        <f>IFERROR(__xludf.DUMMYFUNCTION("""COMPUTED_VALUE"""),"Sali Syuleymanov Tyulogluev")</f>
        <v>Sali Syuleymanov Tyulogluev</v>
      </c>
      <c r="AO406" s="6"/>
    </row>
    <row r="407">
      <c r="A407" s="6" t="str">
        <f>IFERROR(__xludf.DUMMYFUNCTION("""COMPUTED_VALUE"""),"San Klussenbedrijf")</f>
        <v>San Klussenbedrijf</v>
      </c>
      <c r="B407" s="6" t="str">
        <f>IFERROR(__xludf.DUMMYFUNCTION("""COMPUTED_VALUE"""),"San Klussenbedrijf")</f>
        <v>San Klussenbedrijf</v>
      </c>
      <c r="C407" s="6">
        <f>IFERROR(__xludf.DUMMYFUNCTION("""COMPUTED_VALUE"""),1157.0)</f>
        <v>1157</v>
      </c>
      <c r="D407" s="7" t="str">
        <f>IFERROR(__xludf.DUMMYFUNCTION("""COMPUTED_VALUE"""),"Stanimir Sergeev Zaimov")</f>
        <v>Stanimir Sergeev Zaimov</v>
      </c>
      <c r="E407" s="7" t="str">
        <f>IFERROR(__xludf.DUMMYFUNCTION("""COMPUTED_VALUE"""),"SBI-code: 4120 - Algemene burgerlijke en utiliteitsbouw")</f>
        <v>SBI-code: 4120 - Algemene burgerlijke en utiliteitsbouw</v>
      </c>
      <c r="F407" s="7" t="str">
        <f>IFERROR(__xludf.DUMMYFUNCTION("""COMPUTED_VALUE"""),"0620259356")</f>
        <v>0620259356</v>
      </c>
      <c r="G407" s="6" t="str">
        <f>IFERROR(__xludf.DUMMYFUNCTION("""COMPUTED_VALUE"""),"stanimir.zaimov@gmail.com")</f>
        <v>stanimir.zaimov@gmail.com</v>
      </c>
      <c r="H407" s="6" t="str">
        <f>IFERROR(__xludf.DUMMYFUNCTION("""COMPUTED_VALUE"""),"Hobbemastraat 240 A")</f>
        <v>Hobbemastraat 240 A</v>
      </c>
      <c r="I407" s="6" t="str">
        <f>IFERROR(__xludf.DUMMYFUNCTION("""COMPUTED_VALUE"""),"2526JV")</f>
        <v>2526JV</v>
      </c>
      <c r="J407" s="6" t="str">
        <f>IFERROR(__xludf.DUMMYFUNCTION("""COMPUTED_VALUE"""),"s-Gravenhage")</f>
        <v>s-Gravenhage</v>
      </c>
      <c r="K407" s="6" t="str">
        <f>IFERROR(__xludf.DUMMYFUNCTION("""COMPUTED_VALUE"""),"Nederland")</f>
        <v>Nederland</v>
      </c>
      <c r="L407" s="6" t="str">
        <f>IFERROR(__xludf.DUMMYFUNCTION("""COMPUTED_VALUE"""),"Заимов")</f>
        <v>Заимов</v>
      </c>
      <c r="M407" s="8">
        <f>IFERROR(__xludf.DUMMYFUNCTION("""COMPUTED_VALUE"""),44197.0)</f>
        <v>44197</v>
      </c>
      <c r="N407" s="6" t="str">
        <f>IFERROR(__xludf.DUMMYFUNCTION("""COMPUTED_VALUE"""),"NL265409007B01")</f>
        <v>NL265409007B01</v>
      </c>
      <c r="O407" s="6">
        <f>IFERROR(__xludf.DUMMYFUNCTION("""COMPUTED_VALUE"""),2.7302542E7)</f>
        <v>27302542</v>
      </c>
      <c r="P407" s="6" t="str">
        <f>IFERROR(__xludf.DUMMYFUNCTION("""COMPUTED_VALUE"""),"NL97RABO0147978793")</f>
        <v>NL97RABO0147978793</v>
      </c>
      <c r="Q407" s="9">
        <f>IFERROR(__xludf.DUMMYFUNCTION("""COMPUTED_VALUE"""),44197.0)</f>
        <v>44197</v>
      </c>
      <c r="R407" s="6"/>
      <c r="S407" s="6" t="str">
        <f>IFERROR(__xludf.DUMMYFUNCTION("""COMPUTED_VALUE"""),"NL002458313B83")</f>
        <v>NL002458313B83</v>
      </c>
      <c r="T407" s="6">
        <f>IFERROR(__xludf.DUMMYFUNCTION("""COMPUTED_VALUE"""),2.65409007E8)</f>
        <v>265409007</v>
      </c>
      <c r="U407" s="7" t="str">
        <f>IFERROR(__xludf.DUMMYFUNCTION("""COMPUTED_VALUE"""),"Eenmanszaak")</f>
        <v>Eenmanszaak</v>
      </c>
      <c r="V407" s="7" t="str">
        <f>IFERROR(__xludf.DUMMYFUNCTION("""COMPUTED_VALUE"""),"000003530728")</f>
        <v>000003530728</v>
      </c>
      <c r="W407" s="6" t="str">
        <f>IFERROR(__xludf.DUMMYFUNCTION("""COMPUTED_VALUE"""),"ink.sanklussenbedrijf.2288aa@zarabota.nl")</f>
        <v>ink.sanklussenbedrijf.2288aa@zarabota.nl</v>
      </c>
      <c r="X407" s="6" t="str">
        <f>IFERROR(__xludf.DUMMYFUNCTION("""COMPUTED_VALUE"""),"ver.sanklussenbedrijf.2288aa@zarabota.nl")</f>
        <v>ver.sanklussenbedrijf.2288aa@zarabota.nl</v>
      </c>
      <c r="Y407" s="6" t="str">
        <f>IFERROR(__xludf.DUMMYFUNCTION("""COMPUTED_VALUE"""),"Hr.")</f>
        <v>Hr.</v>
      </c>
      <c r="Z407" s="6" t="str">
        <f>IFERROR(__xludf.DUMMYFUNCTION("""COMPUTED_VALUE"""),"Stanimir Sergeev")</f>
        <v>Stanimir Sergeev</v>
      </c>
      <c r="AA407" s="6" t="str">
        <f>IFERROR(__xludf.DUMMYFUNCTION("""COMPUTED_VALUE"""),"Zaimov")</f>
        <v>Zaimov</v>
      </c>
      <c r="AB407" s="6" t="str">
        <f>IFERROR(__xludf.DUMMYFUNCTION("""COMPUTED_VALUE"""),"S.S.")</f>
        <v>S.S.</v>
      </c>
      <c r="AC407" s="6">
        <f>IFERROR(__xludf.DUMMYFUNCTION("""COMPUTED_VALUE"""),2.65409007E8)</f>
        <v>265409007</v>
      </c>
      <c r="AD407" s="9">
        <f>IFERROR(__xludf.DUMMYFUNCTION("""COMPUTED_VALUE"""),28729.0)</f>
        <v>28729</v>
      </c>
      <c r="AE407" s="6" t="str">
        <f>IFERROR(__xludf.DUMMYFUNCTION("""COMPUTED_VALUE"""),"bg")</f>
        <v>bg</v>
      </c>
      <c r="AF407" s="6" t="str">
        <f>IFERROR(__xludf.DUMMYFUNCTION("""COMPUTED_VALUE"""),"Drangovo")</f>
        <v>Drangovo</v>
      </c>
      <c r="AG407" s="6" t="str">
        <f>IFERROR(__xludf.DUMMYFUNCTION("""COMPUTED_VALUE"""),"Hr. S.S. Zaimov")</f>
        <v>Hr. S.S. Zaimov</v>
      </c>
      <c r="AH407" s="6"/>
      <c r="AI407" s="9">
        <f>IFERROR(__xludf.DUMMYFUNCTION("""COMPUTED_VALUE"""),39546.0)</f>
        <v>39546</v>
      </c>
      <c r="AJ407" s="6"/>
      <c r="AK407" s="6"/>
      <c r="AL407" s="6"/>
      <c r="AM407" s="6" t="str">
        <f>IFERROR(__xludf.DUMMYFUNCTION("""COMPUTED_VALUE"""),"Bulgarije")</f>
        <v>Bulgarije</v>
      </c>
      <c r="AN407" s="6" t="str">
        <f>IFERROR(__xludf.DUMMYFUNCTION("""COMPUTED_VALUE"""),"Stanimir Sergeev Zaimov")</f>
        <v>Stanimir Sergeev Zaimov</v>
      </c>
      <c r="AO407" s="6"/>
    </row>
    <row r="408">
      <c r="A408" s="6" t="str">
        <f>IFERROR(__xludf.DUMMYFUNCTION("""COMPUTED_VALUE"""),"Sanik Bouw VOF")</f>
        <v>Sanik Bouw VOF</v>
      </c>
      <c r="B408" s="6" t="str">
        <f>IFERROR(__xludf.DUMMYFUNCTION("""COMPUTED_VALUE"""),"Sanik Bouw VOF")</f>
        <v>Sanik Bouw VOF</v>
      </c>
      <c r="C408" s="6">
        <f>IFERROR(__xludf.DUMMYFUNCTION("""COMPUTED_VALUE"""),1279.0)</f>
        <v>1279</v>
      </c>
      <c r="D408" s="7" t="str">
        <f>IFERROR(__xludf.DUMMYFUNCTION("""COMPUTED_VALUE"""),"Iliya Koychev Asenov")</f>
        <v>Iliya Koychev Asenov</v>
      </c>
      <c r="E408" s="7" t="str">
        <f>IFERROR(__xludf.DUMMYFUNCTION("""COMPUTED_VALUE"""),"SBI-code: 4120 - Algemene burgerlijke en utiliteitsbouw")</f>
        <v>SBI-code: 4120 - Algemene burgerlijke en utiliteitsbouw</v>
      </c>
      <c r="F408" s="7" t="str">
        <f>IFERROR(__xludf.DUMMYFUNCTION("""COMPUTED_VALUE"""),"0659311347")</f>
        <v>0659311347</v>
      </c>
      <c r="G408" s="6" t="str">
        <f>IFERROR(__xludf.DUMMYFUNCTION("""COMPUTED_VALUE"""),"iliaasenov@gmail.com")</f>
        <v>iliaasenov@gmail.com</v>
      </c>
      <c r="H408" s="6" t="str">
        <f>IFERROR(__xludf.DUMMYFUNCTION("""COMPUTED_VALUE"""),"Velpsestraat 75")</f>
        <v>Velpsestraat 75</v>
      </c>
      <c r="I408" s="6" t="str">
        <f>IFERROR(__xludf.DUMMYFUNCTION("""COMPUTED_VALUE"""),"2573SE")</f>
        <v>2573SE</v>
      </c>
      <c r="J408" s="6" t="str">
        <f>IFERROR(__xludf.DUMMYFUNCTION("""COMPUTED_VALUE"""),"s-Gravenhage")</f>
        <v>s-Gravenhage</v>
      </c>
      <c r="K408" s="6" t="str">
        <f>IFERROR(__xludf.DUMMYFUNCTION("""COMPUTED_VALUE"""),"Nederland")</f>
        <v>Nederland</v>
      </c>
      <c r="L408" s="6" t="str">
        <f>IFERROR(__xludf.DUMMYFUNCTION("""COMPUTED_VALUE"""),"Асенов")</f>
        <v>Асенов</v>
      </c>
      <c r="M408" s="8">
        <f>IFERROR(__xludf.DUMMYFUNCTION("""COMPUTED_VALUE"""),44562.0)</f>
        <v>44562</v>
      </c>
      <c r="N408" s="6" t="str">
        <f>IFERROR(__xludf.DUMMYFUNCTION("""COMPUTED_VALUE"""),"NL863740704B01")</f>
        <v>NL863740704B01</v>
      </c>
      <c r="O408" s="6">
        <f>IFERROR(__xludf.DUMMYFUNCTION("""COMPUTED_VALUE"""),8.578387E7)</f>
        <v>85783870</v>
      </c>
      <c r="P408" s="6" t="str">
        <f>IFERROR(__xludf.DUMMYFUNCTION("""COMPUTED_VALUE"""),"NL22INGB0007804147")</f>
        <v>NL22INGB0007804147</v>
      </c>
      <c r="Q408" s="9">
        <f>IFERROR(__xludf.DUMMYFUNCTION("""COMPUTED_VALUE"""),44562.0)</f>
        <v>44562</v>
      </c>
      <c r="R408" s="6"/>
      <c r="S408" s="6" t="str">
        <f>IFERROR(__xludf.DUMMYFUNCTION("""COMPUTED_VALUE"""),"NL863740704B01")</f>
        <v>NL863740704B01</v>
      </c>
      <c r="T408" s="6">
        <f>IFERROR(__xludf.DUMMYFUNCTION("""COMPUTED_VALUE"""),8.63740704E8)</f>
        <v>863740704</v>
      </c>
      <c r="U408" s="7" t="str">
        <f>IFERROR(__xludf.DUMMYFUNCTION("""COMPUTED_VALUE"""),"Vennootschap Onder Firma")</f>
        <v>Vennootschap Onder Firma</v>
      </c>
      <c r="V408" s="7" t="str">
        <f>IFERROR(__xludf.DUMMYFUNCTION("""COMPUTED_VALUE"""),"000037022989")</f>
        <v>000037022989</v>
      </c>
      <c r="W408" s="6" t="str">
        <f>IFERROR(__xludf.DUMMYFUNCTION("""COMPUTED_VALUE"""),"ink.sanikbouw.2288aa@zarabota.nl")</f>
        <v>ink.sanikbouw.2288aa@zarabota.nl</v>
      </c>
      <c r="X408" s="6" t="str">
        <f>IFERROR(__xludf.DUMMYFUNCTION("""COMPUTED_VALUE"""),"ver.sanikbouw.2288aa@zarabota.nl")</f>
        <v>ver.sanikbouw.2288aa@zarabota.nl</v>
      </c>
      <c r="Y408" s="6" t="str">
        <f>IFERROR(__xludf.DUMMYFUNCTION("""COMPUTED_VALUE"""),"Hr.")</f>
        <v>Hr.</v>
      </c>
      <c r="Z408" s="6" t="str">
        <f>IFERROR(__xludf.DUMMYFUNCTION("""COMPUTED_VALUE"""),"Iliya Koychev")</f>
        <v>Iliya Koychev</v>
      </c>
      <c r="AA408" s="6" t="str">
        <f>IFERROR(__xludf.DUMMYFUNCTION("""COMPUTED_VALUE"""),"Asenov")</f>
        <v>Asenov</v>
      </c>
      <c r="AB408" s="6" t="str">
        <f>IFERROR(__xludf.DUMMYFUNCTION("""COMPUTED_VALUE"""),"I.K.")</f>
        <v>I.K.</v>
      </c>
      <c r="AC408" s="6">
        <f>IFERROR(__xludf.DUMMYFUNCTION("""COMPUTED_VALUE"""),3.85730895E8)</f>
        <v>385730895</v>
      </c>
      <c r="AD408" s="9">
        <f>IFERROR(__xludf.DUMMYFUNCTION("""COMPUTED_VALUE"""),28144.0)</f>
        <v>28144</v>
      </c>
      <c r="AE408" s="6" t="str">
        <f>IFERROR(__xludf.DUMMYFUNCTION("""COMPUTED_VALUE"""),"bg")</f>
        <v>bg</v>
      </c>
      <c r="AF408" s="6" t="str">
        <f>IFERROR(__xludf.DUMMYFUNCTION("""COMPUTED_VALUE"""),"Harmanli")</f>
        <v>Harmanli</v>
      </c>
      <c r="AG408" s="6" t="str">
        <f>IFERROR(__xludf.DUMMYFUNCTION("""COMPUTED_VALUE"""),"Hr. I.K. Asenov")</f>
        <v>Hr. I.K. Asenov</v>
      </c>
      <c r="AH408" s="6" t="str">
        <f>IFERROR(__xludf.DUMMYFUNCTION("""COMPUTED_VALUE"""),"NL15INGB0703857940")</f>
        <v>NL15INGB0703857940</v>
      </c>
      <c r="AI408" s="6"/>
      <c r="AJ408" s="6" t="str">
        <f>IFERROR(__xludf.DUMMYFUNCTION("""COMPUTED_VALUE"""),"ID Kaart")</f>
        <v>ID Kaart</v>
      </c>
      <c r="AK408" s="6">
        <f>IFERROR(__xludf.DUMMYFUNCTION("""COMPUTED_VALUE"""),6.42465458E8)</f>
        <v>642465458</v>
      </c>
      <c r="AL408" s="9">
        <f>IFERROR(__xludf.DUMMYFUNCTION("""COMPUTED_VALUE"""),44348.0)</f>
        <v>44348</v>
      </c>
      <c r="AM408" s="6" t="str">
        <f>IFERROR(__xludf.DUMMYFUNCTION("""COMPUTED_VALUE"""),"Bulgarije")</f>
        <v>Bulgarije</v>
      </c>
      <c r="AN408" s="6" t="str">
        <f>IFERROR(__xludf.DUMMYFUNCTION("""COMPUTED_VALUE"""),"Iliya Koychev Asenov")</f>
        <v>Iliya Koychev Asenov</v>
      </c>
      <c r="AO408" s="6">
        <f>IFERROR(__xludf.DUMMYFUNCTION("""COMPUTED_VALUE"""),1279.0)</f>
        <v>1279</v>
      </c>
    </row>
    <row r="409">
      <c r="A409" s="6" t="str">
        <f>IFERROR(__xludf.DUMMYFUNCTION("""COMPUTED_VALUE"""),"Sank Bouw")</f>
        <v>Sank Bouw</v>
      </c>
      <c r="B409" s="6" t="str">
        <f>IFERROR(__xludf.DUMMYFUNCTION("""COMPUTED_VALUE"""),"Sank Bouw")</f>
        <v>Sank Bouw</v>
      </c>
      <c r="C409" s="6">
        <f>IFERROR(__xludf.DUMMYFUNCTION("""COMPUTED_VALUE"""),168.0)</f>
        <v>168</v>
      </c>
      <c r="D409" s="7" t="str">
        <f>IFERROR(__xludf.DUMMYFUNCTION("""COMPUTED_VALUE"""),"Asan Rafidov Ibrahimov")</f>
        <v>Asan Rafidov Ibrahimov</v>
      </c>
      <c r="E409" s="7" t="str">
        <f>IFERROR(__xludf.DUMMYFUNCTION("""COMPUTED_VALUE"""),"SBI-code: 4120 - Algemene burgerlijke en utiliteitsbouw")</f>
        <v>SBI-code: 4120 - Algemene burgerlijke en utiliteitsbouw</v>
      </c>
      <c r="F409" s="7" t="str">
        <f>IFERROR(__xludf.DUMMYFUNCTION("""COMPUTED_VALUE"""),"0623421498")</f>
        <v>0623421498</v>
      </c>
      <c r="G409" s="6" t="str">
        <f>IFERROR(__xludf.DUMMYFUNCTION("""COMPUTED_VALUE"""),"sanka1969@abv.bg")</f>
        <v>sanka1969@abv.bg</v>
      </c>
      <c r="H409" s="6" t="str">
        <f>IFERROR(__xludf.DUMMYFUNCTION("""COMPUTED_VALUE"""),"Heesterstraat 2")</f>
        <v>Heesterstraat 2</v>
      </c>
      <c r="I409" s="6" t="str">
        <f>IFERROR(__xludf.DUMMYFUNCTION("""COMPUTED_VALUE"""),"2563RC")</f>
        <v>2563RC</v>
      </c>
      <c r="J409" s="6" t="str">
        <f>IFERROR(__xludf.DUMMYFUNCTION("""COMPUTED_VALUE"""),"s-Gravenhage")</f>
        <v>s-Gravenhage</v>
      </c>
      <c r="K409" s="6" t="str">
        <f>IFERROR(__xludf.DUMMYFUNCTION("""COMPUTED_VALUE"""),"Nederland")</f>
        <v>Nederland</v>
      </c>
      <c r="L409" s="6" t="str">
        <f>IFERROR(__xludf.DUMMYFUNCTION("""COMPUTED_VALUE"""),"Ибрахимов")</f>
        <v>Ибрахимов</v>
      </c>
      <c r="M409" s="8">
        <f>IFERROR(__xludf.DUMMYFUNCTION("""COMPUTED_VALUE"""),43175.0)</f>
        <v>43175</v>
      </c>
      <c r="N409" s="6" t="str">
        <f>IFERROR(__xludf.DUMMYFUNCTION("""COMPUTED_VALUE"""),"NL441850613B01")</f>
        <v>NL441850613B01</v>
      </c>
      <c r="O409" s="6">
        <f>IFERROR(__xludf.DUMMYFUNCTION("""COMPUTED_VALUE"""),6.1806668E7)</f>
        <v>61806668</v>
      </c>
      <c r="P409" s="6" t="str">
        <f>IFERROR(__xludf.DUMMYFUNCTION("""COMPUTED_VALUE"""),"NL69INGB0006681884")</f>
        <v>NL69INGB0006681884</v>
      </c>
      <c r="Q409" s="9">
        <f>IFERROR(__xludf.DUMMYFUNCTION("""COMPUTED_VALUE"""),41913.0)</f>
        <v>41913</v>
      </c>
      <c r="R409" s="6"/>
      <c r="S409" s="6" t="str">
        <f>IFERROR(__xludf.DUMMYFUNCTION("""COMPUTED_VALUE"""),"NL002483497B19")</f>
        <v>NL002483497B19</v>
      </c>
      <c r="T409" s="6">
        <f>IFERROR(__xludf.DUMMYFUNCTION("""COMPUTED_VALUE"""),4.41850613E8)</f>
        <v>441850613</v>
      </c>
      <c r="U409" s="7" t="str">
        <f>IFERROR(__xludf.DUMMYFUNCTION("""COMPUTED_VALUE"""),"Eenmanszaak")</f>
        <v>Eenmanszaak</v>
      </c>
      <c r="V409" s="7" t="str">
        <f>IFERROR(__xludf.DUMMYFUNCTION("""COMPUTED_VALUE"""),"000030876869")</f>
        <v>000030876869</v>
      </c>
      <c r="W409" s="6" t="str">
        <f>IFERROR(__xludf.DUMMYFUNCTION("""COMPUTED_VALUE"""),"ink.sankbouw.2288aa@zarabota.nl")</f>
        <v>ink.sankbouw.2288aa@zarabota.nl</v>
      </c>
      <c r="X409" s="6" t="str">
        <f>IFERROR(__xludf.DUMMYFUNCTION("""COMPUTED_VALUE"""),"ver.sankbouw.2288aa@zarabota.nl")</f>
        <v>ver.sankbouw.2288aa@zarabota.nl</v>
      </c>
      <c r="Y409" s="6" t="str">
        <f>IFERROR(__xludf.DUMMYFUNCTION("""COMPUTED_VALUE"""),"Hr.")</f>
        <v>Hr.</v>
      </c>
      <c r="Z409" s="6" t="str">
        <f>IFERROR(__xludf.DUMMYFUNCTION("""COMPUTED_VALUE"""),"Asan Rafidov")</f>
        <v>Asan Rafidov</v>
      </c>
      <c r="AA409" s="6" t="str">
        <f>IFERROR(__xludf.DUMMYFUNCTION("""COMPUTED_VALUE"""),"Ibrahimov")</f>
        <v>Ibrahimov</v>
      </c>
      <c r="AB409" s="6" t="str">
        <f>IFERROR(__xludf.DUMMYFUNCTION("""COMPUTED_VALUE"""),"A.R.")</f>
        <v>A.R.</v>
      </c>
      <c r="AC409" s="6">
        <f>IFERROR(__xludf.DUMMYFUNCTION("""COMPUTED_VALUE"""),4.41850613E8)</f>
        <v>441850613</v>
      </c>
      <c r="AD409" s="9">
        <f>IFERROR(__xludf.DUMMYFUNCTION("""COMPUTED_VALUE"""),25378.0)</f>
        <v>25378</v>
      </c>
      <c r="AE409" s="6" t="str">
        <f>IFERROR(__xludf.DUMMYFUNCTION("""COMPUTED_VALUE"""),"bg")</f>
        <v>bg</v>
      </c>
      <c r="AF409" s="6"/>
      <c r="AG409" s="6" t="str">
        <f>IFERROR(__xludf.DUMMYFUNCTION("""COMPUTED_VALUE"""),"Hr. A.R. Ibrahimov")</f>
        <v>Hr. A.R. Ibrahimov</v>
      </c>
      <c r="AH409" s="6"/>
      <c r="AI409" s="6"/>
      <c r="AJ409" s="6"/>
      <c r="AK409" s="6"/>
      <c r="AL409" s="6"/>
      <c r="AM409" s="6"/>
      <c r="AN409" s="6" t="str">
        <f>IFERROR(__xludf.DUMMYFUNCTION("""COMPUTED_VALUE"""),"Asan Rafidov Ibrahimov")</f>
        <v>Asan Rafidov Ibrahimov</v>
      </c>
      <c r="AO409" s="6"/>
    </row>
    <row r="410">
      <c r="A410" s="6" t="str">
        <f>IFERROR(__xludf.DUMMYFUNCTION("""COMPUTED_VALUE"""),"Seian B.V.")</f>
        <v>Seian B.V.</v>
      </c>
      <c r="B410" s="6" t="str">
        <f>IFERROR(__xludf.DUMMYFUNCTION("""COMPUTED_VALUE"""),"Seian B.V.")</f>
        <v>Seian B.V.</v>
      </c>
      <c r="C410" s="6">
        <f>IFERROR(__xludf.DUMMYFUNCTION("""COMPUTED_VALUE"""),1755.0)</f>
        <v>1755</v>
      </c>
      <c r="D410" s="7" t="str">
        <f>IFERROR(__xludf.DUMMYFUNCTION("""COMPUTED_VALUE"""),"Sergei Budoian")</f>
        <v>Sergei Budoian</v>
      </c>
      <c r="E410" s="7" t="str">
        <f>IFERROR(__xludf.DUMMYFUNCTION("""COMPUTED_VALUE"""),"SBI-code: 4120 - Algemene burgerlijke en utiliteitsbouw")</f>
        <v>SBI-code: 4120 - Algemene burgerlijke en utiliteitsbouw</v>
      </c>
      <c r="F410" s="6"/>
      <c r="G410" s="6" t="str">
        <f>IFERROR(__xludf.DUMMYFUNCTION("""COMPUTED_VALUE"""),"bsaconstruction.bv@gmail.com")</f>
        <v>bsaconstruction.bv@gmail.com</v>
      </c>
      <c r="H410" s="6" t="str">
        <f>IFERROR(__xludf.DUMMYFUNCTION("""COMPUTED_VALUE"""),"Nieuwe Maasstraat 98 B")</f>
        <v>Nieuwe Maasstraat 98 B</v>
      </c>
      <c r="I410" s="6" t="str">
        <f>IFERROR(__xludf.DUMMYFUNCTION("""COMPUTED_VALUE"""),"3114 TP")</f>
        <v>3114 TP</v>
      </c>
      <c r="J410" s="6" t="str">
        <f>IFERROR(__xludf.DUMMYFUNCTION("""COMPUTED_VALUE"""),"Schiedam")</f>
        <v>Schiedam</v>
      </c>
      <c r="K410" s="6" t="str">
        <f>IFERROR(__xludf.DUMMYFUNCTION("""COMPUTED_VALUE"""),"Nederland")</f>
        <v>Nederland</v>
      </c>
      <c r="L410" s="6" t="str">
        <f>IFERROR(__xludf.DUMMYFUNCTION("""COMPUTED_VALUE"""),"Будоян")</f>
        <v>Будоян</v>
      </c>
      <c r="M410" s="8">
        <f>IFERROR(__xludf.DUMMYFUNCTION("""COMPUTED_VALUE"""),45992.0)</f>
        <v>45992</v>
      </c>
      <c r="N410" s="6" t="str">
        <f>IFERROR(__xludf.DUMMYFUNCTION("""COMPUTED_VALUE"""),"NL868773438B01")</f>
        <v>NL868773438B01</v>
      </c>
      <c r="O410" s="6">
        <f>IFERROR(__xludf.DUMMYFUNCTION("""COMPUTED_VALUE"""),9.9060442E7)</f>
        <v>99060442</v>
      </c>
      <c r="P410" s="6" t="str">
        <f>IFERROR(__xludf.DUMMYFUNCTION("""COMPUTED_VALUE"""),"NL12INGB0117222267")</f>
        <v>NL12INGB0117222267</v>
      </c>
      <c r="Q410" s="9">
        <f>IFERROR(__xludf.DUMMYFUNCTION("""COMPUTED_VALUE"""),45995.0)</f>
        <v>45995</v>
      </c>
      <c r="R410" s="6"/>
      <c r="S410" s="6" t="str">
        <f>IFERROR(__xludf.DUMMYFUNCTION("""COMPUTED_VALUE"""),"NL868773438B01")</f>
        <v>NL868773438B01</v>
      </c>
      <c r="T410" s="6">
        <f>IFERROR(__xludf.DUMMYFUNCTION("""COMPUTED_VALUE"""),8.68773438E8)</f>
        <v>868773438</v>
      </c>
      <c r="U410" s="7" t="str">
        <f>IFERROR(__xludf.DUMMYFUNCTION("""COMPUTED_VALUE"""),"Besloten Vennootschap")</f>
        <v>Besloten Vennootschap</v>
      </c>
      <c r="V410" s="7" t="str">
        <f>IFERROR(__xludf.DUMMYFUNCTION("""COMPUTED_VALUE"""),"000064178730")</f>
        <v>000064178730</v>
      </c>
      <c r="W410" s="6" t="str">
        <f>IFERROR(__xludf.DUMMYFUNCTION("""COMPUTED_VALUE"""),"ink.seianbv.2288aa@zarabota.nl")</f>
        <v>ink.seianbv.2288aa@zarabota.nl</v>
      </c>
      <c r="X410" s="6" t="str">
        <f>IFERROR(__xludf.DUMMYFUNCTION("""COMPUTED_VALUE"""),"ver.seianbv.2288aa@zarabota.nl")</f>
        <v>ver.seianbv.2288aa@zarabota.nl</v>
      </c>
      <c r="Y410" s="6" t="str">
        <f>IFERROR(__xludf.DUMMYFUNCTION("""COMPUTED_VALUE"""),"Hr.")</f>
        <v>Hr.</v>
      </c>
      <c r="Z410" s="6" t="str">
        <f>IFERROR(__xludf.DUMMYFUNCTION("""COMPUTED_VALUE"""),"Sergei")</f>
        <v>Sergei</v>
      </c>
      <c r="AA410" s="6" t="str">
        <f>IFERROR(__xludf.DUMMYFUNCTION("""COMPUTED_VALUE"""),"Budoian")</f>
        <v>Budoian</v>
      </c>
      <c r="AB410" s="6" t="str">
        <f>IFERROR(__xludf.DUMMYFUNCTION("""COMPUTED_VALUE"""),"S.")</f>
        <v>S.</v>
      </c>
      <c r="AC410" s="6">
        <f>IFERROR(__xludf.DUMMYFUNCTION("""COMPUTED_VALUE"""),3.27975313E8)</f>
        <v>327975313</v>
      </c>
      <c r="AD410" s="9">
        <f>IFERROR(__xludf.DUMMYFUNCTION("""COMPUTED_VALUE"""),32062.0)</f>
        <v>32062</v>
      </c>
      <c r="AE410" s="6" t="str">
        <f>IFERROR(__xludf.DUMMYFUNCTION("""COMPUTED_VALUE"""),"bg")</f>
        <v>bg</v>
      </c>
      <c r="AF410" s="6" t="str">
        <f>IFERROR(__xludf.DUMMYFUNCTION("""COMPUTED_VALUE"""),"Calarasi")</f>
        <v>Calarasi</v>
      </c>
      <c r="AG410" s="6" t="str">
        <f>IFERROR(__xludf.DUMMYFUNCTION("""COMPUTED_VALUE"""),"Hr. S. Budoian")</f>
        <v>Hr. S. Budoian</v>
      </c>
      <c r="AH410" s="6" t="str">
        <f>IFERROR(__xludf.DUMMYFUNCTION("""COMPUTED_VALUE"""),"NL67INGB0422644595")</f>
        <v>NL67INGB0422644595</v>
      </c>
      <c r="AI410" s="6"/>
      <c r="AJ410" s="6" t="str">
        <f>IFERROR(__xludf.DUMMYFUNCTION("""COMPUTED_VALUE"""),"ID Kaart")</f>
        <v>ID Kaart</v>
      </c>
      <c r="AK410" s="6" t="str">
        <f>IFERROR(__xludf.DUMMYFUNCTION("""COMPUTED_VALUE"""),"VS815412")</f>
        <v>VS815412</v>
      </c>
      <c r="AL410" s="9">
        <f>IFERROR(__xludf.DUMMYFUNCTION("""COMPUTED_VALUE"""),46672.0)</f>
        <v>46672</v>
      </c>
      <c r="AM410" s="6" t="str">
        <f>IFERROR(__xludf.DUMMYFUNCTION("""COMPUTED_VALUE"""),"Rusland")</f>
        <v>Rusland</v>
      </c>
      <c r="AN410" s="6" t="str">
        <f>IFERROR(__xludf.DUMMYFUNCTION("""COMPUTED_VALUE"""),"Sergei Budoian")</f>
        <v>Sergei Budoian</v>
      </c>
      <c r="AO410" s="6">
        <f>IFERROR(__xludf.DUMMYFUNCTION("""COMPUTED_VALUE"""),1755.0)</f>
        <v>1755</v>
      </c>
    </row>
    <row r="411">
      <c r="A411" s="6" t="str">
        <f>IFERROR(__xludf.DUMMYFUNCTION("""COMPUTED_VALUE"""),"Self Bouw ZZP")</f>
        <v>Self Bouw ZZP</v>
      </c>
      <c r="B411" s="6" t="str">
        <f>IFERROR(__xludf.DUMMYFUNCTION("""COMPUTED_VALUE"""),"Self Bouw ZZP")</f>
        <v>Self Bouw ZZP</v>
      </c>
      <c r="C411" s="6">
        <f>IFERROR(__xludf.DUMMYFUNCTION("""COMPUTED_VALUE"""),58.0)</f>
        <v>58</v>
      </c>
      <c r="D411" s="7" t="str">
        <f>IFERROR(__xludf.DUMMYFUNCTION("""COMPUTED_VALUE"""),"Selvi Fahriev Kikyov")</f>
        <v>Selvi Fahriev Kikyov</v>
      </c>
      <c r="E411" s="7" t="str">
        <f>IFERROR(__xludf.DUMMYFUNCTION("""COMPUTED_VALUE"""),"SBI-code: 4120 - Algemene burgerlijke en utiliteitsbouw")</f>
        <v>SBI-code: 4120 - Algemene burgerlijke en utiliteitsbouw</v>
      </c>
      <c r="F411" s="7" t="str">
        <f>IFERROR(__xludf.DUMMYFUNCTION("""COMPUTED_VALUE"""),"0618583167")</f>
        <v>0618583167</v>
      </c>
      <c r="G411" s="6" t="str">
        <f>IFERROR(__xludf.DUMMYFUNCTION("""COMPUTED_VALUE"""),"selfbouw09@gmail.com")</f>
        <v>selfbouw09@gmail.com</v>
      </c>
      <c r="H411" s="6" t="str">
        <f>IFERROR(__xludf.DUMMYFUNCTION("""COMPUTED_VALUE"""),"Buitentuinen 51")</f>
        <v>Buitentuinen 51</v>
      </c>
      <c r="I411" s="6" t="str">
        <f>IFERROR(__xludf.DUMMYFUNCTION("""COMPUTED_VALUE"""),"2551 VX")</f>
        <v>2551 VX</v>
      </c>
      <c r="J411" s="6" t="str">
        <f>IFERROR(__xludf.DUMMYFUNCTION("""COMPUTED_VALUE"""),"Den Haag")</f>
        <v>Den Haag</v>
      </c>
      <c r="K411" s="6" t="str">
        <f>IFERROR(__xludf.DUMMYFUNCTION("""COMPUTED_VALUE"""),"Nederland")</f>
        <v>Nederland</v>
      </c>
      <c r="L411" s="6" t="str">
        <f>IFERROR(__xludf.DUMMYFUNCTION("""COMPUTED_VALUE"""),"Кикьов")</f>
        <v>Кикьов</v>
      </c>
      <c r="M411" s="8">
        <f>IFERROR(__xludf.DUMMYFUNCTION("""COMPUTED_VALUE"""),43175.0)</f>
        <v>43175</v>
      </c>
      <c r="N411" s="6" t="str">
        <f>IFERROR(__xludf.DUMMYFUNCTION("""COMPUTED_VALUE"""),"NL490277561B01")</f>
        <v>NL490277561B01</v>
      </c>
      <c r="O411" s="6">
        <f>IFERROR(__xludf.DUMMYFUNCTION("""COMPUTED_VALUE"""),6.626465E7)</f>
        <v>66264650</v>
      </c>
      <c r="P411" s="6" t="str">
        <f>IFERROR(__xludf.DUMMYFUNCTION("""COMPUTED_VALUE"""),"NL81INGB0007377449")</f>
        <v>NL81INGB0007377449</v>
      </c>
      <c r="Q411" s="9">
        <f>IFERROR(__xludf.DUMMYFUNCTION("""COMPUTED_VALUE"""),41344.0)</f>
        <v>41344</v>
      </c>
      <c r="R411" s="6"/>
      <c r="S411" s="6" t="str">
        <f>IFERROR(__xludf.DUMMYFUNCTION("""COMPUTED_VALUE"""),"NL002491037B59")</f>
        <v>NL002491037B59</v>
      </c>
      <c r="T411" s="6">
        <f>IFERROR(__xludf.DUMMYFUNCTION("""COMPUTED_VALUE"""),4.90277561E8)</f>
        <v>490277561</v>
      </c>
      <c r="U411" s="7" t="str">
        <f>IFERROR(__xludf.DUMMYFUNCTION("""COMPUTED_VALUE"""),"Eenmanszaak")</f>
        <v>Eenmanszaak</v>
      </c>
      <c r="V411" s="7" t="str">
        <f>IFERROR(__xludf.DUMMYFUNCTION("""COMPUTED_VALUE"""),"000034904506")</f>
        <v>000034904506</v>
      </c>
      <c r="W411" s="6" t="str">
        <f>IFERROR(__xludf.DUMMYFUNCTION("""COMPUTED_VALUE"""),"ink.selfbouwzzp.2288aa@zarabota.nl")</f>
        <v>ink.selfbouwzzp.2288aa@zarabota.nl</v>
      </c>
      <c r="X411" s="6" t="str">
        <f>IFERROR(__xludf.DUMMYFUNCTION("""COMPUTED_VALUE"""),"ver.selfbouwzzp.2288aa@zarabota.nl")</f>
        <v>ver.selfbouwzzp.2288aa@zarabota.nl</v>
      </c>
      <c r="Y411" s="6" t="str">
        <f>IFERROR(__xludf.DUMMYFUNCTION("""COMPUTED_VALUE"""),"Hr.")</f>
        <v>Hr.</v>
      </c>
      <c r="Z411" s="6" t="str">
        <f>IFERROR(__xludf.DUMMYFUNCTION("""COMPUTED_VALUE"""),"Selvi Fahriev")</f>
        <v>Selvi Fahriev</v>
      </c>
      <c r="AA411" s="6" t="str">
        <f>IFERROR(__xludf.DUMMYFUNCTION("""COMPUTED_VALUE"""),"Kikyov")</f>
        <v>Kikyov</v>
      </c>
      <c r="AB411" s="6" t="str">
        <f>IFERROR(__xludf.DUMMYFUNCTION("""COMPUTED_VALUE"""),"S.F.")</f>
        <v>S.F.</v>
      </c>
      <c r="AC411" s="6">
        <f>IFERROR(__xludf.DUMMYFUNCTION("""COMPUTED_VALUE"""),4.90277561E8)</f>
        <v>490277561</v>
      </c>
      <c r="AD411" s="9">
        <f>IFERROR(__xludf.DUMMYFUNCTION("""COMPUTED_VALUE"""),32548.0)</f>
        <v>32548</v>
      </c>
      <c r="AE411" s="6" t="str">
        <f>IFERROR(__xludf.DUMMYFUNCTION("""COMPUTED_VALUE"""),"bg")</f>
        <v>bg</v>
      </c>
      <c r="AF411" s="6" t="str">
        <f>IFERROR(__xludf.DUMMYFUNCTION("""COMPUTED_VALUE"""),"Rudozem")</f>
        <v>Rudozem</v>
      </c>
      <c r="AG411" s="6" t="str">
        <f>IFERROR(__xludf.DUMMYFUNCTION("""COMPUTED_VALUE"""),"Hr. S.F. Kikyov")</f>
        <v>Hr. S.F. Kikyov</v>
      </c>
      <c r="AH411" s="6"/>
      <c r="AI411" s="6"/>
      <c r="AJ411" s="6"/>
      <c r="AK411" s="6"/>
      <c r="AL411" s="6"/>
      <c r="AM411" s="6"/>
      <c r="AN411" s="6" t="str">
        <f>IFERROR(__xludf.DUMMYFUNCTION("""COMPUTED_VALUE"""),"Selvi Fahriev Kikyov")</f>
        <v>Selvi Fahriev Kikyov</v>
      </c>
      <c r="AO411" s="6"/>
    </row>
    <row r="412">
      <c r="A412" s="6" t="str">
        <f>IFERROR(__xludf.DUMMYFUNCTION("""COMPUTED_VALUE"""),"SER Trans VOF")</f>
        <v>SER Trans VOF</v>
      </c>
      <c r="B412" s="6" t="str">
        <f>IFERROR(__xludf.DUMMYFUNCTION("""COMPUTED_VALUE"""),"SER Trans VOF")</f>
        <v>SER Trans VOF</v>
      </c>
      <c r="C412" s="6">
        <f>IFERROR(__xludf.DUMMYFUNCTION("""COMPUTED_VALUE"""),445.0)</f>
        <v>445</v>
      </c>
      <c r="D412" s="7" t="str">
        <f>IFERROR(__xludf.DUMMYFUNCTION("""COMPUTED_VALUE"""),"S.A. Ahmedov")</f>
        <v>S.A. Ahmedov</v>
      </c>
      <c r="E412" s="7" t="str">
        <f>IFERROR(__xludf.DUMMYFUNCTION("""COMPUTED_VALUE"""),"SBI-code: 4120 - Algemene burgerlijke en utiliteitsbouw")</f>
        <v>SBI-code: 4120 - Algemene burgerlijke en utiliteitsbouw</v>
      </c>
      <c r="F412" s="7" t="str">
        <f>IFERROR(__xludf.DUMMYFUNCTION("""COMPUTED_VALUE"""),"0626449000")</f>
        <v>0626449000</v>
      </c>
      <c r="G412" s="6" t="str">
        <f>IFERROR(__xludf.DUMMYFUNCTION("""COMPUTED_VALUE"""),"sedatbenebul@hotmail.com")</f>
        <v>sedatbenebul@hotmail.com</v>
      </c>
      <c r="H412" s="6" t="str">
        <f>IFERROR(__xludf.DUMMYFUNCTION("""COMPUTED_VALUE"""),"Mathijsenstraat 50")</f>
        <v>Mathijsenstraat 50</v>
      </c>
      <c r="I412" s="6" t="str">
        <f>IFERROR(__xludf.DUMMYFUNCTION("""COMPUTED_VALUE"""),"2035CN")</f>
        <v>2035CN</v>
      </c>
      <c r="J412" s="6" t="str">
        <f>IFERROR(__xludf.DUMMYFUNCTION("""COMPUTED_VALUE"""),"Haarlem")</f>
        <v>Haarlem</v>
      </c>
      <c r="K412" s="6" t="str">
        <f>IFERROR(__xludf.DUMMYFUNCTION("""COMPUTED_VALUE"""),"Nederland")</f>
        <v>Nederland</v>
      </c>
      <c r="L412" s="6" t="str">
        <f>IFERROR(__xludf.DUMMYFUNCTION("""COMPUTED_VALUE"""),"Мустафов")</f>
        <v>Мустафов</v>
      </c>
      <c r="M412" s="8">
        <f>IFERROR(__xludf.DUMMYFUNCTION("""COMPUTED_VALUE"""),43175.0)</f>
        <v>43175</v>
      </c>
      <c r="N412" s="6" t="str">
        <f>IFERROR(__xludf.DUMMYFUNCTION("""COMPUTED_VALUE"""),"NL857984214B01")</f>
        <v>NL857984214B01</v>
      </c>
      <c r="O412" s="6">
        <f>IFERROR(__xludf.DUMMYFUNCTION("""COMPUTED_VALUE"""),6.97229E7)</f>
        <v>69722900</v>
      </c>
      <c r="P412" s="6" t="str">
        <f>IFERROR(__xludf.DUMMYFUNCTION("""COMPUTED_VALUE"""),"NL52INGB0007853659")</f>
        <v>NL52INGB0007853659</v>
      </c>
      <c r="Q412" s="9">
        <f>IFERROR(__xludf.DUMMYFUNCTION("""COMPUTED_VALUE"""),42996.0)</f>
        <v>42996</v>
      </c>
      <c r="R412" s="6"/>
      <c r="S412" s="6" t="str">
        <f>IFERROR(__xludf.DUMMYFUNCTION("""COMPUTED_VALUE"""),"NL857984214B01")</f>
        <v>NL857984214B01</v>
      </c>
      <c r="T412" s="6">
        <f>IFERROR(__xludf.DUMMYFUNCTION("""COMPUTED_VALUE"""),8.57984214E8)</f>
        <v>857984214</v>
      </c>
      <c r="U412" s="7" t="str">
        <f>IFERROR(__xludf.DUMMYFUNCTION("""COMPUTED_VALUE"""),"Vennootschap Onder Firma")</f>
        <v>Vennootschap Onder Firma</v>
      </c>
      <c r="V412" s="7" t="str">
        <f>IFERROR(__xludf.DUMMYFUNCTION("""COMPUTED_VALUE"""),"000038055511")</f>
        <v>000038055511</v>
      </c>
      <c r="W412" s="6" t="str">
        <f>IFERROR(__xludf.DUMMYFUNCTION("""COMPUTED_VALUE"""),"ink.sertransvof.2288aa@zarabota.nl")</f>
        <v>ink.sertransvof.2288aa@zarabota.nl</v>
      </c>
      <c r="X412" s="6" t="str">
        <f>IFERROR(__xludf.DUMMYFUNCTION("""COMPUTED_VALUE"""),"ver.sertransvof.2288aa@zarabota.nl")</f>
        <v>ver.sertransvof.2288aa@zarabota.nl</v>
      </c>
      <c r="Y412" s="6" t="str">
        <f>IFERROR(__xludf.DUMMYFUNCTION("""COMPUTED_VALUE"""),"Hr.")</f>
        <v>Hr.</v>
      </c>
      <c r="Z412" s="6" t="str">
        <f>IFERROR(__xludf.DUMMYFUNCTION("""COMPUTED_VALUE"""),"Sedat Hyuseinov")</f>
        <v>Sedat Hyuseinov</v>
      </c>
      <c r="AA412" s="6" t="str">
        <f>IFERROR(__xludf.DUMMYFUNCTION("""COMPUTED_VALUE"""),"Ahmedov")</f>
        <v>Ahmedov</v>
      </c>
      <c r="AB412" s="6" t="str">
        <f>IFERROR(__xludf.DUMMYFUNCTION("""COMPUTED_VALUE"""),"S.H.")</f>
        <v>S.H.</v>
      </c>
      <c r="AC412" s="6">
        <f>IFERROR(__xludf.DUMMYFUNCTION("""COMPUTED_VALUE"""),8.57984214E8)</f>
        <v>857984214</v>
      </c>
      <c r="AD412" s="9">
        <f>IFERROR(__xludf.DUMMYFUNCTION("""COMPUTED_VALUE"""),25350.0)</f>
        <v>25350</v>
      </c>
      <c r="AE412" s="6" t="str">
        <f>IFERROR(__xludf.DUMMYFUNCTION("""COMPUTED_VALUE"""),"bg")</f>
        <v>bg</v>
      </c>
      <c r="AF412" s="6" t="str">
        <f>IFERROR(__xludf.DUMMYFUNCTION("""COMPUTED_VALUE"""),"Omurtag")</f>
        <v>Omurtag</v>
      </c>
      <c r="AG412" s="6" t="str">
        <f>IFERROR(__xludf.DUMMYFUNCTION("""COMPUTED_VALUE"""),"Hr. S.H. Ahmedov")</f>
        <v>Hr. S.H. Ahmedov</v>
      </c>
      <c r="AH412" s="6"/>
      <c r="AI412" s="6"/>
      <c r="AJ412" s="6"/>
      <c r="AK412" s="6"/>
      <c r="AL412" s="6"/>
      <c r="AM412" s="6"/>
      <c r="AN412" s="6" t="str">
        <f>IFERROR(__xludf.DUMMYFUNCTION("""COMPUTED_VALUE"""),"Sedat Hyuseinov Ahmedov")</f>
        <v>Sedat Hyuseinov Ahmedov</v>
      </c>
      <c r="AO412" s="6"/>
    </row>
    <row r="413">
      <c r="A413" s="6" t="str">
        <f>IFERROR(__xludf.DUMMYFUNCTION("""COMPUTED_VALUE"""),"Service plus Derekh")</f>
        <v>Service plus Derekh</v>
      </c>
      <c r="B413" s="6" t="str">
        <f>IFERROR(__xludf.DUMMYFUNCTION("""COMPUTED_VALUE"""),"Service plus Derekh")</f>
        <v>Service plus Derekh</v>
      </c>
      <c r="C413" s="6">
        <f>IFERROR(__xludf.DUMMYFUNCTION("""COMPUTED_VALUE"""),1534.0)</f>
        <v>1534</v>
      </c>
      <c r="D413" s="7" t="str">
        <f>IFERROR(__xludf.DUMMYFUNCTION("""COMPUTED_VALUE"""),"Oleh Derekh")</f>
        <v>Oleh Derekh</v>
      </c>
      <c r="E413" s="7" t="str">
        <f>IFERROR(__xludf.DUMMYFUNCTION("""COMPUTED_VALUE"""),"SBI-code: 4120 - Algemene burgerlijke en utiliteitsbouw")</f>
        <v>SBI-code: 4120 - Algemene burgerlijke en utiliteitsbouw</v>
      </c>
      <c r="F413" s="7" t="str">
        <f>IFERROR(__xludf.DUMMYFUNCTION("""COMPUTED_VALUE"""),"0687712419")</f>
        <v>0687712419</v>
      </c>
      <c r="G413" s="6" t="str">
        <f>IFERROR(__xludf.DUMMYFUNCTION("""COMPUTED_VALUE"""),"olehderekh5@gmail.com")</f>
        <v>olehderekh5@gmail.com</v>
      </c>
      <c r="H413" s="6" t="str">
        <f>IFERROR(__xludf.DUMMYFUNCTION("""COMPUTED_VALUE"""),"Hendrik Madestraat 45")</f>
        <v>Hendrik Madestraat 45</v>
      </c>
      <c r="I413" s="6" t="str">
        <f>IFERROR(__xludf.DUMMYFUNCTION("""COMPUTED_VALUE"""),"2531TV")</f>
        <v>2531TV</v>
      </c>
      <c r="J413" s="6" t="str">
        <f>IFERROR(__xludf.DUMMYFUNCTION("""COMPUTED_VALUE"""),"s-Gravenhage")</f>
        <v>s-Gravenhage</v>
      </c>
      <c r="K413" s="6" t="str">
        <f>IFERROR(__xludf.DUMMYFUNCTION("""COMPUTED_VALUE"""),"Nederland")</f>
        <v>Nederland</v>
      </c>
      <c r="L413" s="6" t="str">
        <f>IFERROR(__xludf.DUMMYFUNCTION("""COMPUTED_VALUE"""),"Дерех")</f>
        <v>Дерех</v>
      </c>
      <c r="M413" s="8">
        <f>IFERROR(__xludf.DUMMYFUNCTION("""COMPUTED_VALUE"""),45033.0)</f>
        <v>45033</v>
      </c>
      <c r="N413" s="6" t="str">
        <f>IFERROR(__xludf.DUMMYFUNCTION("""COMPUTED_VALUE"""),"NL611246235B01")</f>
        <v>NL611246235B01</v>
      </c>
      <c r="O413" s="6">
        <f>IFERROR(__xludf.DUMMYFUNCTION("""COMPUTED_VALUE"""),9.0236939E7)</f>
        <v>90236939</v>
      </c>
      <c r="P413" s="6" t="str">
        <f>IFERROR(__xludf.DUMMYFUNCTION("""COMPUTED_VALUE"""),"NL86INGB0103936882")</f>
        <v>NL86INGB0103936882</v>
      </c>
      <c r="Q413" s="9">
        <f>IFERROR(__xludf.DUMMYFUNCTION("""COMPUTED_VALUE"""),45033.0)</f>
        <v>45033</v>
      </c>
      <c r="R413" s="6"/>
      <c r="S413" s="6" t="str">
        <f>IFERROR(__xludf.DUMMYFUNCTION("""COMPUTED_VALUE"""),"NL004799229B45")</f>
        <v>NL004799229B45</v>
      </c>
      <c r="T413" s="6">
        <f>IFERROR(__xludf.DUMMYFUNCTION("""COMPUTED_VALUE"""),6.11246235E8)</f>
        <v>611246235</v>
      </c>
      <c r="U413" s="7" t="str">
        <f>IFERROR(__xludf.DUMMYFUNCTION("""COMPUTED_VALUE"""),"Eenmanszaak")</f>
        <v>Eenmanszaak</v>
      </c>
      <c r="V413" s="7" t="str">
        <f>IFERROR(__xludf.DUMMYFUNCTION("""COMPUTED_VALUE"""),"000055978304")</f>
        <v>000055978304</v>
      </c>
      <c r="W413" s="6" t="str">
        <f>IFERROR(__xludf.DUMMYFUNCTION("""COMPUTED_VALUE"""),"ink.serviceplus.2288aa@zarabota.nl")</f>
        <v>ink.serviceplus.2288aa@zarabota.nl</v>
      </c>
      <c r="X413" s="6" t="str">
        <f>IFERROR(__xludf.DUMMYFUNCTION("""COMPUTED_VALUE"""),"ver.serviceplus.2288aa@zarabota.nl")</f>
        <v>ver.serviceplus.2288aa@zarabota.nl</v>
      </c>
      <c r="Y413" s="6" t="str">
        <f>IFERROR(__xludf.DUMMYFUNCTION("""COMPUTED_VALUE"""),"Hr.")</f>
        <v>Hr.</v>
      </c>
      <c r="Z413" s="6" t="str">
        <f>IFERROR(__xludf.DUMMYFUNCTION("""COMPUTED_VALUE"""),"Oleh")</f>
        <v>Oleh</v>
      </c>
      <c r="AA413" s="6" t="str">
        <f>IFERROR(__xludf.DUMMYFUNCTION("""COMPUTED_VALUE"""),"Derekh")</f>
        <v>Derekh</v>
      </c>
      <c r="AB413" s="6" t="str">
        <f>IFERROR(__xludf.DUMMYFUNCTION("""COMPUTED_VALUE"""),"O.")</f>
        <v>O.</v>
      </c>
      <c r="AC413" s="6">
        <f>IFERROR(__xludf.DUMMYFUNCTION("""COMPUTED_VALUE"""),6.11246235E8)</f>
        <v>611246235</v>
      </c>
      <c r="AD413" s="9">
        <f>IFERROR(__xludf.DUMMYFUNCTION("""COMPUTED_VALUE"""),32885.0)</f>
        <v>32885</v>
      </c>
      <c r="AE413" s="6" t="str">
        <f>IFERROR(__xludf.DUMMYFUNCTION("""COMPUTED_VALUE"""),"bg")</f>
        <v>bg</v>
      </c>
      <c r="AF413" s="6" t="str">
        <f>IFERROR(__xludf.DUMMYFUNCTION("""COMPUTED_VALUE"""),"Ternopol")</f>
        <v>Ternopol</v>
      </c>
      <c r="AG413" s="6" t="str">
        <f>IFERROR(__xludf.DUMMYFUNCTION("""COMPUTED_VALUE"""),"Hr. O. Derekh")</f>
        <v>Hr. O. Derekh</v>
      </c>
      <c r="AH413" s="6" t="str">
        <f>IFERROR(__xludf.DUMMYFUNCTION("""COMPUTED_VALUE"""),"NL43INGB0390690414")</f>
        <v>NL43INGB0390690414</v>
      </c>
      <c r="AI413" s="6"/>
      <c r="AJ413" s="6" t="str">
        <f>IFERROR(__xludf.DUMMYFUNCTION("""COMPUTED_VALUE"""),"Paspoort")</f>
        <v>Paspoort</v>
      </c>
      <c r="AK413" s="6" t="str">
        <f>IFERROR(__xludf.DUMMYFUNCTION("""COMPUTED_VALUE"""),"PU839896")</f>
        <v>PU839896</v>
      </c>
      <c r="AL413" s="9">
        <f>IFERROR(__xludf.DUMMYFUNCTION("""COMPUTED_VALUE"""),48784.0)</f>
        <v>48784</v>
      </c>
      <c r="AM413" s="6" t="str">
        <f>IFERROR(__xludf.DUMMYFUNCTION("""COMPUTED_VALUE"""),"Bulgarije")</f>
        <v>Bulgarije</v>
      </c>
      <c r="AN413" s="6" t="str">
        <f>IFERROR(__xludf.DUMMYFUNCTION("""COMPUTED_VALUE"""),"Oleh Derekh")</f>
        <v>Oleh Derekh</v>
      </c>
      <c r="AO413" s="6"/>
    </row>
    <row r="414">
      <c r="A414" s="6" t="str">
        <f>IFERROR(__xludf.DUMMYFUNCTION("""COMPUTED_VALUE"""),"SETA Invest B.V.")</f>
        <v>SETA Invest B.V.</v>
      </c>
      <c r="B414" s="6" t="str">
        <f>IFERROR(__xludf.DUMMYFUNCTION("""COMPUTED_VALUE"""),"SETA Invest B.V.")</f>
        <v>SETA Invest B.V.</v>
      </c>
      <c r="C414" s="6">
        <f>IFERROR(__xludf.DUMMYFUNCTION("""COMPUTED_VALUE"""),1382.0)</f>
        <v>1382</v>
      </c>
      <c r="D414" s="7" t="str">
        <f>IFERROR(__xludf.DUMMYFUNCTION("""COMPUTED_VALUE"""),"Hristina Stefanova Malinova")</f>
        <v>Hristina Stefanova Malinova</v>
      </c>
      <c r="E414" s="7" t="str">
        <f>IFERROR(__xludf.DUMMYFUNCTION("""COMPUTED_VALUE"""),"SBI-code: 4120 - Algemene burgerlijke en utiliteitsbouw")</f>
        <v>SBI-code: 4120 - Algemene burgerlijke en utiliteitsbouw</v>
      </c>
      <c r="F414" s="7" t="str">
        <f>IFERROR(__xludf.DUMMYFUNCTION("""COMPUTED_VALUE"""),"0648174618")</f>
        <v>0648174618</v>
      </c>
      <c r="G414" s="6" t="str">
        <f>IFERROR(__xludf.DUMMYFUNCTION("""COMPUTED_VALUE"""),"hristina.mallinova@gmail.com")</f>
        <v>hristina.mallinova@gmail.com</v>
      </c>
      <c r="H414" s="6" t="str">
        <f>IFERROR(__xludf.DUMMYFUNCTION("""COMPUTED_VALUE"""),"Dr. Lelykade 271")</f>
        <v>Dr. Lelykade 271</v>
      </c>
      <c r="I414" s="6" t="str">
        <f>IFERROR(__xludf.DUMMYFUNCTION("""COMPUTED_VALUE"""),"2583JZ")</f>
        <v>2583JZ</v>
      </c>
      <c r="J414" s="6" t="str">
        <f>IFERROR(__xludf.DUMMYFUNCTION("""COMPUTED_VALUE"""),"s-Gravenhage")</f>
        <v>s-Gravenhage</v>
      </c>
      <c r="K414" s="6" t="str">
        <f>IFERROR(__xludf.DUMMYFUNCTION("""COMPUTED_VALUE"""),"Nederland")</f>
        <v>Nederland</v>
      </c>
      <c r="L414" s="6" t="str">
        <f>IFERROR(__xludf.DUMMYFUNCTION("""COMPUTED_VALUE"""),"Малинова")</f>
        <v>Малинова</v>
      </c>
      <c r="M414" s="8">
        <f>IFERROR(__xludf.DUMMYFUNCTION("""COMPUTED_VALUE"""),44743.0)</f>
        <v>44743</v>
      </c>
      <c r="N414" s="6" t="str">
        <f>IFERROR(__xludf.DUMMYFUNCTION("""COMPUTED_VALUE"""),"NL860859253B01")</f>
        <v>NL860859253B01</v>
      </c>
      <c r="O414" s="6">
        <f>IFERROR(__xludf.DUMMYFUNCTION("""COMPUTED_VALUE"""),7.6974251E7)</f>
        <v>76974251</v>
      </c>
      <c r="P414" s="6" t="str">
        <f>IFERROR(__xludf.DUMMYFUNCTION("""COMPUTED_VALUE"""),"NL40INGB0006911908")</f>
        <v>NL40INGB0006911908</v>
      </c>
      <c r="Q414" s="9">
        <f>IFERROR(__xludf.DUMMYFUNCTION("""COMPUTED_VALUE"""),43839.0)</f>
        <v>43839</v>
      </c>
      <c r="R414" s="6"/>
      <c r="S414" s="6" t="str">
        <f>IFERROR(__xludf.DUMMYFUNCTION("""COMPUTED_VALUE"""),"NL860859253B01")</f>
        <v>NL860859253B01</v>
      </c>
      <c r="T414" s="6">
        <f>IFERROR(__xludf.DUMMYFUNCTION("""COMPUTED_VALUE"""),8.60859253E8)</f>
        <v>860859253</v>
      </c>
      <c r="U414" s="7" t="str">
        <f>IFERROR(__xludf.DUMMYFUNCTION("""COMPUTED_VALUE"""),"Besloten Vennootschap")</f>
        <v>Besloten Vennootschap</v>
      </c>
      <c r="V414" s="7" t="str">
        <f>IFERROR(__xludf.DUMMYFUNCTION("""COMPUTED_VALUE"""),"000044704631")</f>
        <v>000044704631</v>
      </c>
      <c r="W414" s="6" t="str">
        <f>IFERROR(__xludf.DUMMYFUNCTION("""COMPUTED_VALUE"""),"ink.setainvest.2288aa@zarabota.nl")</f>
        <v>ink.setainvest.2288aa@zarabota.nl</v>
      </c>
      <c r="X414" s="6" t="str">
        <f>IFERROR(__xludf.DUMMYFUNCTION("""COMPUTED_VALUE"""),"ver.setainvest.2288aa@zarabota.nl")</f>
        <v>ver.setainvest.2288aa@zarabota.nl</v>
      </c>
      <c r="Y414" s="6" t="str">
        <f>IFERROR(__xludf.DUMMYFUNCTION("""COMPUTED_VALUE"""),"Mw.")</f>
        <v>Mw.</v>
      </c>
      <c r="Z414" s="6" t="str">
        <f>IFERROR(__xludf.DUMMYFUNCTION("""COMPUTED_VALUE"""),"Hristina Stefanova")</f>
        <v>Hristina Stefanova</v>
      </c>
      <c r="AA414" s="6" t="str">
        <f>IFERROR(__xludf.DUMMYFUNCTION("""COMPUTED_VALUE"""),"Malinova")</f>
        <v>Malinova</v>
      </c>
      <c r="AB414" s="6" t="str">
        <f>IFERROR(__xludf.DUMMYFUNCTION("""COMPUTED_VALUE"""),"H.S.")</f>
        <v>H.S.</v>
      </c>
      <c r="AC414" s="6">
        <f>IFERROR(__xludf.DUMMYFUNCTION("""COMPUTED_VALUE"""),4.83434024E8)</f>
        <v>483434024</v>
      </c>
      <c r="AD414" s="9">
        <f>IFERROR(__xludf.DUMMYFUNCTION("""COMPUTED_VALUE"""),34130.0)</f>
        <v>34130</v>
      </c>
      <c r="AE414" s="6" t="str">
        <f>IFERROR(__xludf.DUMMYFUNCTION("""COMPUTED_VALUE"""),"bg")</f>
        <v>bg</v>
      </c>
      <c r="AF414" s="6" t="str">
        <f>IFERROR(__xludf.DUMMYFUNCTION("""COMPUTED_VALUE"""),"Pernik")</f>
        <v>Pernik</v>
      </c>
      <c r="AG414" s="6" t="str">
        <f>IFERROR(__xludf.DUMMYFUNCTION("""COMPUTED_VALUE"""),"Mw. H.S. Malinova")</f>
        <v>Mw. H.S. Malinova</v>
      </c>
      <c r="AH414" s="6"/>
      <c r="AI414" s="6"/>
      <c r="AJ414" s="6" t="str">
        <f>IFERROR(__xludf.DUMMYFUNCTION("""COMPUTED_VALUE"""),"ID Kaart")</f>
        <v>ID Kaart</v>
      </c>
      <c r="AK414" s="6"/>
      <c r="AL414" s="6"/>
      <c r="AM414" s="6" t="str">
        <f>IFERROR(__xludf.DUMMYFUNCTION("""COMPUTED_VALUE"""),"Bulgarije")</f>
        <v>Bulgarije</v>
      </c>
      <c r="AN414" s="6" t="str">
        <f>IFERROR(__xludf.DUMMYFUNCTION("""COMPUTED_VALUE"""),"Hristina Stefanova Malinova")</f>
        <v>Hristina Stefanova Malinova</v>
      </c>
      <c r="AO414" s="6"/>
    </row>
    <row r="415">
      <c r="A415" s="6" t="str">
        <f>IFERROR(__xludf.DUMMYFUNCTION("""COMPUTED_VALUE"""),"Seyhanov Bouw")</f>
        <v>Seyhanov Bouw</v>
      </c>
      <c r="B415" s="6" t="str">
        <f>IFERROR(__xludf.DUMMYFUNCTION("""COMPUTED_VALUE"""),"Seyhanov Bouw")</f>
        <v>Seyhanov Bouw</v>
      </c>
      <c r="C415" s="6">
        <f>IFERROR(__xludf.DUMMYFUNCTION("""COMPUTED_VALUE"""),1597.0)</f>
        <v>1597</v>
      </c>
      <c r="D415" s="7" t="str">
        <f>IFERROR(__xludf.DUMMYFUNCTION("""COMPUTED_VALUE"""),"Dzhoshkun Seyhanov Aliev")</f>
        <v>Dzhoshkun Seyhanov Aliev</v>
      </c>
      <c r="E415" s="7" t="str">
        <f>IFERROR(__xludf.DUMMYFUNCTION("""COMPUTED_VALUE"""),"SBI-code: 4120 - Algemene burgerlijke en utiliteitsbouw")</f>
        <v>SBI-code: 4120 - Algemene burgerlijke en utiliteitsbouw</v>
      </c>
      <c r="F415" s="7" t="str">
        <f>IFERROR(__xludf.DUMMYFUNCTION("""COMPUTED_VALUE"""),"0687857865")</f>
        <v>0687857865</v>
      </c>
      <c r="G415" s="6" t="str">
        <f>IFERROR(__xludf.DUMMYFUNCTION("""COMPUTED_VALUE"""),"djoskun_aliev@abv.bg")</f>
        <v>djoskun_aliev@abv.bg</v>
      </c>
      <c r="H415" s="6" t="str">
        <f>IFERROR(__xludf.DUMMYFUNCTION("""COMPUTED_VALUE"""),"Van Zeggelenlaan 389")</f>
        <v>Van Zeggelenlaan 389</v>
      </c>
      <c r="I415" s="6" t="str">
        <f>IFERROR(__xludf.DUMMYFUNCTION("""COMPUTED_VALUE"""),"2524AM")</f>
        <v>2524AM</v>
      </c>
      <c r="J415" s="6" t="str">
        <f>IFERROR(__xludf.DUMMYFUNCTION("""COMPUTED_VALUE"""),"s-Gravenhage")</f>
        <v>s-Gravenhage</v>
      </c>
      <c r="K415" s="6" t="str">
        <f>IFERROR(__xludf.DUMMYFUNCTION("""COMPUTED_VALUE"""),"Nederland")</f>
        <v>Nederland</v>
      </c>
      <c r="L415" s="6" t="str">
        <f>IFERROR(__xludf.DUMMYFUNCTION("""COMPUTED_VALUE"""),"Алиев")</f>
        <v>Алиев</v>
      </c>
      <c r="M415" s="8">
        <f>IFERROR(__xludf.DUMMYFUNCTION("""COMPUTED_VALUE"""),45358.0)</f>
        <v>45358</v>
      </c>
      <c r="N415" s="6" t="str">
        <f>IFERROR(__xludf.DUMMYFUNCTION("""COMPUTED_VALUE"""),"NL430711839B01")</f>
        <v>NL430711839B01</v>
      </c>
      <c r="O415" s="6">
        <f>IFERROR(__xludf.DUMMYFUNCTION("""COMPUTED_VALUE"""),9.3187599E7)</f>
        <v>93187599</v>
      </c>
      <c r="P415" s="6" t="str">
        <f>IFERROR(__xludf.DUMMYFUNCTION("""COMPUTED_VALUE"""),"NL19INGB0105790109")</f>
        <v>NL19INGB0105790109</v>
      </c>
      <c r="Q415" s="9">
        <f>IFERROR(__xludf.DUMMYFUNCTION("""COMPUTED_VALUE"""),45358.0)</f>
        <v>45358</v>
      </c>
      <c r="R415" s="6"/>
      <c r="S415" s="6" t="str">
        <f>IFERROR(__xludf.DUMMYFUNCTION("""COMPUTED_VALUE"""),"NL005004255B42")</f>
        <v>NL005004255B42</v>
      </c>
      <c r="T415" s="6">
        <f>IFERROR(__xludf.DUMMYFUNCTION("""COMPUTED_VALUE"""),4.30711839E8)</f>
        <v>430711839</v>
      </c>
      <c r="U415" s="7" t="str">
        <f>IFERROR(__xludf.DUMMYFUNCTION("""COMPUTED_VALUE"""),"Eenmanszaak")</f>
        <v>Eenmanszaak</v>
      </c>
      <c r="V415" s="7" t="str">
        <f>IFERROR(__xludf.DUMMYFUNCTION("""COMPUTED_VALUE"""),"000058749543")</f>
        <v>000058749543</v>
      </c>
      <c r="W415" s="6" t="str">
        <f>IFERROR(__xludf.DUMMYFUNCTION("""COMPUTED_VALUE"""),"ink.seyhanov.2288aa@zarabota.nl")</f>
        <v>ink.seyhanov.2288aa@zarabota.nl</v>
      </c>
      <c r="X415" s="6" t="str">
        <f>IFERROR(__xludf.DUMMYFUNCTION("""COMPUTED_VALUE"""),"ver.seyhanov.2288aa@zarabota.nl")</f>
        <v>ver.seyhanov.2288aa@zarabota.nl</v>
      </c>
      <c r="Y415" s="6" t="str">
        <f>IFERROR(__xludf.DUMMYFUNCTION("""COMPUTED_VALUE"""),"Hr.")</f>
        <v>Hr.</v>
      </c>
      <c r="Z415" s="6" t="str">
        <f>IFERROR(__xludf.DUMMYFUNCTION("""COMPUTED_VALUE"""),"Dzhoshkun Seyhanov")</f>
        <v>Dzhoshkun Seyhanov</v>
      </c>
      <c r="AA415" s="6" t="str">
        <f>IFERROR(__xludf.DUMMYFUNCTION("""COMPUTED_VALUE"""),"Aliev")</f>
        <v>Aliev</v>
      </c>
      <c r="AB415" s="6" t="str">
        <f>IFERROR(__xludf.DUMMYFUNCTION("""COMPUTED_VALUE"""),"D.S.")</f>
        <v>D.S.</v>
      </c>
      <c r="AC415" s="6">
        <f>IFERROR(__xludf.DUMMYFUNCTION("""COMPUTED_VALUE"""),4.30711839E8)</f>
        <v>430711839</v>
      </c>
      <c r="AD415" s="9">
        <f>IFERROR(__xludf.DUMMYFUNCTION("""COMPUTED_VALUE"""),33354.0)</f>
        <v>33354</v>
      </c>
      <c r="AE415" s="6" t="str">
        <f>IFERROR(__xludf.DUMMYFUNCTION("""COMPUTED_VALUE"""),"bg")</f>
        <v>bg</v>
      </c>
      <c r="AF415" s="6" t="str">
        <f>IFERROR(__xludf.DUMMYFUNCTION("""COMPUTED_VALUE"""),"Ardino")</f>
        <v>Ardino</v>
      </c>
      <c r="AG415" s="6" t="str">
        <f>IFERROR(__xludf.DUMMYFUNCTION("""COMPUTED_VALUE"""),"Hr. D.S. Aliev")</f>
        <v>Hr. D.S. Aliev</v>
      </c>
      <c r="AH415" s="6" t="str">
        <f>IFERROR(__xludf.DUMMYFUNCTION("""COMPUTED_VALUE"""),"NL05INGB0105789682")</f>
        <v>NL05INGB0105789682</v>
      </c>
      <c r="AI415" s="6"/>
      <c r="AJ415" s="6" t="str">
        <f>IFERROR(__xludf.DUMMYFUNCTION("""COMPUTED_VALUE"""),"ID Kaart")</f>
        <v>ID Kaart</v>
      </c>
      <c r="AK415" s="6">
        <f>IFERROR(__xludf.DUMMYFUNCTION("""COMPUTED_VALUE"""),6.49216602E8)</f>
        <v>649216602</v>
      </c>
      <c r="AL415" s="9">
        <f>IFERROR(__xludf.DUMMYFUNCTION("""COMPUTED_VALUE"""),47698.0)</f>
        <v>47698</v>
      </c>
      <c r="AM415" s="6" t="str">
        <f>IFERROR(__xludf.DUMMYFUNCTION("""COMPUTED_VALUE"""),"Bulgarije")</f>
        <v>Bulgarije</v>
      </c>
      <c r="AN415" s="6" t="str">
        <f>IFERROR(__xludf.DUMMYFUNCTION("""COMPUTED_VALUE"""),"Dzhoshkun Seyhanov Aliev")</f>
        <v>Dzhoshkun Seyhanov Aliev</v>
      </c>
      <c r="AO415" s="6"/>
    </row>
    <row r="416">
      <c r="A416" s="6" t="str">
        <f>IFERROR(__xludf.DUMMYFUNCTION("""COMPUTED_VALUE"""),"Shine Dent Care")</f>
        <v>Shine Dent Care</v>
      </c>
      <c r="B416" s="6" t="str">
        <f>IFERROR(__xludf.DUMMYFUNCTION("""COMPUTED_VALUE"""),"Shine Dent Care")</f>
        <v>Shine Dent Care</v>
      </c>
      <c r="C416" s="6">
        <f>IFERROR(__xludf.DUMMYFUNCTION("""COMPUTED_VALUE"""),1292.0)</f>
        <v>1292</v>
      </c>
      <c r="D416" s="7" t="str">
        <f>IFERROR(__xludf.DUMMYFUNCTION("""COMPUTED_VALUE"""),"Viktoriya Kirilova Asenova")</f>
        <v>Viktoriya Kirilova Asenova</v>
      </c>
      <c r="E416" s="7" t="str">
        <f>IFERROR(__xludf.DUMMYFUNCTION("""COMPUTED_VALUE"""),"SBI-code: 4120 - Algemene burgerlijke en utiliteitsbouw")</f>
        <v>SBI-code: 4120 - Algemene burgerlijke en utiliteitsbouw</v>
      </c>
      <c r="F416" s="7" t="str">
        <f>IFERROR(__xludf.DUMMYFUNCTION("""COMPUTED_VALUE"""),"0628481393")</f>
        <v>0628481393</v>
      </c>
      <c r="G416" s="6" t="str">
        <f>IFERROR(__xludf.DUMMYFUNCTION("""COMPUTED_VALUE"""),"viktoriya.asenova12@gmail.com")</f>
        <v>viktoriya.asenova12@gmail.com</v>
      </c>
      <c r="H416" s="6" t="str">
        <f>IFERROR(__xludf.DUMMYFUNCTION("""COMPUTED_VALUE"""),"Kruyderlaan 136")</f>
        <v>Kruyderlaan 136</v>
      </c>
      <c r="I416" s="6" t="str">
        <f>IFERROR(__xludf.DUMMYFUNCTION("""COMPUTED_VALUE"""),"3431BT")</f>
        <v>3431BT</v>
      </c>
      <c r="J416" s="6" t="str">
        <f>IFERROR(__xludf.DUMMYFUNCTION("""COMPUTED_VALUE"""),"Nieuwegein")</f>
        <v>Nieuwegein</v>
      </c>
      <c r="K416" s="6" t="str">
        <f>IFERROR(__xludf.DUMMYFUNCTION("""COMPUTED_VALUE"""),"Nederland")</f>
        <v>Nederland</v>
      </c>
      <c r="L416" s="6" t="str">
        <f>IFERROR(__xludf.DUMMYFUNCTION("""COMPUTED_VALUE"""),"Асенова")</f>
        <v>Асенова</v>
      </c>
      <c r="M416" s="8">
        <f>IFERROR(__xludf.DUMMYFUNCTION("""COMPUTED_VALUE"""),44414.0)</f>
        <v>44414</v>
      </c>
      <c r="N416" s="6" t="str">
        <f>IFERROR(__xludf.DUMMYFUNCTION("""COMPUTED_VALUE"""),"NL585495671B01")</f>
        <v>NL585495671B01</v>
      </c>
      <c r="O416" s="6">
        <f>IFERROR(__xludf.DUMMYFUNCTION("""COMPUTED_VALUE"""),8.3610227E7)</f>
        <v>83610227</v>
      </c>
      <c r="P416" s="6" t="str">
        <f>IFERROR(__xludf.DUMMYFUNCTION("""COMPUTED_VALUE"""),"NL62INGB0009467656")</f>
        <v>NL62INGB0009467656</v>
      </c>
      <c r="Q416" s="9">
        <f>IFERROR(__xludf.DUMMYFUNCTION("""COMPUTED_VALUE"""),44414.0)</f>
        <v>44414</v>
      </c>
      <c r="R416" s="6"/>
      <c r="S416" s="6" t="str">
        <f>IFERROR(__xludf.DUMMYFUNCTION("""COMPUTED_VALUE"""),"NL003847402B30")</f>
        <v>NL003847402B30</v>
      </c>
      <c r="T416" s="6">
        <f>IFERROR(__xludf.DUMMYFUNCTION("""COMPUTED_VALUE"""),5.85495671E8)</f>
        <v>585495671</v>
      </c>
      <c r="U416" s="7" t="str">
        <f>IFERROR(__xludf.DUMMYFUNCTION("""COMPUTED_VALUE"""),"Eenmanszaak")</f>
        <v>Eenmanszaak</v>
      </c>
      <c r="V416" s="7" t="str">
        <f>IFERROR(__xludf.DUMMYFUNCTION("""COMPUTED_VALUE"""),"000049767992")</f>
        <v>000049767992</v>
      </c>
      <c r="W416" s="6" t="str">
        <f>IFERROR(__xludf.DUMMYFUNCTION("""COMPUTED_VALUE"""),"ink.shinedentcare.2288aa@zarabota.nl")</f>
        <v>ink.shinedentcare.2288aa@zarabota.nl</v>
      </c>
      <c r="X416" s="6" t="str">
        <f>IFERROR(__xludf.DUMMYFUNCTION("""COMPUTED_VALUE"""),"ver.shinedentcare.2288aa@zarabota.nl")</f>
        <v>ver.shinedentcare.2288aa@zarabota.nl</v>
      </c>
      <c r="Y416" s="6" t="str">
        <f>IFERROR(__xludf.DUMMYFUNCTION("""COMPUTED_VALUE"""),"Mw.")</f>
        <v>Mw.</v>
      </c>
      <c r="Z416" s="6" t="str">
        <f>IFERROR(__xludf.DUMMYFUNCTION("""COMPUTED_VALUE"""),"Viktoriya Kirilova")</f>
        <v>Viktoriya Kirilova</v>
      </c>
      <c r="AA416" s="6" t="str">
        <f>IFERROR(__xludf.DUMMYFUNCTION("""COMPUTED_VALUE"""),"Asenova")</f>
        <v>Asenova</v>
      </c>
      <c r="AB416" s="6" t="str">
        <f>IFERROR(__xludf.DUMMYFUNCTION("""COMPUTED_VALUE"""),"V.K.")</f>
        <v>V.K.</v>
      </c>
      <c r="AC416" s="6">
        <f>IFERROR(__xludf.DUMMYFUNCTION("""COMPUTED_VALUE"""),5.85495671E8)</f>
        <v>585495671</v>
      </c>
      <c r="AD416" s="9">
        <f>IFERROR(__xludf.DUMMYFUNCTION("""COMPUTED_VALUE"""),33347.0)</f>
        <v>33347</v>
      </c>
      <c r="AE416" s="6" t="str">
        <f>IFERROR(__xludf.DUMMYFUNCTION("""COMPUTED_VALUE"""),"bg")</f>
        <v>bg</v>
      </c>
      <c r="AF416" s="6" t="str">
        <f>IFERROR(__xludf.DUMMYFUNCTION("""COMPUTED_VALUE"""),"Smilyan")</f>
        <v>Smilyan</v>
      </c>
      <c r="AG416" s="6" t="str">
        <f>IFERROR(__xludf.DUMMYFUNCTION("""COMPUTED_VALUE"""),"Mw. V.K. Asenova")</f>
        <v>Mw. V.K. Asenova</v>
      </c>
      <c r="AH416" s="6" t="str">
        <f>IFERROR(__xludf.DUMMYFUNCTION("""COMPUTED_VALUE"""),"NL95INGB0658079581")</f>
        <v>NL95INGB0658079581</v>
      </c>
      <c r="AI416" s="6"/>
      <c r="AJ416" s="6" t="str">
        <f>IFERROR(__xludf.DUMMYFUNCTION("""COMPUTED_VALUE"""),"ID Kaart")</f>
        <v>ID Kaart</v>
      </c>
      <c r="AK416" s="6">
        <f>IFERROR(__xludf.DUMMYFUNCTION("""COMPUTED_VALUE"""),6.47519972E8)</f>
        <v>647519972</v>
      </c>
      <c r="AL416" s="9">
        <f>IFERROR(__xludf.DUMMYFUNCTION("""COMPUTED_VALUE"""),46820.0)</f>
        <v>46820</v>
      </c>
      <c r="AM416" s="6" t="str">
        <f>IFERROR(__xludf.DUMMYFUNCTION("""COMPUTED_VALUE"""),"Bulgarije")</f>
        <v>Bulgarije</v>
      </c>
      <c r="AN416" s="6" t="str">
        <f>IFERROR(__xludf.DUMMYFUNCTION("""COMPUTED_VALUE"""),"Viktoriya Kirilova Asenova")</f>
        <v>Viktoriya Kirilova Asenova</v>
      </c>
      <c r="AO416" s="6"/>
    </row>
    <row r="417">
      <c r="A417" s="6" t="str">
        <f>IFERROR(__xludf.DUMMYFUNCTION("""COMPUTED_VALUE"""),"Simlo Techniek")</f>
        <v>Simlo Techniek</v>
      </c>
      <c r="B417" s="6" t="str">
        <f>IFERROR(__xludf.DUMMYFUNCTION("""COMPUTED_VALUE"""),"Simlo Techniek")</f>
        <v>Simlo Techniek</v>
      </c>
      <c r="C417" s="6">
        <f>IFERROR(__xludf.DUMMYFUNCTION("""COMPUTED_VALUE"""),949.0)</f>
        <v>949</v>
      </c>
      <c r="D417" s="7" t="str">
        <f>IFERROR(__xludf.DUMMYFUNCTION("""COMPUTED_VALUE"""),"Simeon Emilov Loytov")</f>
        <v>Simeon Emilov Loytov</v>
      </c>
      <c r="E417" s="7" t="str">
        <f>IFERROR(__xludf.DUMMYFUNCTION("""COMPUTED_VALUE"""),"SBI-code: 4120 - Algemene burgerlijke en utiliteitsbouw")</f>
        <v>SBI-code: 4120 - Algemene burgerlijke en utiliteitsbouw</v>
      </c>
      <c r="F417" s="7" t="str">
        <f>IFERROR(__xludf.DUMMYFUNCTION("""COMPUTED_VALUE"""),"0626369388")</f>
        <v>0626369388</v>
      </c>
      <c r="G417" s="6" t="str">
        <f>IFERROR(__xludf.DUMMYFUNCTION("""COMPUTED_VALUE"""),"simlo.rbc@gmail.com")</f>
        <v>simlo.rbc@gmail.com</v>
      </c>
      <c r="H417" s="6" t="str">
        <f>IFERROR(__xludf.DUMMYFUNCTION("""COMPUTED_VALUE"""),"Regentesselaan 239")</f>
        <v>Regentesselaan 239</v>
      </c>
      <c r="I417" s="6" t="str">
        <f>IFERROR(__xludf.DUMMYFUNCTION("""COMPUTED_VALUE"""),"2562CZ")</f>
        <v>2562CZ</v>
      </c>
      <c r="J417" s="6" t="str">
        <f>IFERROR(__xludf.DUMMYFUNCTION("""COMPUTED_VALUE"""),"s-Gravenhage")</f>
        <v>s-Gravenhage</v>
      </c>
      <c r="K417" s="6" t="str">
        <f>IFERROR(__xludf.DUMMYFUNCTION("""COMPUTED_VALUE"""),"Nederland")</f>
        <v>Nederland</v>
      </c>
      <c r="L417" s="6" t="str">
        <f>IFERROR(__xludf.DUMMYFUNCTION("""COMPUTED_VALUE"""),"Лойтов")</f>
        <v>Лойтов</v>
      </c>
      <c r="M417" s="8">
        <f>IFERROR(__xludf.DUMMYFUNCTION("""COMPUTED_VALUE"""),43902.0)</f>
        <v>43902</v>
      </c>
      <c r="N417" s="6" t="str">
        <f>IFERROR(__xludf.DUMMYFUNCTION("""COMPUTED_VALUE"""),"NL460676957B01")</f>
        <v>NL460676957B01</v>
      </c>
      <c r="O417" s="6">
        <f>IFERROR(__xludf.DUMMYFUNCTION("""COMPUTED_VALUE"""),7.7619528E7)</f>
        <v>77619528</v>
      </c>
      <c r="P417" s="6" t="str">
        <f>IFERROR(__xludf.DUMMYFUNCTION("""COMPUTED_VALUE"""),"NL02INGB0009357283")</f>
        <v>NL02INGB0009357283</v>
      </c>
      <c r="Q417" s="9">
        <f>IFERROR(__xludf.DUMMYFUNCTION("""COMPUTED_VALUE"""),43902.0)</f>
        <v>43902</v>
      </c>
      <c r="R417" s="6"/>
      <c r="S417" s="6" t="str">
        <f>IFERROR(__xludf.DUMMYFUNCTION("""COMPUTED_VALUE"""),"NL003215018B11")</f>
        <v>NL003215018B11</v>
      </c>
      <c r="T417" s="6">
        <f>IFERROR(__xludf.DUMMYFUNCTION("""COMPUTED_VALUE"""),4.60676957E8)</f>
        <v>460676957</v>
      </c>
      <c r="U417" s="7" t="str">
        <f>IFERROR(__xludf.DUMMYFUNCTION("""COMPUTED_VALUE"""),"Eenmanszaak")</f>
        <v>Eenmanszaak</v>
      </c>
      <c r="V417" s="7" t="str">
        <f>IFERROR(__xludf.DUMMYFUNCTION("""COMPUTED_VALUE"""),"000045310041")</f>
        <v>000045310041</v>
      </c>
      <c r="W417" s="6" t="str">
        <f>IFERROR(__xludf.DUMMYFUNCTION("""COMPUTED_VALUE"""),"ink.simlotechniek.2288aa@zarabota.nl")</f>
        <v>ink.simlotechniek.2288aa@zarabota.nl</v>
      </c>
      <c r="X417" s="6" t="str">
        <f>IFERROR(__xludf.DUMMYFUNCTION("""COMPUTED_VALUE"""),"ver.simlotechniek.2288aa@zarabota.nl")</f>
        <v>ver.simlotechniek.2288aa@zarabota.nl</v>
      </c>
      <c r="Y417" s="6" t="str">
        <f>IFERROR(__xludf.DUMMYFUNCTION("""COMPUTED_VALUE"""),"Hr.")</f>
        <v>Hr.</v>
      </c>
      <c r="Z417" s="6" t="str">
        <f>IFERROR(__xludf.DUMMYFUNCTION("""COMPUTED_VALUE"""),"Simeon Emilov")</f>
        <v>Simeon Emilov</v>
      </c>
      <c r="AA417" s="6" t="str">
        <f>IFERROR(__xludf.DUMMYFUNCTION("""COMPUTED_VALUE"""),"Loytov")</f>
        <v>Loytov</v>
      </c>
      <c r="AB417" s="6" t="str">
        <f>IFERROR(__xludf.DUMMYFUNCTION("""COMPUTED_VALUE"""),"S.E.")</f>
        <v>S.E.</v>
      </c>
      <c r="AC417" s="6">
        <f>IFERROR(__xludf.DUMMYFUNCTION("""COMPUTED_VALUE"""),4.60676957E8)</f>
        <v>460676957</v>
      </c>
      <c r="AD417" s="9">
        <f>IFERROR(__xludf.DUMMYFUNCTION("""COMPUTED_VALUE"""),31180.0)</f>
        <v>31180</v>
      </c>
      <c r="AE417" s="6" t="str">
        <f>IFERROR(__xludf.DUMMYFUNCTION("""COMPUTED_VALUE"""),"bg")</f>
        <v>bg</v>
      </c>
      <c r="AF417" s="6" t="str">
        <f>IFERROR(__xludf.DUMMYFUNCTION("""COMPUTED_VALUE"""),"Rudozem")</f>
        <v>Rudozem</v>
      </c>
      <c r="AG417" s="6" t="str">
        <f>IFERROR(__xludf.DUMMYFUNCTION("""COMPUTED_VALUE"""),"Hr. S.E. Loytov")</f>
        <v>Hr. S.E. Loytov</v>
      </c>
      <c r="AH417" s="6"/>
      <c r="AI417" s="6"/>
      <c r="AJ417" s="6" t="str">
        <f>IFERROR(__xludf.DUMMYFUNCTION("""COMPUTED_VALUE"""),"ID Kaart")</f>
        <v>ID Kaart</v>
      </c>
      <c r="AK417" s="6">
        <f>IFERROR(__xludf.DUMMYFUNCTION("""COMPUTED_VALUE"""),6.46155998E8)</f>
        <v>646155998</v>
      </c>
      <c r="AL417" s="9">
        <f>IFERROR(__xludf.DUMMYFUNCTION("""COMPUTED_VALUE"""),46042.0)</f>
        <v>46042</v>
      </c>
      <c r="AM417" s="6" t="str">
        <f>IFERROR(__xludf.DUMMYFUNCTION("""COMPUTED_VALUE"""),"Bulgarije")</f>
        <v>Bulgarije</v>
      </c>
      <c r="AN417" s="6" t="str">
        <f>IFERROR(__xludf.DUMMYFUNCTION("""COMPUTED_VALUE"""),"Simeon Emilov Loytov")</f>
        <v>Simeon Emilov Loytov</v>
      </c>
      <c r="AO417" s="6">
        <f>IFERROR(__xludf.DUMMYFUNCTION("""COMPUTED_VALUE"""),949.0)</f>
        <v>949</v>
      </c>
    </row>
    <row r="418">
      <c r="A418" s="6" t="str">
        <f>IFERROR(__xludf.DUMMYFUNCTION("""COMPUTED_VALUE"""),"Sina Bouw")</f>
        <v>Sina Bouw</v>
      </c>
      <c r="B418" s="6" t="str">
        <f>IFERROR(__xludf.DUMMYFUNCTION("""COMPUTED_VALUE"""),"Sina Bouw")</f>
        <v>Sina Bouw</v>
      </c>
      <c r="C418" s="6">
        <f>IFERROR(__xludf.DUMMYFUNCTION("""COMPUTED_VALUE"""),1159.0)</f>
        <v>1159</v>
      </c>
      <c r="D418" s="7" t="str">
        <f>IFERROR(__xludf.DUMMYFUNCTION("""COMPUTED_VALUE"""),"Sezgin Mehmedov Sinadanla")</f>
        <v>Sezgin Mehmedov Sinadanla</v>
      </c>
      <c r="E418" s="7" t="str">
        <f>IFERROR(__xludf.DUMMYFUNCTION("""COMPUTED_VALUE"""),"SBI-code: 4120 - Algemene burgerlijke en utiliteitsbouw")</f>
        <v>SBI-code: 4120 - Algemene burgerlijke en utiliteitsbouw</v>
      </c>
      <c r="F418" s="7" t="str">
        <f>IFERROR(__xludf.DUMMYFUNCTION("""COMPUTED_VALUE"""),"0683837380")</f>
        <v>0683837380</v>
      </c>
      <c r="G418" s="6" t="str">
        <f>IFERROR(__xludf.DUMMYFUNCTION("""COMPUTED_VALUE"""),"sinadanlas@gmail.com")</f>
        <v>sinadanlas@gmail.com</v>
      </c>
      <c r="H418" s="6" t="str">
        <f>IFERROR(__xludf.DUMMYFUNCTION("""COMPUTED_VALUE"""),"De la Reyweg 773")</f>
        <v>De la Reyweg 773</v>
      </c>
      <c r="I418" s="6" t="str">
        <f>IFERROR(__xludf.DUMMYFUNCTION("""COMPUTED_VALUE"""),"2571EV")</f>
        <v>2571EV</v>
      </c>
      <c r="J418" s="6" t="str">
        <f>IFERROR(__xludf.DUMMYFUNCTION("""COMPUTED_VALUE"""),"s-Gravenhage")</f>
        <v>s-Gravenhage</v>
      </c>
      <c r="K418" s="6" t="str">
        <f>IFERROR(__xludf.DUMMYFUNCTION("""COMPUTED_VALUE"""),"Nederland")</f>
        <v>Nederland</v>
      </c>
      <c r="L418" s="6" t="str">
        <f>IFERROR(__xludf.DUMMYFUNCTION("""COMPUTED_VALUE"""),"Синаданла")</f>
        <v>Синаданла</v>
      </c>
      <c r="M418" s="8">
        <f>IFERROR(__xludf.DUMMYFUNCTION("""COMPUTED_VALUE"""),44197.0)</f>
        <v>44197</v>
      </c>
      <c r="N418" s="6" t="str">
        <f>IFERROR(__xludf.DUMMYFUNCTION("""COMPUTED_VALUE"""),"NL264203951B02")</f>
        <v>NL264203951B02</v>
      </c>
      <c r="O418" s="6">
        <f>IFERROR(__xludf.DUMMYFUNCTION("""COMPUTED_VALUE"""),8.2501475E7)</f>
        <v>82501475</v>
      </c>
      <c r="P418" s="6" t="str">
        <f>IFERROR(__xludf.DUMMYFUNCTION("""COMPUTED_VALUE"""),"NL67INGB0005143694")</f>
        <v>NL67INGB0005143694</v>
      </c>
      <c r="Q418" s="9">
        <f>IFERROR(__xludf.DUMMYFUNCTION("""COMPUTED_VALUE"""),44197.0)</f>
        <v>44197</v>
      </c>
      <c r="R418" s="6"/>
      <c r="S418" s="6" t="str">
        <f>IFERROR(__xludf.DUMMYFUNCTION("""COMPUTED_VALUE"""),"NL003690724B43")</f>
        <v>NL003690724B43</v>
      </c>
      <c r="T418" s="6">
        <f>IFERROR(__xludf.DUMMYFUNCTION("""COMPUTED_VALUE"""),2.64203951E8)</f>
        <v>264203951</v>
      </c>
      <c r="U418" s="7" t="str">
        <f>IFERROR(__xludf.DUMMYFUNCTION("""COMPUTED_VALUE"""),"Eenmanszaak")</f>
        <v>Eenmanszaak</v>
      </c>
      <c r="V418" s="7" t="str">
        <f>IFERROR(__xludf.DUMMYFUNCTION("""COMPUTED_VALUE"""),"000020847203")</f>
        <v>000020847203</v>
      </c>
      <c r="W418" s="6" t="str">
        <f>IFERROR(__xludf.DUMMYFUNCTION("""COMPUTED_VALUE"""),"ink.sinabouw.2288aa@zarabota.nl")</f>
        <v>ink.sinabouw.2288aa@zarabota.nl</v>
      </c>
      <c r="X418" s="6" t="str">
        <f>IFERROR(__xludf.DUMMYFUNCTION("""COMPUTED_VALUE"""),"ver.sinabouw.2288aa@zarabota.nl")</f>
        <v>ver.sinabouw.2288aa@zarabota.nl</v>
      </c>
      <c r="Y418" s="6" t="str">
        <f>IFERROR(__xludf.DUMMYFUNCTION("""COMPUTED_VALUE"""),"Hr.")</f>
        <v>Hr.</v>
      </c>
      <c r="Z418" s="6" t="str">
        <f>IFERROR(__xludf.DUMMYFUNCTION("""COMPUTED_VALUE"""),"Sezgin Mehmedov")</f>
        <v>Sezgin Mehmedov</v>
      </c>
      <c r="AA418" s="6" t="str">
        <f>IFERROR(__xludf.DUMMYFUNCTION("""COMPUTED_VALUE"""),"Sinadanla")</f>
        <v>Sinadanla</v>
      </c>
      <c r="AB418" s="6" t="str">
        <f>IFERROR(__xludf.DUMMYFUNCTION("""COMPUTED_VALUE"""),"S.M.")</f>
        <v>S.M.</v>
      </c>
      <c r="AC418" s="6">
        <f>IFERROR(__xludf.DUMMYFUNCTION("""COMPUTED_VALUE"""),2.64203951E8)</f>
        <v>264203951</v>
      </c>
      <c r="AD418" s="9">
        <f>IFERROR(__xludf.DUMMYFUNCTION("""COMPUTED_VALUE"""),26659.0)</f>
        <v>26659</v>
      </c>
      <c r="AE418" s="6" t="str">
        <f>IFERROR(__xludf.DUMMYFUNCTION("""COMPUTED_VALUE"""),"bg")</f>
        <v>bg</v>
      </c>
      <c r="AF418" s="6" t="str">
        <f>IFERROR(__xludf.DUMMYFUNCTION("""COMPUTED_VALUE"""),"Nikopol")</f>
        <v>Nikopol</v>
      </c>
      <c r="AG418" s="6" t="str">
        <f>IFERROR(__xludf.DUMMYFUNCTION("""COMPUTED_VALUE"""),"Hr. S.M. Sinadanla")</f>
        <v>Hr. S.M. Sinadanla</v>
      </c>
      <c r="AH418" s="6" t="str">
        <f>IFERROR(__xludf.DUMMYFUNCTION("""COMPUTED_VALUE"""),"NL61INGB0794516313")</f>
        <v>NL61INGB0794516313</v>
      </c>
      <c r="AI418" s="6"/>
      <c r="AJ418" s="6" t="str">
        <f>IFERROR(__xludf.DUMMYFUNCTION("""COMPUTED_VALUE"""),"ID Kaart")</f>
        <v>ID Kaart</v>
      </c>
      <c r="AK418" s="6">
        <f>IFERROR(__xludf.DUMMYFUNCTION("""COMPUTED_VALUE"""),6.48442612E8)</f>
        <v>648442612</v>
      </c>
      <c r="AL418" s="9">
        <f>IFERROR(__xludf.DUMMYFUNCTION("""COMPUTED_VALUE"""),47346.0)</f>
        <v>47346</v>
      </c>
      <c r="AM418" s="6" t="str">
        <f>IFERROR(__xludf.DUMMYFUNCTION("""COMPUTED_VALUE"""),"Bulgarije")</f>
        <v>Bulgarije</v>
      </c>
      <c r="AN418" s="6" t="str">
        <f>IFERROR(__xludf.DUMMYFUNCTION("""COMPUTED_VALUE"""),"Sezgin Mehmedov Sinadanla")</f>
        <v>Sezgin Mehmedov Sinadanla</v>
      </c>
      <c r="AO418" s="6"/>
    </row>
    <row r="419">
      <c r="A419" s="6" t="str">
        <f>IFERROR(__xludf.DUMMYFUNCTION("""COMPUTED_VALUE"""),"Sinan Aju")</f>
        <v>Sinan Aju</v>
      </c>
      <c r="B419" s="6" t="str">
        <f>IFERROR(__xludf.DUMMYFUNCTION("""COMPUTED_VALUE"""),"Sinan Aju")</f>
        <v>Sinan Aju</v>
      </c>
      <c r="C419" s="6">
        <f>IFERROR(__xludf.DUMMYFUNCTION("""COMPUTED_VALUE"""),1508.0)</f>
        <v>1508</v>
      </c>
      <c r="D419" s="7" t="str">
        <f>IFERROR(__xludf.DUMMYFUNCTION("""COMPUTED_VALUE"""),"Sinan Shaaykir Yuzeir")</f>
        <v>Sinan Shaaykir Yuzeir</v>
      </c>
      <c r="E419" s="7" t="str">
        <f>IFERROR(__xludf.DUMMYFUNCTION("""COMPUTED_VALUE"""),"SBI-code: 4120 - Algemene burgerlijke en utiliteitsbouw")</f>
        <v>SBI-code: 4120 - Algemene burgerlijke en utiliteitsbouw</v>
      </c>
      <c r="F419" s="7" t="str">
        <f>IFERROR(__xludf.DUMMYFUNCTION("""COMPUTED_VALUE"""),"0657357385")</f>
        <v>0657357385</v>
      </c>
      <c r="G419" s="6" t="str">
        <f>IFERROR(__xludf.DUMMYFUNCTION("""COMPUTED_VALUE"""),"sinan.aju2411@gmail.com")</f>
        <v>sinan.aju2411@gmail.com</v>
      </c>
      <c r="H419" s="6" t="str">
        <f>IFERROR(__xludf.DUMMYFUNCTION("""COMPUTED_VALUE"""),"Isingstraat 51")</f>
        <v>Isingstraat 51</v>
      </c>
      <c r="I419" s="6" t="str">
        <f>IFERROR(__xludf.DUMMYFUNCTION("""COMPUTED_VALUE"""),"2522 JL")</f>
        <v>2522 JL</v>
      </c>
      <c r="J419" s="6" t="str">
        <f>IFERROR(__xludf.DUMMYFUNCTION("""COMPUTED_VALUE"""),"s-Gravenhage")</f>
        <v>s-Gravenhage</v>
      </c>
      <c r="K419" s="6" t="str">
        <f>IFERROR(__xludf.DUMMYFUNCTION("""COMPUTED_VALUE"""),"Nederland")</f>
        <v>Nederland</v>
      </c>
      <c r="L419" s="6" t="str">
        <f>IFERROR(__xludf.DUMMYFUNCTION("""COMPUTED_VALUE"""),"Юсеир")</f>
        <v>Юсеир</v>
      </c>
      <c r="M419" s="8">
        <f>IFERROR(__xludf.DUMMYFUNCTION("""COMPUTED_VALUE"""),45036.0)</f>
        <v>45036</v>
      </c>
      <c r="N419" s="6" t="str">
        <f>IFERROR(__xludf.DUMMYFUNCTION("""COMPUTED_VALUE"""),"NL300832643B01")</f>
        <v>NL300832643B01</v>
      </c>
      <c r="O419" s="6">
        <f>IFERROR(__xludf.DUMMYFUNCTION("""COMPUTED_VALUE"""),9.03732E7)</f>
        <v>90373200</v>
      </c>
      <c r="P419" s="6" t="str">
        <f>IFERROR(__xludf.DUMMYFUNCTION("""COMPUTED_VALUE"""),"NL60INGB0104133678")</f>
        <v>NL60INGB0104133678</v>
      </c>
      <c r="Q419" s="9">
        <f>IFERROR(__xludf.DUMMYFUNCTION("""COMPUTED_VALUE"""),45036.0)</f>
        <v>45036</v>
      </c>
      <c r="R419" s="6"/>
      <c r="S419" s="6" t="str">
        <f>IFERROR(__xludf.DUMMYFUNCTION("""COMPUTED_VALUE"""),"NL004810450B33")</f>
        <v>NL004810450B33</v>
      </c>
      <c r="T419" s="6">
        <f>IFERROR(__xludf.DUMMYFUNCTION("""COMPUTED_VALUE"""),3.00832643E8)</f>
        <v>300832643</v>
      </c>
      <c r="U419" s="7" t="str">
        <f>IFERROR(__xludf.DUMMYFUNCTION("""COMPUTED_VALUE"""),"Eenmanszaak")</f>
        <v>Eenmanszaak</v>
      </c>
      <c r="V419" s="7" t="str">
        <f>IFERROR(__xludf.DUMMYFUNCTION("""COMPUTED_VALUE"""),"000056107404")</f>
        <v>000056107404</v>
      </c>
      <c r="W419" s="6" t="str">
        <f>IFERROR(__xludf.DUMMYFUNCTION("""COMPUTED_VALUE"""),"ink.sinanaju.2288aa@zarabota.nl")</f>
        <v>ink.sinanaju.2288aa@zarabota.nl</v>
      </c>
      <c r="X419" s="6" t="str">
        <f>IFERROR(__xludf.DUMMYFUNCTION("""COMPUTED_VALUE"""),"ver.sinanaju.2288aa@zarabota.nl")</f>
        <v>ver.sinanaju.2288aa@zarabota.nl</v>
      </c>
      <c r="Y419" s="6" t="str">
        <f>IFERROR(__xludf.DUMMYFUNCTION("""COMPUTED_VALUE"""),"Hr.")</f>
        <v>Hr.</v>
      </c>
      <c r="Z419" s="6" t="str">
        <f>IFERROR(__xludf.DUMMYFUNCTION("""COMPUTED_VALUE"""),"Sinan Shaaykir")</f>
        <v>Sinan Shaaykir</v>
      </c>
      <c r="AA419" s="6" t="str">
        <f>IFERROR(__xludf.DUMMYFUNCTION("""COMPUTED_VALUE"""),"Yuzeir")</f>
        <v>Yuzeir</v>
      </c>
      <c r="AB419" s="6" t="str">
        <f>IFERROR(__xludf.DUMMYFUNCTION("""COMPUTED_VALUE"""),"S.S.")</f>
        <v>S.S.</v>
      </c>
      <c r="AC419" s="6">
        <f>IFERROR(__xludf.DUMMYFUNCTION("""COMPUTED_VALUE"""),3.00832643E8)</f>
        <v>300832643</v>
      </c>
      <c r="AD419" s="9">
        <f>IFERROR(__xludf.DUMMYFUNCTION("""COMPUTED_VALUE"""),35329.0)</f>
        <v>35329</v>
      </c>
      <c r="AE419" s="6" t="str">
        <f>IFERROR(__xludf.DUMMYFUNCTION("""COMPUTED_VALUE"""),"bg")</f>
        <v>bg</v>
      </c>
      <c r="AF419" s="6" t="str">
        <f>IFERROR(__xludf.DUMMYFUNCTION("""COMPUTED_VALUE"""),"Kubrat")</f>
        <v>Kubrat</v>
      </c>
      <c r="AG419" s="6" t="str">
        <f>IFERROR(__xludf.DUMMYFUNCTION("""COMPUTED_VALUE"""),"Hr. S.S. Yuzeir")</f>
        <v>Hr. S.S. Yuzeir</v>
      </c>
      <c r="AH419" s="6" t="str">
        <f>IFERROR(__xludf.DUMMYFUNCTION("""COMPUTED_VALUE"""),"NL10INGB0103845615")</f>
        <v>NL10INGB0103845615</v>
      </c>
      <c r="AI419" s="6"/>
      <c r="AJ419" s="6" t="str">
        <f>IFERROR(__xludf.DUMMYFUNCTION("""COMPUTED_VALUE"""),"ID Kaart")</f>
        <v>ID Kaart</v>
      </c>
      <c r="AK419" s="6">
        <f>IFERROR(__xludf.DUMMYFUNCTION("""COMPUTED_VALUE"""),6.45441462E8)</f>
        <v>645441462</v>
      </c>
      <c r="AL419" s="9">
        <f>IFERROR(__xludf.DUMMYFUNCTION("""COMPUTED_VALUE"""),45565.0)</f>
        <v>45565</v>
      </c>
      <c r="AM419" s="6" t="str">
        <f>IFERROR(__xludf.DUMMYFUNCTION("""COMPUTED_VALUE"""),"Bulgarije")</f>
        <v>Bulgarije</v>
      </c>
      <c r="AN419" s="6" t="str">
        <f>IFERROR(__xludf.DUMMYFUNCTION("""COMPUTED_VALUE"""),"Sinan Shaaykir Yuzeir")</f>
        <v>Sinan Shaaykir Yuzeir</v>
      </c>
      <c r="AO419" s="6"/>
    </row>
    <row r="420">
      <c r="A420" s="6" t="str">
        <f>IFERROR(__xludf.DUMMYFUNCTION("""COMPUTED_VALUE"""),"Sincov construction")</f>
        <v>Sincov construction</v>
      </c>
      <c r="B420" s="6" t="str">
        <f>IFERROR(__xludf.DUMMYFUNCTION("""COMPUTED_VALUE"""),"Sincov construction")</f>
        <v>Sincov construction</v>
      </c>
      <c r="C420" s="6">
        <f>IFERROR(__xludf.DUMMYFUNCTION("""COMPUTED_VALUE"""),1316.0)</f>
        <v>1316</v>
      </c>
      <c r="D420" s="7" t="str">
        <f>IFERROR(__xludf.DUMMYFUNCTION("""COMPUTED_VALUE"""),"Iuri Leonidovich Sincov")</f>
        <v>Iuri Leonidovich Sincov</v>
      </c>
      <c r="E420" s="7" t="str">
        <f>IFERROR(__xludf.DUMMYFUNCTION("""COMPUTED_VALUE"""),"SBI-code: 4120 - Algemene burgerlijke en utiliteitsbouw")</f>
        <v>SBI-code: 4120 - Algemene burgerlijke en utiliteitsbouw</v>
      </c>
      <c r="F420" s="7" t="str">
        <f>IFERROR(__xludf.DUMMYFUNCTION("""COMPUTED_VALUE"""),"0613726376")</f>
        <v>0613726376</v>
      </c>
      <c r="G420" s="6" t="str">
        <f>IFERROR(__xludf.DUMMYFUNCTION("""COMPUTED_VALUE"""),"jura4445@gmail.com")</f>
        <v>jura4445@gmail.com</v>
      </c>
      <c r="H420" s="6" t="str">
        <f>IFERROR(__xludf.DUMMYFUNCTION("""COMPUTED_VALUE"""),"Koningin Emmakade 62")</f>
        <v>Koningin Emmakade 62</v>
      </c>
      <c r="I420" s="6" t="str">
        <f>IFERROR(__xludf.DUMMYFUNCTION("""COMPUTED_VALUE"""),"2518RL")</f>
        <v>2518RL</v>
      </c>
      <c r="J420" s="6" t="str">
        <f>IFERROR(__xludf.DUMMYFUNCTION("""COMPUTED_VALUE"""),"s-Gravenhage")</f>
        <v>s-Gravenhage</v>
      </c>
      <c r="K420" s="6" t="str">
        <f>IFERROR(__xludf.DUMMYFUNCTION("""COMPUTED_VALUE"""),"Nederland")</f>
        <v>Nederland</v>
      </c>
      <c r="L420" s="6" t="str">
        <f>IFERROR(__xludf.DUMMYFUNCTION("""COMPUTED_VALUE"""),"Синков")</f>
        <v>Синков</v>
      </c>
      <c r="M420" s="8">
        <f>IFERROR(__xludf.DUMMYFUNCTION("""COMPUTED_VALUE"""),44378.0)</f>
        <v>44378</v>
      </c>
      <c r="N420" s="6" t="str">
        <f>IFERROR(__xludf.DUMMYFUNCTION("""COMPUTED_VALUE"""),"NL403625221B01")</f>
        <v>NL403625221B01</v>
      </c>
      <c r="O420" s="6">
        <f>IFERROR(__xludf.DUMMYFUNCTION("""COMPUTED_VALUE"""),6.7473334E7)</f>
        <v>67473334</v>
      </c>
      <c r="P420" s="6" t="str">
        <f>IFERROR(__xludf.DUMMYFUNCTION("""COMPUTED_VALUE"""),"NL39INGB0006824044")</f>
        <v>NL39INGB0006824044</v>
      </c>
      <c r="Q420" s="9">
        <f>IFERROR(__xludf.DUMMYFUNCTION("""COMPUTED_VALUE"""),42711.0)</f>
        <v>42711</v>
      </c>
      <c r="R420" s="6"/>
      <c r="S420" s="6" t="str">
        <f>IFERROR(__xludf.DUMMYFUNCTION("""COMPUTED_VALUE"""),"NL002478830B21")</f>
        <v>NL002478830B21</v>
      </c>
      <c r="T420" s="6">
        <f>IFERROR(__xludf.DUMMYFUNCTION("""COMPUTED_VALUE"""),4.03625221E8)</f>
        <v>403625221</v>
      </c>
      <c r="U420" s="7" t="str">
        <f>IFERROR(__xludf.DUMMYFUNCTION("""COMPUTED_VALUE"""),"Eenmanszaak")</f>
        <v>Eenmanszaak</v>
      </c>
      <c r="V420" s="7" t="str">
        <f>IFERROR(__xludf.DUMMYFUNCTION("""COMPUTED_VALUE"""),"000036010324")</f>
        <v>000036010324</v>
      </c>
      <c r="W420" s="6" t="str">
        <f>IFERROR(__xludf.DUMMYFUNCTION("""COMPUTED_VALUE"""),"ink.sincov.2288aa@zarabota.nl")</f>
        <v>ink.sincov.2288aa@zarabota.nl</v>
      </c>
      <c r="X420" s="6" t="str">
        <f>IFERROR(__xludf.DUMMYFUNCTION("""COMPUTED_VALUE"""),"ver.sincov.2288aa@zarabota.nl")</f>
        <v>ver.sincov.2288aa@zarabota.nl</v>
      </c>
      <c r="Y420" s="6" t="str">
        <f>IFERROR(__xludf.DUMMYFUNCTION("""COMPUTED_VALUE"""),"Hr.")</f>
        <v>Hr.</v>
      </c>
      <c r="Z420" s="6" t="str">
        <f>IFERROR(__xludf.DUMMYFUNCTION("""COMPUTED_VALUE"""),"Iuri Leonidovich")</f>
        <v>Iuri Leonidovich</v>
      </c>
      <c r="AA420" s="6" t="str">
        <f>IFERROR(__xludf.DUMMYFUNCTION("""COMPUTED_VALUE"""),"Sincov")</f>
        <v>Sincov</v>
      </c>
      <c r="AB420" s="6" t="str">
        <f>IFERROR(__xludf.DUMMYFUNCTION("""COMPUTED_VALUE"""),"I.L.")</f>
        <v>I.L.</v>
      </c>
      <c r="AC420" s="6">
        <f>IFERROR(__xludf.DUMMYFUNCTION("""COMPUTED_VALUE"""),4.03625221E8)</f>
        <v>403625221</v>
      </c>
      <c r="AD420" s="9">
        <f>IFERROR(__xludf.DUMMYFUNCTION("""COMPUTED_VALUE"""),25106.0)</f>
        <v>25106</v>
      </c>
      <c r="AE420" s="6" t="str">
        <f>IFERROR(__xludf.DUMMYFUNCTION("""COMPUTED_VALUE"""),"bg")</f>
        <v>bg</v>
      </c>
      <c r="AF420" s="6" t="str">
        <f>IFERROR(__xludf.DUMMYFUNCTION("""COMPUTED_VALUE"""),"Moldava")</f>
        <v>Moldava</v>
      </c>
      <c r="AG420" s="6" t="str">
        <f>IFERROR(__xludf.DUMMYFUNCTION("""COMPUTED_VALUE"""),"Hr. I.L. Sincov")</f>
        <v>Hr. I.L. Sincov</v>
      </c>
      <c r="AH420" s="6" t="str">
        <f>IFERROR(__xludf.DUMMYFUNCTION("""COMPUTED_VALUE"""),"NL82INGB0658669672")</f>
        <v>NL82INGB0658669672</v>
      </c>
      <c r="AI420" s="6"/>
      <c r="AJ420" s="6" t="str">
        <f>IFERROR(__xludf.DUMMYFUNCTION("""COMPUTED_VALUE"""),"ID Kaart")</f>
        <v>ID Kaart</v>
      </c>
      <c r="AK420" s="6">
        <f>IFERROR(__xludf.DUMMYFUNCTION("""COMPUTED_VALUE"""),6.48727363E8)</f>
        <v>648727363</v>
      </c>
      <c r="AL420" s="9">
        <f>IFERROR(__xludf.DUMMYFUNCTION("""COMPUTED_VALUE"""),47444.0)</f>
        <v>47444</v>
      </c>
      <c r="AM420" s="6" t="str">
        <f>IFERROR(__xludf.DUMMYFUNCTION("""COMPUTED_VALUE"""),"Bulgarije")</f>
        <v>Bulgarije</v>
      </c>
      <c r="AN420" s="6" t="str">
        <f>IFERROR(__xludf.DUMMYFUNCTION("""COMPUTED_VALUE"""),"Iuri Leonidovich Sincov")</f>
        <v>Iuri Leonidovich Sincov</v>
      </c>
      <c r="AO420" s="6">
        <f>IFERROR(__xludf.DUMMYFUNCTION("""COMPUTED_VALUE"""),1316.0)</f>
        <v>1316</v>
      </c>
    </row>
    <row r="421">
      <c r="A421" s="6" t="str">
        <f>IFERROR(__xludf.DUMMYFUNCTION("""COMPUTED_VALUE"""),"SLAVI2013")</f>
        <v>SLAVI2013</v>
      </c>
      <c r="B421" s="6" t="str">
        <f>IFERROR(__xludf.DUMMYFUNCTION("""COMPUTED_VALUE"""),"SLAVI2013")</f>
        <v>SLAVI2013</v>
      </c>
      <c r="C421" s="6">
        <f>IFERROR(__xludf.DUMMYFUNCTION("""COMPUTED_VALUE"""),42.0)</f>
        <v>42</v>
      </c>
      <c r="D421" s="7" t="str">
        <f>IFERROR(__xludf.DUMMYFUNCTION("""COMPUTED_VALUE"""),"Slavcho Mladenov Stoev")</f>
        <v>Slavcho Mladenov Stoev</v>
      </c>
      <c r="E421" s="7" t="str">
        <f>IFERROR(__xludf.DUMMYFUNCTION("""COMPUTED_VALUE"""),"SBI-code: 4120 - Algemene burgerlijke en utiliteitsbouw")</f>
        <v>SBI-code: 4120 - Algemene burgerlijke en utiliteitsbouw</v>
      </c>
      <c r="F421" s="7" t="str">
        <f>IFERROR(__xludf.DUMMYFUNCTION("""COMPUTED_VALUE"""),"0610776669")</f>
        <v>0610776669</v>
      </c>
      <c r="G421" s="6" t="str">
        <f>IFERROR(__xludf.DUMMYFUNCTION("""COMPUTED_VALUE"""),"slavi2013@axentis.nl")</f>
        <v>slavi2013@axentis.nl</v>
      </c>
      <c r="H421" s="6" t="str">
        <f>IFERROR(__xludf.DUMMYFUNCTION("""COMPUTED_VALUE"""),"Schlegelstraat 112")</f>
        <v>Schlegelstraat 112</v>
      </c>
      <c r="I421" s="6" t="str">
        <f>IFERROR(__xludf.DUMMYFUNCTION("""COMPUTED_VALUE"""),"2522PR")</f>
        <v>2522PR</v>
      </c>
      <c r="J421" s="6" t="str">
        <f>IFERROR(__xludf.DUMMYFUNCTION("""COMPUTED_VALUE"""),"`s-Gravenhage")</f>
        <v>`s-Gravenhage</v>
      </c>
      <c r="K421" s="6" t="str">
        <f>IFERROR(__xludf.DUMMYFUNCTION("""COMPUTED_VALUE"""),"Nederland")</f>
        <v>Nederland</v>
      </c>
      <c r="L421" s="6" t="str">
        <f>IFERROR(__xludf.DUMMYFUNCTION("""COMPUTED_VALUE"""),"Стоев")</f>
        <v>Стоев</v>
      </c>
      <c r="M421" s="8">
        <f>IFERROR(__xludf.DUMMYFUNCTION("""COMPUTED_VALUE"""),43175.0)</f>
        <v>43175</v>
      </c>
      <c r="N421" s="6" t="str">
        <f>IFERROR(__xludf.DUMMYFUNCTION("""COMPUTED_VALUE"""),"NL457759975B01")</f>
        <v>NL457759975B01</v>
      </c>
      <c r="O421" s="6">
        <f>IFERROR(__xludf.DUMMYFUNCTION("""COMPUTED_VALUE"""),5.7704422E7)</f>
        <v>57704422</v>
      </c>
      <c r="P421" s="6" t="str">
        <f>IFERROR(__xludf.DUMMYFUNCTION("""COMPUTED_VALUE"""),"NL53INGB0007990120")</f>
        <v>NL53INGB0007990120</v>
      </c>
      <c r="Q421" s="9">
        <f>IFERROR(__xludf.DUMMYFUNCTION("""COMPUTED_VALUE"""),41376.0)</f>
        <v>41376</v>
      </c>
      <c r="R421" s="6"/>
      <c r="S421" s="6" t="str">
        <f>IFERROR(__xludf.DUMMYFUNCTION("""COMPUTED_VALUE"""),"NL002486006B39")</f>
        <v>NL002486006B39</v>
      </c>
      <c r="T421" s="6">
        <f>IFERROR(__xludf.DUMMYFUNCTION("""COMPUTED_VALUE"""),4.57759975E8)</f>
        <v>457759975</v>
      </c>
      <c r="U421" s="7" t="str">
        <f>IFERROR(__xludf.DUMMYFUNCTION("""COMPUTED_VALUE"""),"Eenmanszaak")</f>
        <v>Eenmanszaak</v>
      </c>
      <c r="V421" s="7" t="str">
        <f>IFERROR(__xludf.DUMMYFUNCTION("""COMPUTED_VALUE"""),"000027118967")</f>
        <v>000027118967</v>
      </c>
      <c r="W421" s="6" t="str">
        <f>IFERROR(__xludf.DUMMYFUNCTION("""COMPUTED_VALUE"""),"ink.slavi2013.2288aa@zarabota.nl")</f>
        <v>ink.slavi2013.2288aa@zarabota.nl</v>
      </c>
      <c r="X421" s="6" t="str">
        <f>IFERROR(__xludf.DUMMYFUNCTION("""COMPUTED_VALUE"""),"ver.slavi2013.2288aa@zarabota.nl")</f>
        <v>ver.slavi2013.2288aa@zarabota.nl</v>
      </c>
      <c r="Y421" s="6" t="str">
        <f>IFERROR(__xludf.DUMMYFUNCTION("""COMPUTED_VALUE"""),"Hr.")</f>
        <v>Hr.</v>
      </c>
      <c r="Z421" s="6" t="str">
        <f>IFERROR(__xludf.DUMMYFUNCTION("""COMPUTED_VALUE"""),"Slavcho Mladenov")</f>
        <v>Slavcho Mladenov</v>
      </c>
      <c r="AA421" s="6" t="str">
        <f>IFERROR(__xludf.DUMMYFUNCTION("""COMPUTED_VALUE"""),"Stoev")</f>
        <v>Stoev</v>
      </c>
      <c r="AB421" s="6" t="str">
        <f>IFERROR(__xludf.DUMMYFUNCTION("""COMPUTED_VALUE"""),"S.M.")</f>
        <v>S.M.</v>
      </c>
      <c r="AC421" s="6">
        <f>IFERROR(__xludf.DUMMYFUNCTION("""COMPUTED_VALUE"""),4.57759975E8)</f>
        <v>457759975</v>
      </c>
      <c r="AD421" s="9">
        <f>IFERROR(__xludf.DUMMYFUNCTION("""COMPUTED_VALUE"""),29222.0)</f>
        <v>29222</v>
      </c>
      <c r="AE421" s="6" t="str">
        <f>IFERROR(__xludf.DUMMYFUNCTION("""COMPUTED_VALUE"""),"bg")</f>
        <v>bg</v>
      </c>
      <c r="AF421" s="6" t="str">
        <f>IFERROR(__xludf.DUMMYFUNCTION("""COMPUTED_VALUE"""),"Haskovo")</f>
        <v>Haskovo</v>
      </c>
      <c r="AG421" s="6" t="str">
        <f>IFERROR(__xludf.DUMMYFUNCTION("""COMPUTED_VALUE"""),"Hr. S.M. Stoev")</f>
        <v>Hr. S.M. Stoev</v>
      </c>
      <c r="AH421" s="6"/>
      <c r="AI421" s="6"/>
      <c r="AJ421" s="6"/>
      <c r="AK421" s="6"/>
      <c r="AL421" s="6"/>
      <c r="AM421" s="6"/>
      <c r="AN421" s="6" t="str">
        <f>IFERROR(__xludf.DUMMYFUNCTION("""COMPUTED_VALUE"""),"Slavcho Mladenov Stoev")</f>
        <v>Slavcho Mladenov Stoev</v>
      </c>
      <c r="AO421" s="6"/>
    </row>
    <row r="422">
      <c r="A422" s="6" t="str">
        <f>IFERROR(__xludf.DUMMYFUNCTION("""COMPUTED_VALUE"""),"Slavkata Bouw")</f>
        <v>Slavkata Bouw</v>
      </c>
      <c r="B422" s="6" t="str">
        <f>IFERROR(__xludf.DUMMYFUNCTION("""COMPUTED_VALUE"""),"Slavkata Bouw")</f>
        <v>Slavkata Bouw</v>
      </c>
      <c r="C422" s="6">
        <f>IFERROR(__xludf.DUMMYFUNCTION("""COMPUTED_VALUE"""),885.0)</f>
        <v>885</v>
      </c>
      <c r="D422" s="7" t="str">
        <f>IFERROR(__xludf.DUMMYFUNCTION("""COMPUTED_VALUE"""),"Slavi Zhelyazkov Statev")</f>
        <v>Slavi Zhelyazkov Statev</v>
      </c>
      <c r="E422" s="7" t="str">
        <f>IFERROR(__xludf.DUMMYFUNCTION("""COMPUTED_VALUE"""),"SBI-code: 4120 - Algemene burgerlijke en utiliteitsbouw")</f>
        <v>SBI-code: 4120 - Algemene burgerlijke en utiliteitsbouw</v>
      </c>
      <c r="F422" s="7" t="str">
        <f>IFERROR(__xludf.DUMMYFUNCTION("""COMPUTED_VALUE"""),"0633286888")</f>
        <v>0633286888</v>
      </c>
      <c r="G422" s="6" t="str">
        <f>IFERROR(__xludf.DUMMYFUNCTION("""COMPUTED_VALUE"""),"statevslavkata@gmail.com")</f>
        <v>statevslavkata@gmail.com</v>
      </c>
      <c r="H422" s="6" t="str">
        <f>IFERROR(__xludf.DUMMYFUNCTION("""COMPUTED_VALUE"""),"Karel de Geerstraat 38")</f>
        <v>Karel de Geerstraat 38</v>
      </c>
      <c r="I422" s="6" t="str">
        <f>IFERROR(__xludf.DUMMYFUNCTION("""COMPUTED_VALUE"""),"2522PC")</f>
        <v>2522PC</v>
      </c>
      <c r="J422" s="6" t="str">
        <f>IFERROR(__xludf.DUMMYFUNCTION("""COMPUTED_VALUE"""),"s-Gravenhage")</f>
        <v>s-Gravenhage</v>
      </c>
      <c r="K422" s="6" t="str">
        <f>IFERROR(__xludf.DUMMYFUNCTION("""COMPUTED_VALUE"""),"Nederland")</f>
        <v>Nederland</v>
      </c>
      <c r="L422" s="6" t="str">
        <f>IFERROR(__xludf.DUMMYFUNCTION("""COMPUTED_VALUE"""),"Статев")</f>
        <v>Статев</v>
      </c>
      <c r="M422" s="8">
        <f>IFERROR(__xludf.DUMMYFUNCTION("""COMPUTED_VALUE"""),43845.0)</f>
        <v>43845</v>
      </c>
      <c r="N422" s="6" t="str">
        <f>IFERROR(__xludf.DUMMYFUNCTION("""COMPUTED_VALUE"""),"NL668207358B01")</f>
        <v>NL668207358B01</v>
      </c>
      <c r="O422" s="6">
        <f>IFERROR(__xludf.DUMMYFUNCTION("""COMPUTED_VALUE"""),7.701112E7)</f>
        <v>77011120</v>
      </c>
      <c r="P422" s="6" t="str">
        <f>IFERROR(__xludf.DUMMYFUNCTION("""COMPUTED_VALUE"""),"NL17INGB0008823707")</f>
        <v>NL17INGB0008823707</v>
      </c>
      <c r="Q422" s="9">
        <f>IFERROR(__xludf.DUMMYFUNCTION("""COMPUTED_VALUE"""),43845.0)</f>
        <v>43845</v>
      </c>
      <c r="R422" s="6"/>
      <c r="S422" s="6" t="str">
        <f>IFERROR(__xludf.DUMMYFUNCTION("""COMPUTED_VALUE"""),"NL003134456B91")</f>
        <v>NL003134456B91</v>
      </c>
      <c r="T422" s="6">
        <f>IFERROR(__xludf.DUMMYFUNCTION("""COMPUTED_VALUE"""),6.68207358E8)</f>
        <v>668207358</v>
      </c>
      <c r="U422" s="7" t="str">
        <f>IFERROR(__xludf.DUMMYFUNCTION("""COMPUTED_VALUE"""),"Eenmanszaak")</f>
        <v>Eenmanszaak</v>
      </c>
      <c r="V422" s="7" t="str">
        <f>IFERROR(__xludf.DUMMYFUNCTION("""COMPUTED_VALUE"""),"000044738560")</f>
        <v>000044738560</v>
      </c>
      <c r="W422" s="6" t="str">
        <f>IFERROR(__xludf.DUMMYFUNCTION("""COMPUTED_VALUE"""),"ink.slavkatabouw.2288aa@zarabota.nl")</f>
        <v>ink.slavkatabouw.2288aa@zarabota.nl</v>
      </c>
      <c r="X422" s="6" t="str">
        <f>IFERROR(__xludf.DUMMYFUNCTION("""COMPUTED_VALUE"""),"ver.slavkatabouw.2288aa@zarabota.nl")</f>
        <v>ver.slavkatabouw.2288aa@zarabota.nl</v>
      </c>
      <c r="Y422" s="6" t="str">
        <f>IFERROR(__xludf.DUMMYFUNCTION("""COMPUTED_VALUE"""),"Hr.")</f>
        <v>Hr.</v>
      </c>
      <c r="Z422" s="6" t="str">
        <f>IFERROR(__xludf.DUMMYFUNCTION("""COMPUTED_VALUE"""),"Slavi Zhelyazkov")</f>
        <v>Slavi Zhelyazkov</v>
      </c>
      <c r="AA422" s="6" t="str">
        <f>IFERROR(__xludf.DUMMYFUNCTION("""COMPUTED_VALUE"""),"Statev")</f>
        <v>Statev</v>
      </c>
      <c r="AB422" s="6" t="str">
        <f>IFERROR(__xludf.DUMMYFUNCTION("""COMPUTED_VALUE"""),"S.Z.")</f>
        <v>S.Z.</v>
      </c>
      <c r="AC422" s="6">
        <f>IFERROR(__xludf.DUMMYFUNCTION("""COMPUTED_VALUE"""),6.68207358E8)</f>
        <v>668207358</v>
      </c>
      <c r="AD422" s="9">
        <f>IFERROR(__xludf.DUMMYFUNCTION("""COMPUTED_VALUE"""),33167.0)</f>
        <v>33167</v>
      </c>
      <c r="AE422" s="6" t="str">
        <f>IFERROR(__xludf.DUMMYFUNCTION("""COMPUTED_VALUE"""),"bg")</f>
        <v>bg</v>
      </c>
      <c r="AF422" s="6" t="str">
        <f>IFERROR(__xludf.DUMMYFUNCTION("""COMPUTED_VALUE"""),"Haskovo")</f>
        <v>Haskovo</v>
      </c>
      <c r="AG422" s="6" t="str">
        <f>IFERROR(__xludf.DUMMYFUNCTION("""COMPUTED_VALUE"""),"Hr. S.Z. Statev")</f>
        <v>Hr. S.Z. Statev</v>
      </c>
      <c r="AH422" s="6" t="str">
        <f>IFERROR(__xludf.DUMMYFUNCTION("""COMPUTED_VALUE"""),"NL62INGB0797030735")</f>
        <v>NL62INGB0797030735</v>
      </c>
      <c r="AI422" s="9">
        <f>IFERROR(__xludf.DUMMYFUNCTION("""COMPUTED_VALUE"""),43724.0)</f>
        <v>43724</v>
      </c>
      <c r="AJ422" s="6" t="str">
        <f>IFERROR(__xludf.DUMMYFUNCTION("""COMPUTED_VALUE"""),"ID Kaart")</f>
        <v>ID Kaart</v>
      </c>
      <c r="AK422" s="6">
        <f>IFERROR(__xludf.DUMMYFUNCTION("""COMPUTED_VALUE"""),6.48344511E8)</f>
        <v>648344511</v>
      </c>
      <c r="AL422" s="9">
        <f>IFERROR(__xludf.DUMMYFUNCTION("""COMPUTED_VALUE"""),47323.0)</f>
        <v>47323</v>
      </c>
      <c r="AM422" s="6"/>
      <c r="AN422" s="6" t="str">
        <f>IFERROR(__xludf.DUMMYFUNCTION("""COMPUTED_VALUE"""),"Slavi Zhelyazkov Statev")</f>
        <v>Slavi Zhelyazkov Statev</v>
      </c>
      <c r="AO422" s="6"/>
    </row>
    <row r="423">
      <c r="A423" s="6" t="str">
        <f>IFERROR(__xludf.DUMMYFUNCTION("""COMPUTED_VALUE"""),"SLR Beheer B.V.")</f>
        <v>SLR Beheer B.V.</v>
      </c>
      <c r="B423" s="6" t="str">
        <f>IFERROR(__xludf.DUMMYFUNCTION("""COMPUTED_VALUE"""),"SLR Beheer B.V.")</f>
        <v>SLR Beheer B.V.</v>
      </c>
      <c r="C423" s="6">
        <f>IFERROR(__xludf.DUMMYFUNCTION("""COMPUTED_VALUE"""),1732.0)</f>
        <v>1732</v>
      </c>
      <c r="D423" s="7" t="str">
        <f>IFERROR(__xludf.DUMMYFUNCTION("""COMPUTED_VALUE"""),"Lyutfi Ridvanov Hasanov")</f>
        <v>Lyutfi Ridvanov Hasanov</v>
      </c>
      <c r="E423" s="7" t="str">
        <f>IFERROR(__xludf.DUMMYFUNCTION("""COMPUTED_VALUE"""),"SBI-code: 4120 - Algemene burgerlijke en utiliteitsbouw")</f>
        <v>SBI-code: 4120 - Algemene burgerlijke en utiliteitsbouw</v>
      </c>
      <c r="F423" s="7" t="str">
        <f>IFERROR(__xludf.DUMMYFUNCTION("""COMPUTED_VALUE"""),"0031615242703")</f>
        <v>0031615242703</v>
      </c>
      <c r="G423" s="6" t="str">
        <f>IFERROR(__xludf.DUMMYFUNCTION("""COMPUTED_VALUE"""),"beheer@slrlogistics.nl")</f>
        <v>beheer@slrlogistics.nl</v>
      </c>
      <c r="H423" s="6" t="str">
        <f>IFERROR(__xludf.DUMMYFUNCTION("""COMPUTED_VALUE"""),"Stephensonstraat 123")</f>
        <v>Stephensonstraat 123</v>
      </c>
      <c r="I423" s="6" t="str">
        <f>IFERROR(__xludf.DUMMYFUNCTION("""COMPUTED_VALUE"""),"7903AS")</f>
        <v>7903AS</v>
      </c>
      <c r="J423" s="6" t="str">
        <f>IFERROR(__xludf.DUMMYFUNCTION("""COMPUTED_VALUE"""),"Hoogeveen")</f>
        <v>Hoogeveen</v>
      </c>
      <c r="K423" s="6" t="str">
        <f>IFERROR(__xludf.DUMMYFUNCTION("""COMPUTED_VALUE"""),"Nederland")</f>
        <v>Nederland</v>
      </c>
      <c r="L423" s="6" t="str">
        <f>IFERROR(__xludf.DUMMYFUNCTION("""COMPUTED_VALUE"""),"Хасанов")</f>
        <v>Хасанов</v>
      </c>
      <c r="M423" s="8">
        <f>IFERROR(__xludf.DUMMYFUNCTION("""COMPUTED_VALUE"""),45926.0)</f>
        <v>45926</v>
      </c>
      <c r="N423" s="6" t="str">
        <f>IFERROR(__xludf.DUMMYFUNCTION("""COMPUTED_VALUE"""),"NL868476481B01")</f>
        <v>NL868476481B01</v>
      </c>
      <c r="O423" s="6">
        <f>IFERROR(__xludf.DUMMYFUNCTION("""COMPUTED_VALUE"""),9.8399659E7)</f>
        <v>98399659</v>
      </c>
      <c r="P423" s="6" t="str">
        <f>IFERROR(__xludf.DUMMYFUNCTION("""COMPUTED_VALUE"""),"NL")</f>
        <v>NL</v>
      </c>
      <c r="Q423" s="9">
        <f>IFERROR(__xludf.DUMMYFUNCTION("""COMPUTED_VALUE"""),45926.0)</f>
        <v>45926</v>
      </c>
      <c r="R423" s="6"/>
      <c r="S423" s="6" t="str">
        <f>IFERROR(__xludf.DUMMYFUNCTION("""COMPUTED_VALUE"""),"NL868476481B01")</f>
        <v>NL868476481B01</v>
      </c>
      <c r="T423" s="6">
        <f>IFERROR(__xludf.DUMMYFUNCTION("""COMPUTED_VALUE"""),8.68476481E8)</f>
        <v>868476481</v>
      </c>
      <c r="U423" s="7" t="str">
        <f>IFERROR(__xludf.DUMMYFUNCTION("""COMPUTED_VALUE"""),"Besloten Vennootschap")</f>
        <v>Besloten Vennootschap</v>
      </c>
      <c r="V423" s="6"/>
      <c r="W423" s="6" t="str">
        <f>IFERROR(__xludf.DUMMYFUNCTION("""COMPUTED_VALUE"""),"ink.slrbeheer.2288aa@zarabota.nl")</f>
        <v>ink.slrbeheer.2288aa@zarabota.nl</v>
      </c>
      <c r="X423" s="6" t="str">
        <f>IFERROR(__xludf.DUMMYFUNCTION("""COMPUTED_VALUE"""),"ver.slrbeheer.2288aa@zarabota.nl")</f>
        <v>ver.slrbeheer.2288aa@zarabota.nl</v>
      </c>
      <c r="Y423" s="6" t="str">
        <f>IFERROR(__xludf.DUMMYFUNCTION("""COMPUTED_VALUE"""),"Hr.")</f>
        <v>Hr.</v>
      </c>
      <c r="Z423" s="6" t="str">
        <f>IFERROR(__xludf.DUMMYFUNCTION("""COMPUTED_VALUE"""),"Lyutfi Ridvanov")</f>
        <v>Lyutfi Ridvanov</v>
      </c>
      <c r="AA423" s="6" t="str">
        <f>IFERROR(__xludf.DUMMYFUNCTION("""COMPUTED_VALUE"""),"Hasanov")</f>
        <v>Hasanov</v>
      </c>
      <c r="AB423" s="6" t="str">
        <f>IFERROR(__xludf.DUMMYFUNCTION("""COMPUTED_VALUE"""),"L.H.")</f>
        <v>L.H.</v>
      </c>
      <c r="AC423" s="6">
        <f>IFERROR(__xludf.DUMMYFUNCTION("""COMPUTED_VALUE"""),3.39231269E8)</f>
        <v>339231269</v>
      </c>
      <c r="AD423" s="9">
        <f>IFERROR(__xludf.DUMMYFUNCTION("""COMPUTED_VALUE"""),33277.0)</f>
        <v>33277</v>
      </c>
      <c r="AE423" s="6" t="str">
        <f>IFERROR(__xludf.DUMMYFUNCTION("""COMPUTED_VALUE"""),"bg")</f>
        <v>bg</v>
      </c>
      <c r="AF423" s="6" t="str">
        <f>IFERROR(__xludf.DUMMYFUNCTION("""COMPUTED_VALUE"""),"Omurtag")</f>
        <v>Omurtag</v>
      </c>
      <c r="AG423" s="6" t="str">
        <f>IFERROR(__xludf.DUMMYFUNCTION("""COMPUTED_VALUE"""),"Hr. L.H. Hasanov")</f>
        <v>Hr. L.H. Hasanov</v>
      </c>
      <c r="AH423" s="6"/>
      <c r="AI423" s="6"/>
      <c r="AJ423" s="6" t="str">
        <f>IFERROR(__xludf.DUMMYFUNCTION("""COMPUTED_VALUE"""),"ID Kaart")</f>
        <v>ID Kaart</v>
      </c>
      <c r="AK423" s="6"/>
      <c r="AL423" s="6"/>
      <c r="AM423" s="6" t="str">
        <f>IFERROR(__xludf.DUMMYFUNCTION("""COMPUTED_VALUE"""),"Bulgarije")</f>
        <v>Bulgarije</v>
      </c>
      <c r="AN423" s="6" t="str">
        <f>IFERROR(__xludf.DUMMYFUNCTION("""COMPUTED_VALUE"""),"Lyutfi Ridvanov Hasanov")</f>
        <v>Lyutfi Ridvanov Hasanov</v>
      </c>
      <c r="AO423" s="6">
        <f>IFERROR(__xludf.DUMMYFUNCTION("""COMPUTED_VALUE"""),1732.0)</f>
        <v>1732</v>
      </c>
    </row>
    <row r="424">
      <c r="A424" s="6" t="str">
        <f>IFERROR(__xludf.DUMMYFUNCTION("""COMPUTED_VALUE"""),"SLR Logistics B.V.")</f>
        <v>SLR Logistics B.V.</v>
      </c>
      <c r="B424" s="6" t="str">
        <f>IFERROR(__xludf.DUMMYFUNCTION("""COMPUTED_VALUE"""),"SLR Logistics B.V.")</f>
        <v>SLR Logistics B.V.</v>
      </c>
      <c r="C424" s="6">
        <f>IFERROR(__xludf.DUMMYFUNCTION("""COMPUTED_VALUE"""),1733.0)</f>
        <v>1733</v>
      </c>
      <c r="D424" s="7" t="str">
        <f>IFERROR(__xludf.DUMMYFUNCTION("""COMPUTED_VALUE"""),"SLR Beheer B.V.")</f>
        <v>SLR Beheer B.V.</v>
      </c>
      <c r="E424" s="7" t="str">
        <f>IFERROR(__xludf.DUMMYFUNCTION("""COMPUTED_VALUE"""),"SBI-code: 4941 - Goederenvervoer over de weg (geen verhuizingen)")</f>
        <v>SBI-code: 4941 - Goederenvervoer over de weg (geen verhuizingen)</v>
      </c>
      <c r="F424" s="7" t="str">
        <f>IFERROR(__xludf.DUMMYFUNCTION("""COMPUTED_VALUE"""),"0615242703")</f>
        <v>0615242703</v>
      </c>
      <c r="G424" s="6" t="str">
        <f>IFERROR(__xludf.DUMMYFUNCTION("""COMPUTED_VALUE"""),"administration@slrlogistics.nl")</f>
        <v>administration@slrlogistics.nl</v>
      </c>
      <c r="H424" s="6" t="str">
        <f>IFERROR(__xludf.DUMMYFUNCTION("""COMPUTED_VALUE"""),"Stephensonstraat 123")</f>
        <v>Stephensonstraat 123</v>
      </c>
      <c r="I424" s="6" t="str">
        <f>IFERROR(__xludf.DUMMYFUNCTION("""COMPUTED_VALUE"""),"7903AS")</f>
        <v>7903AS</v>
      </c>
      <c r="J424" s="6" t="str">
        <f>IFERROR(__xludf.DUMMYFUNCTION("""COMPUTED_VALUE"""),"Hoogeveen")</f>
        <v>Hoogeveen</v>
      </c>
      <c r="K424" s="6" t="str">
        <f>IFERROR(__xludf.DUMMYFUNCTION("""COMPUTED_VALUE"""),"Nederland")</f>
        <v>Nederland</v>
      </c>
      <c r="L424" s="6" t="str">
        <f>IFERROR(__xludf.DUMMYFUNCTION("""COMPUTED_VALUE"""),"Хасанов")</f>
        <v>Хасанов</v>
      </c>
      <c r="M424" s="8">
        <f>IFERROR(__xludf.DUMMYFUNCTION("""COMPUTED_VALUE"""),45926.0)</f>
        <v>45926</v>
      </c>
      <c r="N424" s="6" t="str">
        <f>IFERROR(__xludf.DUMMYFUNCTION("""COMPUTED_VALUE"""),"NL868477126B01")</f>
        <v>NL868477126B01</v>
      </c>
      <c r="O424" s="6">
        <f>IFERROR(__xludf.DUMMYFUNCTION("""COMPUTED_VALUE"""),9.8401181E7)</f>
        <v>98401181</v>
      </c>
      <c r="P424" s="6" t="str">
        <f>IFERROR(__xludf.DUMMYFUNCTION("""COMPUTED_VALUE"""),"NL34INGB0112687024")</f>
        <v>NL34INGB0112687024</v>
      </c>
      <c r="Q424" s="9">
        <f>IFERROR(__xludf.DUMMYFUNCTION("""COMPUTED_VALUE"""),45926.0)</f>
        <v>45926</v>
      </c>
      <c r="R424" s="6"/>
      <c r="S424" s="6" t="str">
        <f>IFERROR(__xludf.DUMMYFUNCTION("""COMPUTED_VALUE"""),"NL868477126B01")</f>
        <v>NL868477126B01</v>
      </c>
      <c r="T424" s="6">
        <f>IFERROR(__xludf.DUMMYFUNCTION("""COMPUTED_VALUE"""),8.68477126E8)</f>
        <v>868477126</v>
      </c>
      <c r="U424" s="7" t="str">
        <f>IFERROR(__xludf.DUMMYFUNCTION("""COMPUTED_VALUE"""),"Besloten Vennootschap")</f>
        <v>Besloten Vennootschap</v>
      </c>
      <c r="V424" s="7" t="str">
        <f>IFERROR(__xludf.DUMMYFUNCTION("""COMPUTED_VALUE"""),"000063569213")</f>
        <v>000063569213</v>
      </c>
      <c r="W424" s="6" t="str">
        <f>IFERROR(__xludf.DUMMYFUNCTION("""COMPUTED_VALUE"""),"ink.slrlogistics.2288aa@zarabota.nl")</f>
        <v>ink.slrlogistics.2288aa@zarabota.nl</v>
      </c>
      <c r="X424" s="6" t="str">
        <f>IFERROR(__xludf.DUMMYFUNCTION("""COMPUTED_VALUE"""),"ver.slrlogistics.2288aa@zarabota.nl")</f>
        <v>ver.slrlogistics.2288aa@zarabota.nl</v>
      </c>
      <c r="Y424" s="6" t="str">
        <f>IFERROR(__xludf.DUMMYFUNCTION("""COMPUTED_VALUE"""),"Hr.")</f>
        <v>Hr.</v>
      </c>
      <c r="Z424" s="6" t="str">
        <f>IFERROR(__xludf.DUMMYFUNCTION("""COMPUTED_VALUE"""),"Lyutfi Ridvanov")</f>
        <v>Lyutfi Ridvanov</v>
      </c>
      <c r="AA424" s="6" t="str">
        <f>IFERROR(__xludf.DUMMYFUNCTION("""COMPUTED_VALUE"""),"Hasanov")</f>
        <v>Hasanov</v>
      </c>
      <c r="AB424" s="6" t="str">
        <f>IFERROR(__xludf.DUMMYFUNCTION("""COMPUTED_VALUE"""),"L.H.")</f>
        <v>L.H.</v>
      </c>
      <c r="AC424" s="6">
        <f>IFERROR(__xludf.DUMMYFUNCTION("""COMPUTED_VALUE"""),3.39231269E8)</f>
        <v>339231269</v>
      </c>
      <c r="AD424" s="9">
        <f>IFERROR(__xludf.DUMMYFUNCTION("""COMPUTED_VALUE"""),33277.0)</f>
        <v>33277</v>
      </c>
      <c r="AE424" s="6" t="str">
        <f>IFERROR(__xludf.DUMMYFUNCTION("""COMPUTED_VALUE"""),"bg")</f>
        <v>bg</v>
      </c>
      <c r="AF424" s="6" t="str">
        <f>IFERROR(__xludf.DUMMYFUNCTION("""COMPUTED_VALUE"""),"Omurtag")</f>
        <v>Omurtag</v>
      </c>
      <c r="AG424" s="6" t="str">
        <f>IFERROR(__xludf.DUMMYFUNCTION("""COMPUTED_VALUE"""),"Hr. L.H. Hasanov")</f>
        <v>Hr. L.H. Hasanov</v>
      </c>
      <c r="AH424" s="6"/>
      <c r="AI424" s="6"/>
      <c r="AJ424" s="6" t="str">
        <f>IFERROR(__xludf.DUMMYFUNCTION("""COMPUTED_VALUE"""),"ID Kaart")</f>
        <v>ID Kaart</v>
      </c>
      <c r="AK424" s="6"/>
      <c r="AL424" s="6"/>
      <c r="AM424" s="6" t="str">
        <f>IFERROR(__xludf.DUMMYFUNCTION("""COMPUTED_VALUE"""),"Bulgarije")</f>
        <v>Bulgarije</v>
      </c>
      <c r="AN424" s="6" t="str">
        <f>IFERROR(__xludf.DUMMYFUNCTION("""COMPUTED_VALUE"""),"Lyutfi Ridvanov Hasanov")</f>
        <v>Lyutfi Ridvanov Hasanov</v>
      </c>
      <c r="AO424" s="6">
        <f>IFERROR(__xludf.DUMMYFUNCTION("""COMPUTED_VALUE"""),1733.0)</f>
        <v>1733</v>
      </c>
    </row>
    <row r="425">
      <c r="A425" s="6" t="str">
        <f>IFERROR(__xludf.DUMMYFUNCTION("""COMPUTED_VALUE"""),"SLR Transport VOF")</f>
        <v>SLR Transport VOF</v>
      </c>
      <c r="B425" s="6" t="str">
        <f>IFERROR(__xludf.DUMMYFUNCTION("""COMPUTED_VALUE"""),"SLR Transport VOF")</f>
        <v>SLR Transport VOF</v>
      </c>
      <c r="C425" s="6">
        <f>IFERROR(__xludf.DUMMYFUNCTION("""COMPUTED_VALUE"""),1441.0)</f>
        <v>1441</v>
      </c>
      <c r="D425" s="7" t="str">
        <f>IFERROR(__xludf.DUMMYFUNCTION("""COMPUTED_VALUE"""),"Lyutfi Ridvanov Hasanov")</f>
        <v>Lyutfi Ridvanov Hasanov</v>
      </c>
      <c r="E425" s="7" t="str">
        <f>IFERROR(__xludf.DUMMYFUNCTION("""COMPUTED_VALUE"""),"SBI-code: 4941 - Goederenvervoer over de weg (geen verhuizingen)")</f>
        <v>SBI-code: 4941 - Goederenvervoer over de weg (geen verhuizingen)</v>
      </c>
      <c r="F425" s="7" t="str">
        <f>IFERROR(__xludf.DUMMYFUNCTION("""COMPUTED_VALUE"""),"+31615242703")</f>
        <v>+31615242703</v>
      </c>
      <c r="G425" s="6" t="str">
        <f>IFERROR(__xludf.DUMMYFUNCTION("""COMPUTED_VALUE"""),"administration@slrtransport.nl")</f>
        <v>administration@slrtransport.nl</v>
      </c>
      <c r="H425" s="6" t="str">
        <f>IFERROR(__xludf.DUMMYFUNCTION("""COMPUTED_VALUE"""),"Vissersdijk Beneden 70")</f>
        <v>Vissersdijk Beneden 70</v>
      </c>
      <c r="I425" s="6" t="str">
        <f>IFERROR(__xludf.DUMMYFUNCTION("""COMPUTED_VALUE"""),"3319GW")</f>
        <v>3319GW</v>
      </c>
      <c r="J425" s="6" t="str">
        <f>IFERROR(__xludf.DUMMYFUNCTION("""COMPUTED_VALUE"""),"Dordrecht")</f>
        <v>Dordrecht</v>
      </c>
      <c r="K425" s="6" t="str">
        <f>IFERROR(__xludf.DUMMYFUNCTION("""COMPUTED_VALUE"""),"Nederland")</f>
        <v>Nederland</v>
      </c>
      <c r="L425" s="6" t="str">
        <f>IFERROR(__xludf.DUMMYFUNCTION("""COMPUTED_VALUE"""),"Хасанов")</f>
        <v>Хасанов</v>
      </c>
      <c r="M425" s="8">
        <f>IFERROR(__xludf.DUMMYFUNCTION("""COMPUTED_VALUE"""),44774.0)</f>
        <v>44774</v>
      </c>
      <c r="N425" s="6" t="str">
        <f>IFERROR(__xludf.DUMMYFUNCTION("""COMPUTED_VALUE"""),"NL864223535B01")</f>
        <v>NL864223535B01</v>
      </c>
      <c r="O425" s="6">
        <f>IFERROR(__xludf.DUMMYFUNCTION("""COMPUTED_VALUE"""),8.7166801E7)</f>
        <v>87166801</v>
      </c>
      <c r="P425" s="6" t="str">
        <f>IFERROR(__xludf.DUMMYFUNCTION("""COMPUTED_VALUE"""),"NL25INGB0397992025")</f>
        <v>NL25INGB0397992025</v>
      </c>
      <c r="Q425" s="9">
        <f>IFERROR(__xludf.DUMMYFUNCTION("""COMPUTED_VALUE"""),44774.0)</f>
        <v>44774</v>
      </c>
      <c r="R425" s="6"/>
      <c r="S425" s="6" t="str">
        <f>IFERROR(__xludf.DUMMYFUNCTION("""COMPUTED_VALUE"""),"NL864223535B01")</f>
        <v>NL864223535B01</v>
      </c>
      <c r="T425" s="6">
        <f>IFERROR(__xludf.DUMMYFUNCTION("""COMPUTED_VALUE"""),8.64223535E8)</f>
        <v>864223535</v>
      </c>
      <c r="U425" s="7" t="str">
        <f>IFERROR(__xludf.DUMMYFUNCTION("""COMPUTED_VALUE"""),"Eenmanszaak")</f>
        <v>Eenmanszaak</v>
      </c>
      <c r="V425" s="7" t="str">
        <f>IFERROR(__xludf.DUMMYFUNCTION("""COMPUTED_VALUE"""),"000053091264")</f>
        <v>000053091264</v>
      </c>
      <c r="W425" s="6" t="str">
        <f>IFERROR(__xludf.DUMMYFUNCTION("""COMPUTED_VALUE"""),"ink.slrtransport.2288aa@zarabota.nl")</f>
        <v>ink.slrtransport.2288aa@zarabota.nl</v>
      </c>
      <c r="X425" s="6" t="str">
        <f>IFERROR(__xludf.DUMMYFUNCTION("""COMPUTED_VALUE"""),"ver.slrtransport.2288aa@zarabota.nl")</f>
        <v>ver.slrtransport.2288aa@zarabota.nl</v>
      </c>
      <c r="Y425" s="6" t="str">
        <f>IFERROR(__xludf.DUMMYFUNCTION("""COMPUTED_VALUE"""),"Hr.")</f>
        <v>Hr.</v>
      </c>
      <c r="Z425" s="6" t="str">
        <f>IFERROR(__xludf.DUMMYFUNCTION("""COMPUTED_VALUE"""),"Lyutfi Ridvanov")</f>
        <v>Lyutfi Ridvanov</v>
      </c>
      <c r="AA425" s="6" t="str">
        <f>IFERROR(__xludf.DUMMYFUNCTION("""COMPUTED_VALUE"""),"Hasanov")</f>
        <v>Hasanov</v>
      </c>
      <c r="AB425" s="6" t="str">
        <f>IFERROR(__xludf.DUMMYFUNCTION("""COMPUTED_VALUE"""),"L.H.")</f>
        <v>L.H.</v>
      </c>
      <c r="AC425" s="6">
        <f>IFERROR(__xludf.DUMMYFUNCTION("""COMPUTED_VALUE"""),3.39231269E8)</f>
        <v>339231269</v>
      </c>
      <c r="AD425" s="9">
        <f>IFERROR(__xludf.DUMMYFUNCTION("""COMPUTED_VALUE"""),33277.0)</f>
        <v>33277</v>
      </c>
      <c r="AE425" s="6" t="str">
        <f>IFERROR(__xludf.DUMMYFUNCTION("""COMPUTED_VALUE"""),"bg")</f>
        <v>bg</v>
      </c>
      <c r="AF425" s="6" t="str">
        <f>IFERROR(__xludf.DUMMYFUNCTION("""COMPUTED_VALUE"""),"Omurtag")</f>
        <v>Omurtag</v>
      </c>
      <c r="AG425" s="6" t="str">
        <f>IFERROR(__xludf.DUMMYFUNCTION("""COMPUTED_VALUE"""),"Hr. L.H. Hasanov")</f>
        <v>Hr. L.H. Hasanov</v>
      </c>
      <c r="AH425" s="6"/>
      <c r="AI425" s="6"/>
      <c r="AJ425" s="6" t="str">
        <f>IFERROR(__xludf.DUMMYFUNCTION("""COMPUTED_VALUE"""),"ID Kaart")</f>
        <v>ID Kaart</v>
      </c>
      <c r="AK425" s="6"/>
      <c r="AL425" s="6"/>
      <c r="AM425" s="6" t="str">
        <f>IFERROR(__xludf.DUMMYFUNCTION("""COMPUTED_VALUE"""),"Bulgarije")</f>
        <v>Bulgarije</v>
      </c>
      <c r="AN425" s="6" t="str">
        <f>IFERROR(__xludf.DUMMYFUNCTION("""COMPUTED_VALUE"""),"Lyutfi Ridvanov Hasanov")</f>
        <v>Lyutfi Ridvanov Hasanov</v>
      </c>
      <c r="AO425" s="6"/>
    </row>
    <row r="426">
      <c r="A426" s="6" t="str">
        <f>IFERROR(__xludf.DUMMYFUNCTION("""COMPUTED_VALUE"""),"Smart Montage")</f>
        <v>Smart Montage</v>
      </c>
      <c r="B426" s="6" t="str">
        <f>IFERROR(__xludf.DUMMYFUNCTION("""COMPUTED_VALUE"""),"Smart Montage VOF")</f>
        <v>Smart Montage VOF</v>
      </c>
      <c r="C426" s="6">
        <f>IFERROR(__xludf.DUMMYFUNCTION("""COMPUTED_VALUE"""),1689.0)</f>
        <v>1689</v>
      </c>
      <c r="D426" s="7" t="str">
        <f>IFERROR(__xludf.DUMMYFUNCTION("""COMPUTED_VALUE"""),"Vasyl Zhuk")</f>
        <v>Vasyl Zhuk</v>
      </c>
      <c r="E426" s="7" t="str">
        <f>IFERROR(__xludf.DUMMYFUNCTION("""COMPUTED_VALUE"""),"SBI-code: 4120 - Algemene burgerlijke en utiliteitsbouw")</f>
        <v>SBI-code: 4120 - Algemene burgerlijke en utiliteitsbouw</v>
      </c>
      <c r="F426" s="7" t="str">
        <f>IFERROR(__xludf.DUMMYFUNCTION("""COMPUTED_VALUE"""),"0684011022")</f>
        <v>0684011022</v>
      </c>
      <c r="G426" s="6" t="str">
        <f>IFERROR(__xludf.DUMMYFUNCTION("""COMPUTED_VALUE"""),"smart.montage4471@gmail.com")</f>
        <v>smart.montage4471@gmail.com</v>
      </c>
      <c r="H426" s="6" t="str">
        <f>IFERROR(__xludf.DUMMYFUNCTION("""COMPUTED_VALUE"""),"Guido Gezellestraat 199")</f>
        <v>Guido Gezellestraat 199</v>
      </c>
      <c r="I426" s="6" t="str">
        <f>IFERROR(__xludf.DUMMYFUNCTION("""COMPUTED_VALUE"""),"2274EZ")</f>
        <v>2274EZ</v>
      </c>
      <c r="J426" s="6" t="str">
        <f>IFERROR(__xludf.DUMMYFUNCTION("""COMPUTED_VALUE"""),"Voorburg")</f>
        <v>Voorburg</v>
      </c>
      <c r="K426" s="6" t="str">
        <f>IFERROR(__xludf.DUMMYFUNCTION("""COMPUTED_VALUE"""),"Nederland")</f>
        <v>Nederland</v>
      </c>
      <c r="L426" s="6" t="str">
        <f>IFERROR(__xludf.DUMMYFUNCTION("""COMPUTED_VALUE"""),"Жук")</f>
        <v>Жук</v>
      </c>
      <c r="M426" s="8">
        <f>IFERROR(__xludf.DUMMYFUNCTION("""COMPUTED_VALUE"""),45658.0)</f>
        <v>45658</v>
      </c>
      <c r="N426" s="6" t="str">
        <f>IFERROR(__xludf.DUMMYFUNCTION("""COMPUTED_VALUE"""),"NL867691505B01")</f>
        <v>NL867691505B01</v>
      </c>
      <c r="O426" s="6">
        <f>IFERROR(__xludf.DUMMYFUNCTION("""COMPUTED_VALUE"""),9.6632658E7)</f>
        <v>96632658</v>
      </c>
      <c r="P426" s="6" t="str">
        <f>IFERROR(__xludf.DUMMYFUNCTION("""COMPUTED_VALUE"""),"NL54INGB0111920558")</f>
        <v>NL54INGB0111920558</v>
      </c>
      <c r="Q426" s="9">
        <f>IFERROR(__xludf.DUMMYFUNCTION("""COMPUTED_VALUE"""),45240.0)</f>
        <v>45240</v>
      </c>
      <c r="R426" s="6"/>
      <c r="S426" s="6"/>
      <c r="T426" s="6">
        <f>IFERROR(__xludf.DUMMYFUNCTION("""COMPUTED_VALUE"""),8.67691505E8)</f>
        <v>867691505</v>
      </c>
      <c r="U426" s="7" t="str">
        <f>IFERROR(__xludf.DUMMYFUNCTION("""COMPUTED_VALUE"""),"Vennootschap Onder Firma")</f>
        <v>Vennootschap Onder Firma</v>
      </c>
      <c r="V426" s="7" t="str">
        <f>IFERROR(__xludf.DUMMYFUNCTION("""COMPUTED_VALUE"""),"000057569789")</f>
        <v>000057569789</v>
      </c>
      <c r="W426" s="6" t="str">
        <f>IFERROR(__xludf.DUMMYFUNCTION("""COMPUTED_VALUE"""),"ink.smartmontage.2288aa@zarabota.nl")</f>
        <v>ink.smartmontage.2288aa@zarabota.nl</v>
      </c>
      <c r="X426" s="6" t="str">
        <f>IFERROR(__xludf.DUMMYFUNCTION("""COMPUTED_VALUE"""),"ver.smartmontage.2288aa@zarabota.nl")</f>
        <v>ver.smartmontage.2288aa@zarabota.nl</v>
      </c>
      <c r="Y426" s="6" t="str">
        <f>IFERROR(__xludf.DUMMYFUNCTION("""COMPUTED_VALUE"""),"Hr.")</f>
        <v>Hr.</v>
      </c>
      <c r="Z426" s="6" t="str">
        <f>IFERROR(__xludf.DUMMYFUNCTION("""COMPUTED_VALUE"""),"Vasyl")</f>
        <v>Vasyl</v>
      </c>
      <c r="AA426" s="6" t="str">
        <f>IFERROR(__xludf.DUMMYFUNCTION("""COMPUTED_VALUE"""),"Zhuk")</f>
        <v>Zhuk</v>
      </c>
      <c r="AB426" s="6" t="str">
        <f>IFERROR(__xludf.DUMMYFUNCTION("""COMPUTED_VALUE"""),"V.")</f>
        <v>V.</v>
      </c>
      <c r="AC426" s="6">
        <f>IFERROR(__xludf.DUMMYFUNCTION("""COMPUTED_VALUE"""),5.37334038E8)</f>
        <v>537334038</v>
      </c>
      <c r="AD426" s="9">
        <f>IFERROR(__xludf.DUMMYFUNCTION("""COMPUTED_VALUE"""),33275.0)</f>
        <v>33275</v>
      </c>
      <c r="AE426" s="6" t="str">
        <f>IFERROR(__xludf.DUMMYFUNCTION("""COMPUTED_VALUE"""),"uk")</f>
        <v>uk</v>
      </c>
      <c r="AF426" s="6"/>
      <c r="AG426" s="6" t="str">
        <f>IFERROR(__xludf.DUMMYFUNCTION("""COMPUTED_VALUE"""),"Hr. V. Zhuk")</f>
        <v>Hr. V. Zhuk</v>
      </c>
      <c r="AH426" s="6"/>
      <c r="AI426" s="6"/>
      <c r="AJ426" s="6" t="str">
        <f>IFERROR(__xludf.DUMMYFUNCTION("""COMPUTED_VALUE"""),"Paspoort")</f>
        <v>Paspoort</v>
      </c>
      <c r="AK426" s="6"/>
      <c r="AL426" s="6"/>
      <c r="AM426" s="6" t="str">
        <f>IFERROR(__xludf.DUMMYFUNCTION("""COMPUTED_VALUE"""),"Oekraïne")</f>
        <v>Oekraïne</v>
      </c>
      <c r="AN426" s="6" t="str">
        <f>IFERROR(__xludf.DUMMYFUNCTION("""COMPUTED_VALUE"""),"Vasyl Zhuk")</f>
        <v>Vasyl Zhuk</v>
      </c>
      <c r="AO426" s="6">
        <f>IFERROR(__xludf.DUMMYFUNCTION("""COMPUTED_VALUE"""),1689.0)</f>
        <v>1689</v>
      </c>
    </row>
    <row r="427">
      <c r="A427" s="6" t="str">
        <f>IFERROR(__xludf.DUMMYFUNCTION("""COMPUTED_VALUE"""),"Sol Works B.V.")</f>
        <v>Sol Works B.V.</v>
      </c>
      <c r="B427" s="6" t="str">
        <f>IFERROR(__xludf.DUMMYFUNCTION("""COMPUTED_VALUE"""),"Sol Works B.V.")</f>
        <v>Sol Works B.V.</v>
      </c>
      <c r="C427" s="6">
        <f>IFERROR(__xludf.DUMMYFUNCTION("""COMPUTED_VALUE"""),378.0)</f>
        <v>378</v>
      </c>
      <c r="D427" s="7" t="str">
        <f>IFERROR(__xludf.DUMMYFUNCTION("""COMPUTED_VALUE"""),"Vasil Petrov Peev")</f>
        <v>Vasil Petrov Peev</v>
      </c>
      <c r="E427" s="7" t="str">
        <f>IFERROR(__xludf.DUMMYFUNCTION("""COMPUTED_VALUE"""),"SBI-code: 4120 - Algemene burgerlijke en utiliteitsbouw")</f>
        <v>SBI-code: 4120 - Algemene burgerlijke en utiliteitsbouw</v>
      </c>
      <c r="F427" s="7" t="str">
        <f>IFERROR(__xludf.DUMMYFUNCTION("""COMPUTED_VALUE"""),"0684337197")</f>
        <v>0684337197</v>
      </c>
      <c r="G427" s="6" t="str">
        <f>IFERROR(__xludf.DUMMYFUNCTION("""COMPUTED_VALUE"""),"solworks@zzp-nl.nl")</f>
        <v>solworks@zzp-nl.nl</v>
      </c>
      <c r="H427" s="6" t="str">
        <f>IFERROR(__xludf.DUMMYFUNCTION("""COMPUTED_VALUE"""),"Stephensonstraat 123")</f>
        <v>Stephensonstraat 123</v>
      </c>
      <c r="I427" s="6" t="str">
        <f>IFERROR(__xludf.DUMMYFUNCTION("""COMPUTED_VALUE"""),"7903AS")</f>
        <v>7903AS</v>
      </c>
      <c r="J427" s="6" t="str">
        <f>IFERROR(__xludf.DUMMYFUNCTION("""COMPUTED_VALUE"""),"Hoogeveen")</f>
        <v>Hoogeveen</v>
      </c>
      <c r="K427" s="6" t="str">
        <f>IFERROR(__xludf.DUMMYFUNCTION("""COMPUTED_VALUE"""),"Nederland")</f>
        <v>Nederland</v>
      </c>
      <c r="L427" s="6" t="str">
        <f>IFERROR(__xludf.DUMMYFUNCTION("""COMPUTED_VALUE"""),"Пеев")</f>
        <v>Пеев</v>
      </c>
      <c r="M427" s="8">
        <f>IFERROR(__xludf.DUMMYFUNCTION("""COMPUTED_VALUE"""),43175.0)</f>
        <v>43175</v>
      </c>
      <c r="N427" s="6" t="str">
        <f>IFERROR(__xludf.DUMMYFUNCTION("""COMPUTED_VALUE"""),"NL857244772B01")</f>
        <v>NL857244772B01</v>
      </c>
      <c r="O427" s="6">
        <f>IFERROR(__xludf.DUMMYFUNCTION("""COMPUTED_VALUE"""),6.7963617E7)</f>
        <v>67963617</v>
      </c>
      <c r="P427" s="6" t="str">
        <f>IFERROR(__xludf.DUMMYFUNCTION("""COMPUTED_VALUE"""),"NL07ABNA0552988995")</f>
        <v>NL07ABNA0552988995</v>
      </c>
      <c r="Q427" s="9">
        <f>IFERROR(__xludf.DUMMYFUNCTION("""COMPUTED_VALUE"""),39295.0)</f>
        <v>39295</v>
      </c>
      <c r="R427" s="6"/>
      <c r="S427" s="6" t="str">
        <f>IFERROR(__xludf.DUMMYFUNCTION("""COMPUTED_VALUE"""),"NL857244772B01")</f>
        <v>NL857244772B01</v>
      </c>
      <c r="T427" s="6">
        <f>IFERROR(__xludf.DUMMYFUNCTION("""COMPUTED_VALUE"""),8.57244772E8)</f>
        <v>857244772</v>
      </c>
      <c r="U427" s="7" t="str">
        <f>IFERROR(__xludf.DUMMYFUNCTION("""COMPUTED_VALUE"""),"Besloten Vennootschap")</f>
        <v>Besloten Vennootschap</v>
      </c>
      <c r="V427" s="7" t="str">
        <f>IFERROR(__xludf.DUMMYFUNCTION("""COMPUTED_VALUE"""),"000036447315")</f>
        <v>000036447315</v>
      </c>
      <c r="W427" s="6" t="str">
        <f>IFERROR(__xludf.DUMMYFUNCTION("""COMPUTED_VALUE"""),"ink.solworksbv.2288aa@zarabota.nl")</f>
        <v>ink.solworksbv.2288aa@zarabota.nl</v>
      </c>
      <c r="X427" s="6" t="str">
        <f>IFERROR(__xludf.DUMMYFUNCTION("""COMPUTED_VALUE"""),"ver.solworksbv.2288aa@zarabota.nl")</f>
        <v>ver.solworksbv.2288aa@zarabota.nl</v>
      </c>
      <c r="Y427" s="6" t="str">
        <f>IFERROR(__xludf.DUMMYFUNCTION("""COMPUTED_VALUE"""),"Hr.")</f>
        <v>Hr.</v>
      </c>
      <c r="Z427" s="6" t="str">
        <f>IFERROR(__xludf.DUMMYFUNCTION("""COMPUTED_VALUE"""),"Vasil Petrov")</f>
        <v>Vasil Petrov</v>
      </c>
      <c r="AA427" s="6" t="str">
        <f>IFERROR(__xludf.DUMMYFUNCTION("""COMPUTED_VALUE"""),"Peev")</f>
        <v>Peev</v>
      </c>
      <c r="AB427" s="6" t="str">
        <f>IFERROR(__xludf.DUMMYFUNCTION("""COMPUTED_VALUE"""),"V.P.")</f>
        <v>V.P.</v>
      </c>
      <c r="AC427" s="6">
        <f>IFERROR(__xludf.DUMMYFUNCTION("""COMPUTED_VALUE"""),2.64594356E8)</f>
        <v>264594356</v>
      </c>
      <c r="AD427" s="9">
        <f>IFERROR(__xludf.DUMMYFUNCTION("""COMPUTED_VALUE"""),29208.0)</f>
        <v>29208</v>
      </c>
      <c r="AE427" s="6" t="str">
        <f>IFERROR(__xludf.DUMMYFUNCTION("""COMPUTED_VALUE"""),"bg")</f>
        <v>bg</v>
      </c>
      <c r="AF427" s="6"/>
      <c r="AG427" s="6" t="str">
        <f>IFERROR(__xludf.DUMMYFUNCTION("""COMPUTED_VALUE"""),"Hr. V.P. Peev")</f>
        <v>Hr. V.P. Peev</v>
      </c>
      <c r="AH427" s="6" t="str">
        <f>IFERROR(__xludf.DUMMYFUNCTION("""COMPUTED_VALUE"""),"NL53ABNA0535456581")</f>
        <v>NL53ABNA0535456581</v>
      </c>
      <c r="AI427" s="6"/>
      <c r="AJ427" s="6" t="str">
        <f>IFERROR(__xludf.DUMMYFUNCTION("""COMPUTED_VALUE"""),"ID Kaart")</f>
        <v>ID Kaart</v>
      </c>
      <c r="AK427" s="6">
        <f>IFERROR(__xludf.DUMMYFUNCTION("""COMPUTED_VALUE"""),6.41854212E8)</f>
        <v>641854212</v>
      </c>
      <c r="AL427" s="9">
        <f>IFERROR(__xludf.DUMMYFUNCTION("""COMPUTED_VALUE"""),44224.0)</f>
        <v>44224</v>
      </c>
      <c r="AM427" s="6" t="str">
        <f>IFERROR(__xludf.DUMMYFUNCTION("""COMPUTED_VALUE"""),"Bulgarije")</f>
        <v>Bulgarije</v>
      </c>
      <c r="AN427" s="6" t="str">
        <f>IFERROR(__xludf.DUMMYFUNCTION("""COMPUTED_VALUE"""),"Vasil Petrov Peev")</f>
        <v>Vasil Petrov Peev</v>
      </c>
      <c r="AO427" s="6"/>
    </row>
    <row r="428">
      <c r="A428" s="6" t="str">
        <f>IFERROR(__xludf.DUMMYFUNCTION("""COMPUTED_VALUE"""),"Sol Works Bemiddeling B.V.")</f>
        <v>Sol Works Bemiddeling B.V.</v>
      </c>
      <c r="B428" s="6" t="str">
        <f>IFERROR(__xludf.DUMMYFUNCTION("""COMPUTED_VALUE"""),"Sol Works Bemiddeling B.V.")</f>
        <v>Sol Works Bemiddeling B.V.</v>
      </c>
      <c r="C428" s="6">
        <f>IFERROR(__xludf.DUMMYFUNCTION("""COMPUTED_VALUE"""),644.0)</f>
        <v>644</v>
      </c>
      <c r="D428" s="7" t="str">
        <f>IFERROR(__xludf.DUMMYFUNCTION("""COMPUTED_VALUE"""),"Vasil Petrov Peev")</f>
        <v>Vasil Petrov Peev</v>
      </c>
      <c r="E428" s="7" t="str">
        <f>IFERROR(__xludf.DUMMYFUNCTION("""COMPUTED_VALUE"""),"SBI-code: 4120 - Algemene burgerlijke en utiliteitsbouw")</f>
        <v>SBI-code: 4120 - Algemene burgerlijke en utiliteitsbouw</v>
      </c>
      <c r="F428" s="7" t="str">
        <f>IFERROR(__xludf.DUMMYFUNCTION("""COMPUTED_VALUE"""),"0684337197")</f>
        <v>0684337197</v>
      </c>
      <c r="G428" s="6" t="str">
        <f>IFERROR(__xludf.DUMMYFUNCTION("""COMPUTED_VALUE"""),"solworksbemiddeling@zzp-nl.nl")</f>
        <v>solworksbemiddeling@zzp-nl.nl</v>
      </c>
      <c r="H428" s="6" t="str">
        <f>IFERROR(__xludf.DUMMYFUNCTION("""COMPUTED_VALUE"""),"Noorderweg 28")</f>
        <v>Noorderweg 28</v>
      </c>
      <c r="I428" s="6" t="str">
        <f>IFERROR(__xludf.DUMMYFUNCTION("""COMPUTED_VALUE"""),"7902AR")</f>
        <v>7902AR</v>
      </c>
      <c r="J428" s="6" t="str">
        <f>IFERROR(__xludf.DUMMYFUNCTION("""COMPUTED_VALUE"""),"Hoogeveen")</f>
        <v>Hoogeveen</v>
      </c>
      <c r="K428" s="6" t="str">
        <f>IFERROR(__xludf.DUMMYFUNCTION("""COMPUTED_VALUE"""),"Nederland")</f>
        <v>Nederland</v>
      </c>
      <c r="L428" s="6" t="str">
        <f>IFERROR(__xludf.DUMMYFUNCTION("""COMPUTED_VALUE"""),"Пеев")</f>
        <v>Пеев</v>
      </c>
      <c r="M428" s="8">
        <f>IFERROR(__xludf.DUMMYFUNCTION("""COMPUTED_VALUE"""),43377.0)</f>
        <v>43377</v>
      </c>
      <c r="N428" s="6" t="str">
        <f>IFERROR(__xludf.DUMMYFUNCTION("""COMPUTED_VALUE"""),"NL859228174B01")</f>
        <v>NL859228174B01</v>
      </c>
      <c r="O428" s="6">
        <f>IFERROR(__xludf.DUMMYFUNCTION("""COMPUTED_VALUE"""),7.2764163E7)</f>
        <v>72764163</v>
      </c>
      <c r="P428" s="6" t="str">
        <f>IFERROR(__xludf.DUMMYFUNCTION("""COMPUTED_VALUE"""),"NL71ABNA0832716928")</f>
        <v>NL71ABNA0832716928</v>
      </c>
      <c r="Q428" s="9">
        <f>IFERROR(__xludf.DUMMYFUNCTION("""COMPUTED_VALUE"""),43378.0)</f>
        <v>43378</v>
      </c>
      <c r="R428" s="6"/>
      <c r="S428" s="6" t="str">
        <f>IFERROR(__xludf.DUMMYFUNCTION("""COMPUTED_VALUE"""),"NL859228174B01")</f>
        <v>NL859228174B01</v>
      </c>
      <c r="T428" s="6">
        <f>IFERROR(__xludf.DUMMYFUNCTION("""COMPUTED_VALUE"""),8.59228174E8)</f>
        <v>859228174</v>
      </c>
      <c r="U428" s="7" t="str">
        <f>IFERROR(__xludf.DUMMYFUNCTION("""COMPUTED_VALUE"""),"Besloten Vennootschap")</f>
        <v>Besloten Vennootschap</v>
      </c>
      <c r="V428" s="7" t="str">
        <f>IFERROR(__xludf.DUMMYFUNCTION("""COMPUTED_VALUE"""),"000040853799")</f>
        <v>000040853799</v>
      </c>
      <c r="W428" s="6" t="str">
        <f>IFERROR(__xludf.DUMMYFUNCTION("""COMPUTED_VALUE"""),"ink.solworksbemiddelingbv.2288aa@zarabota.nl")</f>
        <v>ink.solworksbemiddelingbv.2288aa@zarabota.nl</v>
      </c>
      <c r="X428" s="6" t="str">
        <f>IFERROR(__xludf.DUMMYFUNCTION("""COMPUTED_VALUE"""),"ver.solworksbemiddelingbv.2288aa@zarabota.nl")</f>
        <v>ver.solworksbemiddelingbv.2288aa@zarabota.nl</v>
      </c>
      <c r="Y428" s="6" t="str">
        <f>IFERROR(__xludf.DUMMYFUNCTION("""COMPUTED_VALUE"""),"Hr.")</f>
        <v>Hr.</v>
      </c>
      <c r="Z428" s="6" t="str">
        <f>IFERROR(__xludf.DUMMYFUNCTION("""COMPUTED_VALUE"""),"Vasil Petrov")</f>
        <v>Vasil Petrov</v>
      </c>
      <c r="AA428" s="6" t="str">
        <f>IFERROR(__xludf.DUMMYFUNCTION("""COMPUTED_VALUE"""),"Peev")</f>
        <v>Peev</v>
      </c>
      <c r="AB428" s="6" t="str">
        <f>IFERROR(__xludf.DUMMYFUNCTION("""COMPUTED_VALUE"""),"V.P.")</f>
        <v>V.P.</v>
      </c>
      <c r="AC428" s="6">
        <f>IFERROR(__xludf.DUMMYFUNCTION("""COMPUTED_VALUE"""),2.64594356E8)</f>
        <v>264594356</v>
      </c>
      <c r="AD428" s="9">
        <f>IFERROR(__xludf.DUMMYFUNCTION("""COMPUTED_VALUE"""),29208.0)</f>
        <v>29208</v>
      </c>
      <c r="AE428" s="6" t="str">
        <f>IFERROR(__xludf.DUMMYFUNCTION("""COMPUTED_VALUE"""),"bg")</f>
        <v>bg</v>
      </c>
      <c r="AF428" s="6"/>
      <c r="AG428" s="6" t="str">
        <f>IFERROR(__xludf.DUMMYFUNCTION("""COMPUTED_VALUE"""),"Hr. V.P. Peev")</f>
        <v>Hr. V.P. Peev</v>
      </c>
      <c r="AH428" s="6" t="str">
        <f>IFERROR(__xludf.DUMMYFUNCTION("""COMPUTED_VALUE"""),"NL53ABNA0535456581")</f>
        <v>NL53ABNA0535456581</v>
      </c>
      <c r="AI428" s="6"/>
      <c r="AJ428" s="6" t="str">
        <f>IFERROR(__xludf.DUMMYFUNCTION("""COMPUTED_VALUE"""),"ID Kaart")</f>
        <v>ID Kaart</v>
      </c>
      <c r="AK428" s="6">
        <f>IFERROR(__xludf.DUMMYFUNCTION("""COMPUTED_VALUE"""),6.41854212E8)</f>
        <v>641854212</v>
      </c>
      <c r="AL428" s="9">
        <f>IFERROR(__xludf.DUMMYFUNCTION("""COMPUTED_VALUE"""),44224.0)</f>
        <v>44224</v>
      </c>
      <c r="AM428" s="6" t="str">
        <f>IFERROR(__xludf.DUMMYFUNCTION("""COMPUTED_VALUE"""),"Bulgarije")</f>
        <v>Bulgarije</v>
      </c>
      <c r="AN428" s="6" t="str">
        <f>IFERROR(__xludf.DUMMYFUNCTION("""COMPUTED_VALUE"""),"Vasil Petrov Peev")</f>
        <v>Vasil Petrov Peev</v>
      </c>
      <c r="AO428" s="6"/>
    </row>
    <row r="429">
      <c r="A429" s="6" t="str">
        <f>IFERROR(__xludf.DUMMYFUNCTION("""COMPUTED_VALUE"""),"Solaris Montage B.V.")</f>
        <v>Solaris Montage B.V.</v>
      </c>
      <c r="B429" s="6" t="str">
        <f>IFERROR(__xludf.DUMMYFUNCTION("""COMPUTED_VALUE"""),"Solaris Montage B.V.")</f>
        <v>Solaris Montage B.V.</v>
      </c>
      <c r="C429" s="6">
        <f>IFERROR(__xludf.DUMMYFUNCTION("""COMPUTED_VALUE"""),377.0)</f>
        <v>377</v>
      </c>
      <c r="D429" s="7" t="str">
        <f>IFERROR(__xludf.DUMMYFUNCTION("""COMPUTED_VALUE"""),"Vasil Petrov Peev")</f>
        <v>Vasil Petrov Peev</v>
      </c>
      <c r="E429" s="7" t="str">
        <f>IFERROR(__xludf.DUMMYFUNCTION("""COMPUTED_VALUE"""),"SBI-code: 4120 - Algemene burgerlijke en utiliteitsbouw")</f>
        <v>SBI-code: 4120 - Algemene burgerlijke en utiliteitsbouw</v>
      </c>
      <c r="F429" s="7" t="str">
        <f>IFERROR(__xludf.DUMMYFUNCTION("""COMPUTED_VALUE"""),"0630200472")</f>
        <v>0630200472</v>
      </c>
      <c r="G429" s="6" t="str">
        <f>IFERROR(__xludf.DUMMYFUNCTION("""COMPUTED_VALUE"""),"vasil_petrov@icloud.com")</f>
        <v>vasil_petrov@icloud.com</v>
      </c>
      <c r="H429" s="6" t="str">
        <f>IFERROR(__xludf.DUMMYFUNCTION("""COMPUTED_VALUE"""),"Stephensonstraat 123")</f>
        <v>Stephensonstraat 123</v>
      </c>
      <c r="I429" s="6" t="str">
        <f>IFERROR(__xludf.DUMMYFUNCTION("""COMPUTED_VALUE"""),"7903AS")</f>
        <v>7903AS</v>
      </c>
      <c r="J429" s="6" t="str">
        <f>IFERROR(__xludf.DUMMYFUNCTION("""COMPUTED_VALUE"""),"Hoogeveen")</f>
        <v>Hoogeveen</v>
      </c>
      <c r="K429" s="6" t="str">
        <f>IFERROR(__xludf.DUMMYFUNCTION("""COMPUTED_VALUE"""),"Nederland")</f>
        <v>Nederland</v>
      </c>
      <c r="L429" s="6" t="str">
        <f>IFERROR(__xludf.DUMMYFUNCTION("""COMPUTED_VALUE"""),"Пеев")</f>
        <v>Пеев</v>
      </c>
      <c r="M429" s="8">
        <f>IFERROR(__xludf.DUMMYFUNCTION("""COMPUTED_VALUE"""),43175.0)</f>
        <v>43175</v>
      </c>
      <c r="N429" s="6" t="str">
        <f>IFERROR(__xludf.DUMMYFUNCTION("""COMPUTED_VALUE"""),"NL857245260B01")</f>
        <v>NL857245260B01</v>
      </c>
      <c r="O429" s="6">
        <f>IFERROR(__xludf.DUMMYFUNCTION("""COMPUTED_VALUE"""),6.7965202E7)</f>
        <v>67965202</v>
      </c>
      <c r="P429" s="6" t="str">
        <f>IFERROR(__xludf.DUMMYFUNCTION("""COMPUTED_VALUE"""),"NL04ABNA0558432301")</f>
        <v>NL04ABNA0558432301</v>
      </c>
      <c r="Q429" s="9">
        <f>IFERROR(__xludf.DUMMYFUNCTION("""COMPUTED_VALUE"""),42767.0)</f>
        <v>42767</v>
      </c>
      <c r="R429" s="6"/>
      <c r="S429" s="6" t="str">
        <f>IFERROR(__xludf.DUMMYFUNCTION("""COMPUTED_VALUE"""),"NL857245260B01")</f>
        <v>NL857245260B01</v>
      </c>
      <c r="T429" s="6">
        <f>IFERROR(__xludf.DUMMYFUNCTION("""COMPUTED_VALUE"""),8.5724526E8)</f>
        <v>857245260</v>
      </c>
      <c r="U429" s="7" t="str">
        <f>IFERROR(__xludf.DUMMYFUNCTION("""COMPUTED_VALUE"""),"Besloten Vennootschap")</f>
        <v>Besloten Vennootschap</v>
      </c>
      <c r="V429" s="7" t="str">
        <f>IFERROR(__xludf.DUMMYFUNCTION("""COMPUTED_VALUE"""),"000005688302")</f>
        <v>000005688302</v>
      </c>
      <c r="W429" s="6" t="str">
        <f>IFERROR(__xludf.DUMMYFUNCTION("""COMPUTED_VALUE"""),"ink.solarismontagebv.2288aa@zarabota.nl")</f>
        <v>ink.solarismontagebv.2288aa@zarabota.nl</v>
      </c>
      <c r="X429" s="6" t="str">
        <f>IFERROR(__xludf.DUMMYFUNCTION("""COMPUTED_VALUE"""),"ver.solarismontagebv.2288aa@zarabota.nl")</f>
        <v>ver.solarismontagebv.2288aa@zarabota.nl</v>
      </c>
      <c r="Y429" s="6" t="str">
        <f>IFERROR(__xludf.DUMMYFUNCTION("""COMPUTED_VALUE"""),"Hr.")</f>
        <v>Hr.</v>
      </c>
      <c r="Z429" s="6" t="str">
        <f>IFERROR(__xludf.DUMMYFUNCTION("""COMPUTED_VALUE"""),"Vasil Petrov")</f>
        <v>Vasil Petrov</v>
      </c>
      <c r="AA429" s="6" t="str">
        <f>IFERROR(__xludf.DUMMYFUNCTION("""COMPUTED_VALUE"""),"Peev")</f>
        <v>Peev</v>
      </c>
      <c r="AB429" s="6" t="str">
        <f>IFERROR(__xludf.DUMMYFUNCTION("""COMPUTED_VALUE"""),"V.P.")</f>
        <v>V.P.</v>
      </c>
      <c r="AC429" s="6">
        <f>IFERROR(__xludf.DUMMYFUNCTION("""COMPUTED_VALUE"""),2.64594356E8)</f>
        <v>264594356</v>
      </c>
      <c r="AD429" s="9">
        <f>IFERROR(__xludf.DUMMYFUNCTION("""COMPUTED_VALUE"""),29208.0)</f>
        <v>29208</v>
      </c>
      <c r="AE429" s="6" t="str">
        <f>IFERROR(__xludf.DUMMYFUNCTION("""COMPUTED_VALUE"""),"bg")</f>
        <v>bg</v>
      </c>
      <c r="AF429" s="6"/>
      <c r="AG429" s="6" t="str">
        <f>IFERROR(__xludf.DUMMYFUNCTION("""COMPUTED_VALUE"""),"Hr. V.P. Peev")</f>
        <v>Hr. V.P. Peev</v>
      </c>
      <c r="AH429" s="6" t="str">
        <f>IFERROR(__xludf.DUMMYFUNCTION("""COMPUTED_VALUE"""),"NL53ABNA0535456581")</f>
        <v>NL53ABNA0535456581</v>
      </c>
      <c r="AI429" s="6"/>
      <c r="AJ429" s="6" t="str">
        <f>IFERROR(__xludf.DUMMYFUNCTION("""COMPUTED_VALUE"""),"ID Kaart")</f>
        <v>ID Kaart</v>
      </c>
      <c r="AK429" s="6">
        <f>IFERROR(__xludf.DUMMYFUNCTION("""COMPUTED_VALUE"""),6.41854212E8)</f>
        <v>641854212</v>
      </c>
      <c r="AL429" s="9">
        <f>IFERROR(__xludf.DUMMYFUNCTION("""COMPUTED_VALUE"""),44224.0)</f>
        <v>44224</v>
      </c>
      <c r="AM429" s="6" t="str">
        <f>IFERROR(__xludf.DUMMYFUNCTION("""COMPUTED_VALUE"""),"Bulgarije")</f>
        <v>Bulgarije</v>
      </c>
      <c r="AN429" s="6" t="str">
        <f>IFERROR(__xludf.DUMMYFUNCTION("""COMPUTED_VALUE"""),"Vasil Petrov Peev")</f>
        <v>Vasil Petrov Peev</v>
      </c>
      <c r="AO429" s="6"/>
    </row>
    <row r="430">
      <c r="A430" s="6" t="str">
        <f>IFERROR(__xludf.DUMMYFUNCTION("""COMPUTED_VALUE"""),"SolarZone B.V.")</f>
        <v>SolarZone B.V.</v>
      </c>
      <c r="B430" s="6" t="str">
        <f>IFERROR(__xludf.DUMMYFUNCTION("""COMPUTED_VALUE"""),"SolarZone B.V.")</f>
        <v>SolarZone B.V.</v>
      </c>
      <c r="C430" s="6">
        <f>IFERROR(__xludf.DUMMYFUNCTION("""COMPUTED_VALUE"""),983.0)</f>
        <v>983</v>
      </c>
      <c r="D430" s="7" t="str">
        <f>IFERROR(__xludf.DUMMYFUNCTION("""COMPUTED_VALUE"""),"Vladimir Plamenov Kehayov")</f>
        <v>Vladimir Plamenov Kehayov</v>
      </c>
      <c r="E430" s="7" t="str">
        <f>IFERROR(__xludf.DUMMYFUNCTION("""COMPUTED_VALUE"""),"SBI-code: 4120 - Algemene burgerlijke en utiliteitsbouw")</f>
        <v>SBI-code: 4120 - Algemene burgerlijke en utiliteitsbouw</v>
      </c>
      <c r="F430" s="6"/>
      <c r="G430" s="6"/>
      <c r="H430" s="6" t="str">
        <f>IFERROR(__xludf.DUMMYFUNCTION("""COMPUTED_VALUE"""),"Spakenburgsestraat 32")</f>
        <v>Spakenburgsestraat 32</v>
      </c>
      <c r="I430" s="6" t="str">
        <f>IFERROR(__xludf.DUMMYFUNCTION("""COMPUTED_VALUE"""),"2574JW")</f>
        <v>2574JW</v>
      </c>
      <c r="J430" s="6" t="str">
        <f>IFERROR(__xludf.DUMMYFUNCTION("""COMPUTED_VALUE"""),"s-Gravenhage")</f>
        <v>s-Gravenhage</v>
      </c>
      <c r="K430" s="6" t="str">
        <f>IFERROR(__xludf.DUMMYFUNCTION("""COMPUTED_VALUE"""),"Nederland")</f>
        <v>Nederland</v>
      </c>
      <c r="L430" s="6" t="str">
        <f>IFERROR(__xludf.DUMMYFUNCTION("""COMPUTED_VALUE"""),"Кехайов")</f>
        <v>Кехайов</v>
      </c>
      <c r="M430" s="8">
        <f>IFERROR(__xludf.DUMMYFUNCTION("""COMPUTED_VALUE"""),43987.0)</f>
        <v>43987</v>
      </c>
      <c r="N430" s="6" t="str">
        <f>IFERROR(__xludf.DUMMYFUNCTION("""COMPUTED_VALUE"""),"NL861304202B01")</f>
        <v>NL861304202B01</v>
      </c>
      <c r="O430" s="6">
        <f>IFERROR(__xludf.DUMMYFUNCTION("""COMPUTED_VALUE"""),7.8211123E7)</f>
        <v>78211123</v>
      </c>
      <c r="P430" s="6" t="str">
        <f>IFERROR(__xludf.DUMMYFUNCTION("""COMPUTED_VALUE"""),"NL76INGB0007018930")</f>
        <v>NL76INGB0007018930</v>
      </c>
      <c r="Q430" s="9">
        <f>IFERROR(__xludf.DUMMYFUNCTION("""COMPUTED_VALUE"""),43987.0)</f>
        <v>43987</v>
      </c>
      <c r="R430" s="6"/>
      <c r="S430" s="6" t="str">
        <f>IFERROR(__xludf.DUMMYFUNCTION("""COMPUTED_VALUE"""),"NL861304202B01")</f>
        <v>NL861304202B01</v>
      </c>
      <c r="T430" s="6">
        <f>IFERROR(__xludf.DUMMYFUNCTION("""COMPUTED_VALUE"""),8.61304202E8)</f>
        <v>861304202</v>
      </c>
      <c r="U430" s="7" t="str">
        <f>IFERROR(__xludf.DUMMYFUNCTION("""COMPUTED_VALUE"""),"Besloten Vennootschap")</f>
        <v>Besloten Vennootschap</v>
      </c>
      <c r="V430" s="7" t="str">
        <f>IFERROR(__xludf.DUMMYFUNCTION("""COMPUTED_VALUE"""),"000045856044")</f>
        <v>000045856044</v>
      </c>
      <c r="W430" s="6" t="str">
        <f>IFERROR(__xludf.DUMMYFUNCTION("""COMPUTED_VALUE"""),"ink.solarzonebv.2288aa@zarabota.nl")</f>
        <v>ink.solarzonebv.2288aa@zarabota.nl</v>
      </c>
      <c r="X430" s="6" t="str">
        <f>IFERROR(__xludf.DUMMYFUNCTION("""COMPUTED_VALUE"""),"ver.solarzonebv.2288aa@zarabota.nl")</f>
        <v>ver.solarzonebv.2288aa@zarabota.nl</v>
      </c>
      <c r="Y430" s="6" t="str">
        <f>IFERROR(__xludf.DUMMYFUNCTION("""COMPUTED_VALUE"""),"Hr.")</f>
        <v>Hr.</v>
      </c>
      <c r="Z430" s="6" t="str">
        <f>IFERROR(__xludf.DUMMYFUNCTION("""COMPUTED_VALUE"""),"Vladimir Plamenov")</f>
        <v>Vladimir Plamenov</v>
      </c>
      <c r="AA430" s="6" t="str">
        <f>IFERROR(__xludf.DUMMYFUNCTION("""COMPUTED_VALUE"""),"Kehayov")</f>
        <v>Kehayov</v>
      </c>
      <c r="AB430" s="6" t="str">
        <f>IFERROR(__xludf.DUMMYFUNCTION("""COMPUTED_VALUE"""),"V.P.")</f>
        <v>V.P.</v>
      </c>
      <c r="AC430" s="6">
        <f>IFERROR(__xludf.DUMMYFUNCTION("""COMPUTED_VALUE"""),2.50920761E8)</f>
        <v>250920761</v>
      </c>
      <c r="AD430" s="9">
        <f>IFERROR(__xludf.DUMMYFUNCTION("""COMPUTED_VALUE"""),31864.0)</f>
        <v>31864</v>
      </c>
      <c r="AE430" s="6" t="str">
        <f>IFERROR(__xludf.DUMMYFUNCTION("""COMPUTED_VALUE"""),"bg")</f>
        <v>bg</v>
      </c>
      <c r="AF430" s="6" t="str">
        <f>IFERROR(__xludf.DUMMYFUNCTION("""COMPUTED_VALUE"""),"Rudozem")</f>
        <v>Rudozem</v>
      </c>
      <c r="AG430" s="6" t="str">
        <f>IFERROR(__xludf.DUMMYFUNCTION("""COMPUTED_VALUE"""),"Hr. V.P. Kehayov")</f>
        <v>Hr. V.P. Kehayov</v>
      </c>
      <c r="AH430" s="6"/>
      <c r="AI430" s="6"/>
      <c r="AJ430" s="6" t="str">
        <f>IFERROR(__xludf.DUMMYFUNCTION("""COMPUTED_VALUE"""),"ID Kaart")</f>
        <v>ID Kaart</v>
      </c>
      <c r="AK430" s="6">
        <f>IFERROR(__xludf.DUMMYFUNCTION("""COMPUTED_VALUE"""),6.42546456E8)</f>
        <v>642546456</v>
      </c>
      <c r="AL430" s="9">
        <f>IFERROR(__xludf.DUMMYFUNCTION("""COMPUTED_VALUE"""),44403.0)</f>
        <v>44403</v>
      </c>
      <c r="AM430" s="6"/>
      <c r="AN430" s="6" t="str">
        <f>IFERROR(__xludf.DUMMYFUNCTION("""COMPUTED_VALUE"""),"Vladimir Plamenov Kehayov")</f>
        <v>Vladimir Plamenov Kehayov</v>
      </c>
      <c r="AO430" s="6"/>
    </row>
    <row r="431">
      <c r="A431" s="6" t="str">
        <f>IFERROR(__xludf.DUMMYFUNCTION("""COMPUTED_VALUE"""),"SolarZone VOF")</f>
        <v>SolarZone VOF</v>
      </c>
      <c r="B431" s="6" t="str">
        <f>IFERROR(__xludf.DUMMYFUNCTION("""COMPUTED_VALUE"""),"SolarZone VOF")</f>
        <v>SolarZone VOF</v>
      </c>
      <c r="C431" s="6">
        <f>IFERROR(__xludf.DUMMYFUNCTION("""COMPUTED_VALUE"""),655.0)</f>
        <v>655</v>
      </c>
      <c r="D431" s="7" t="str">
        <f>IFERROR(__xludf.DUMMYFUNCTION("""COMPUTED_VALUE"""),"Vladimir Plamenov Kehayov")</f>
        <v>Vladimir Plamenov Kehayov</v>
      </c>
      <c r="E431" s="7" t="str">
        <f>IFERROR(__xludf.DUMMYFUNCTION("""COMPUTED_VALUE"""),"SBI-code: 4120 - Algemene burgerlijke en utiliteitsbouw")</f>
        <v>SBI-code: 4120 - Algemene burgerlijke en utiliteitsbouw</v>
      </c>
      <c r="F431" s="7" t="str">
        <f>IFERROR(__xludf.DUMMYFUNCTION("""COMPUTED_VALUE"""),"0644335525")</f>
        <v>0644335525</v>
      </c>
      <c r="G431" s="6" t="str">
        <f>IFERROR(__xludf.DUMMYFUNCTION("""COMPUTED_VALUE"""),"info@solarzone.nl")</f>
        <v>info@solarzone.nl</v>
      </c>
      <c r="H431" s="6" t="str">
        <f>IFERROR(__xludf.DUMMYFUNCTION("""COMPUTED_VALUE"""),"Spakenburgsestraat 32")</f>
        <v>Spakenburgsestraat 32</v>
      </c>
      <c r="I431" s="6" t="str">
        <f>IFERROR(__xludf.DUMMYFUNCTION("""COMPUTED_VALUE"""),"2574JW")</f>
        <v>2574JW</v>
      </c>
      <c r="J431" s="6" t="str">
        <f>IFERROR(__xludf.DUMMYFUNCTION("""COMPUTED_VALUE"""),"Den Haag")</f>
        <v>Den Haag</v>
      </c>
      <c r="K431" s="6" t="str">
        <f>IFERROR(__xludf.DUMMYFUNCTION("""COMPUTED_VALUE"""),"Nederland")</f>
        <v>Nederland</v>
      </c>
      <c r="L431" s="6" t="str">
        <f>IFERROR(__xludf.DUMMYFUNCTION("""COMPUTED_VALUE"""),"Кехайов")</f>
        <v>Кехайов</v>
      </c>
      <c r="M431" s="8">
        <f>IFERROR(__xludf.DUMMYFUNCTION("""COMPUTED_VALUE"""),43374.0)</f>
        <v>43374</v>
      </c>
      <c r="N431" s="6" t="str">
        <f>IFERROR(__xludf.DUMMYFUNCTION("""COMPUTED_VALUE"""),"NL859260781B01")</f>
        <v>NL859260781B01</v>
      </c>
      <c r="O431" s="6">
        <f>IFERROR(__xludf.DUMMYFUNCTION("""COMPUTED_VALUE"""),7.2852402E7)</f>
        <v>72852402</v>
      </c>
      <c r="P431" s="6" t="str">
        <f>IFERROR(__xludf.DUMMYFUNCTION("""COMPUTED_VALUE"""),"NL73INGB0006660569")</f>
        <v>NL73INGB0006660569</v>
      </c>
      <c r="Q431" s="9">
        <f>IFERROR(__xludf.DUMMYFUNCTION("""COMPUTED_VALUE"""),43374.0)</f>
        <v>43374</v>
      </c>
      <c r="R431" s="6"/>
      <c r="S431" s="6" t="str">
        <f>IFERROR(__xludf.DUMMYFUNCTION("""COMPUTED_VALUE"""),"NL859260781B01")</f>
        <v>NL859260781B01</v>
      </c>
      <c r="T431" s="6">
        <f>IFERROR(__xludf.DUMMYFUNCTION("""COMPUTED_VALUE"""),8.59260781E8)</f>
        <v>859260781</v>
      </c>
      <c r="U431" s="7" t="str">
        <f>IFERROR(__xludf.DUMMYFUNCTION("""COMPUTED_VALUE"""),"Vennootschap Onder Firma")</f>
        <v>Vennootschap Onder Firma</v>
      </c>
      <c r="V431" s="7" t="str">
        <f>IFERROR(__xludf.DUMMYFUNCTION("""COMPUTED_VALUE"""),"000030766885")</f>
        <v>000030766885</v>
      </c>
      <c r="W431" s="6" t="str">
        <f>IFERROR(__xludf.DUMMYFUNCTION("""COMPUTED_VALUE"""),"ink.solarzonevof.2288aa@zarabota.nl")</f>
        <v>ink.solarzonevof.2288aa@zarabota.nl</v>
      </c>
      <c r="X431" s="6" t="str">
        <f>IFERROR(__xludf.DUMMYFUNCTION("""COMPUTED_VALUE"""),"ver.solarzonevof.2288aa@zarabota.nl")</f>
        <v>ver.solarzonevof.2288aa@zarabota.nl</v>
      </c>
      <c r="Y431" s="6" t="str">
        <f>IFERROR(__xludf.DUMMYFUNCTION("""COMPUTED_VALUE"""),"Hr.")</f>
        <v>Hr.</v>
      </c>
      <c r="Z431" s="6" t="str">
        <f>IFERROR(__xludf.DUMMYFUNCTION("""COMPUTED_VALUE"""),"Vladimir Plamenov")</f>
        <v>Vladimir Plamenov</v>
      </c>
      <c r="AA431" s="6" t="str">
        <f>IFERROR(__xludf.DUMMYFUNCTION("""COMPUTED_VALUE"""),"Kehayov")</f>
        <v>Kehayov</v>
      </c>
      <c r="AB431" s="6" t="str">
        <f>IFERROR(__xludf.DUMMYFUNCTION("""COMPUTED_VALUE"""),"V.P.")</f>
        <v>V.P.</v>
      </c>
      <c r="AC431" s="6">
        <f>IFERROR(__xludf.DUMMYFUNCTION("""COMPUTED_VALUE"""),2.50920761E8)</f>
        <v>250920761</v>
      </c>
      <c r="AD431" s="9">
        <f>IFERROR(__xludf.DUMMYFUNCTION("""COMPUTED_VALUE"""),31864.0)</f>
        <v>31864</v>
      </c>
      <c r="AE431" s="6" t="str">
        <f>IFERROR(__xludf.DUMMYFUNCTION("""COMPUTED_VALUE"""),"bg")</f>
        <v>bg</v>
      </c>
      <c r="AF431" s="6" t="str">
        <f>IFERROR(__xludf.DUMMYFUNCTION("""COMPUTED_VALUE"""),"Rudozem")</f>
        <v>Rudozem</v>
      </c>
      <c r="AG431" s="6" t="str">
        <f>IFERROR(__xludf.DUMMYFUNCTION("""COMPUTED_VALUE"""),"Hr. V.P. Kehayov")</f>
        <v>Hr. V.P. Kehayov</v>
      </c>
      <c r="AH431" s="6"/>
      <c r="AI431" s="6"/>
      <c r="AJ431" s="6" t="str">
        <f>IFERROR(__xludf.DUMMYFUNCTION("""COMPUTED_VALUE"""),"ID Kaart")</f>
        <v>ID Kaart</v>
      </c>
      <c r="AK431" s="6">
        <f>IFERROR(__xludf.DUMMYFUNCTION("""COMPUTED_VALUE"""),6.42546456E8)</f>
        <v>642546456</v>
      </c>
      <c r="AL431" s="9">
        <f>IFERROR(__xludf.DUMMYFUNCTION("""COMPUTED_VALUE"""),44403.0)</f>
        <v>44403</v>
      </c>
      <c r="AM431" s="6"/>
      <c r="AN431" s="6" t="str">
        <f>IFERROR(__xludf.DUMMYFUNCTION("""COMPUTED_VALUE"""),"Vladimir Plamenov Kehayov")</f>
        <v>Vladimir Plamenov Kehayov</v>
      </c>
      <c r="AO431" s="6"/>
    </row>
    <row r="432">
      <c r="A432" s="6" t="str">
        <f>IFERROR(__xludf.DUMMYFUNCTION("""COMPUTED_VALUE"""),"SoYu Renovation VOF")</f>
        <v>SoYu Renovation VOF</v>
      </c>
      <c r="B432" s="6" t="str">
        <f>IFERROR(__xludf.DUMMYFUNCTION("""COMPUTED_VALUE"""),"SoYu Renovation VOF")</f>
        <v>SoYu Renovation VOF</v>
      </c>
      <c r="C432" s="6">
        <f>IFERROR(__xludf.DUMMYFUNCTION("""COMPUTED_VALUE"""),1745.0)</f>
        <v>1745</v>
      </c>
      <c r="D432" s="7" t="str">
        <f>IFERROR(__xludf.DUMMYFUNCTION("""COMPUTED_VALUE"""),"Yurii  Yaroslavovych Khalupa")</f>
        <v>Yurii  Yaroslavovych Khalupa</v>
      </c>
      <c r="E432" s="7" t="str">
        <f>IFERROR(__xludf.DUMMYFUNCTION("""COMPUTED_VALUE"""),"SBI-code: 4120 - Algemene burgerlijke en utiliteitsbouw")</f>
        <v>SBI-code: 4120 - Algemene burgerlijke en utiliteitsbouw</v>
      </c>
      <c r="F432" s="7" t="str">
        <f>IFERROR(__xludf.DUMMYFUNCTION("""COMPUTED_VALUE"""),"0684139105")</f>
        <v>0684139105</v>
      </c>
      <c r="G432" s="6" t="str">
        <f>IFERROR(__xludf.DUMMYFUNCTION("""COMPUTED_VALUE"""),"yuriikhalupa@gmail.com")</f>
        <v>yuriikhalupa@gmail.com</v>
      </c>
      <c r="H432" s="6" t="str">
        <f>IFERROR(__xludf.DUMMYFUNCTION("""COMPUTED_VALUE"""),"Caan van Necklaan 48")</f>
        <v>Caan van Necklaan 48</v>
      </c>
      <c r="I432" s="6" t="str">
        <f>IFERROR(__xludf.DUMMYFUNCTION("""COMPUTED_VALUE"""),"2281BL")</f>
        <v>2281BL</v>
      </c>
      <c r="J432" s="6" t="str">
        <f>IFERROR(__xludf.DUMMYFUNCTION("""COMPUTED_VALUE"""),"Rijswijk")</f>
        <v>Rijswijk</v>
      </c>
      <c r="K432" s="6" t="str">
        <f>IFERROR(__xludf.DUMMYFUNCTION("""COMPUTED_VALUE"""),"Nederland")</f>
        <v>Nederland</v>
      </c>
      <c r="L432" s="6" t="str">
        <f>IFERROR(__xludf.DUMMYFUNCTION("""COMPUTED_VALUE"""),"Халупа")</f>
        <v>Халупа</v>
      </c>
      <c r="M432" s="8">
        <f>IFERROR(__xludf.DUMMYFUNCTION("""COMPUTED_VALUE"""),45962.0)</f>
        <v>45962</v>
      </c>
      <c r="N432" s="6" t="str">
        <f>IFERROR(__xludf.DUMMYFUNCTION("""COMPUTED_VALUE"""),"NL868658005B01")</f>
        <v>NL868658005B01</v>
      </c>
      <c r="O432" s="6">
        <f>IFERROR(__xludf.DUMMYFUNCTION("""COMPUTED_VALUE"""),9.8822144E7)</f>
        <v>98822144</v>
      </c>
      <c r="P432" s="6" t="str">
        <f>IFERROR(__xludf.DUMMYFUNCTION("""COMPUTED_VALUE"""),"NL85INGB0117483435")</f>
        <v>NL85INGB0117483435</v>
      </c>
      <c r="Q432" s="9">
        <f>IFERROR(__xludf.DUMMYFUNCTION("""COMPUTED_VALUE"""),45962.0)</f>
        <v>45962</v>
      </c>
      <c r="R432" s="6"/>
      <c r="S432" s="6" t="str">
        <f>IFERROR(__xludf.DUMMYFUNCTION("""COMPUTED_VALUE"""),"NL868658005B01")</f>
        <v>NL868658005B01</v>
      </c>
      <c r="T432" s="6">
        <f>IFERROR(__xludf.DUMMYFUNCTION("""COMPUTED_VALUE"""),8.68658005E8)</f>
        <v>868658005</v>
      </c>
      <c r="U432" s="7" t="str">
        <f>IFERROR(__xludf.DUMMYFUNCTION("""COMPUTED_VALUE"""),"Vennootschap Onder Firma")</f>
        <v>Vennootschap Onder Firma</v>
      </c>
      <c r="V432" s="7" t="str">
        <f>IFERROR(__xludf.DUMMYFUNCTION("""COMPUTED_VALUE"""),"000063959186")</f>
        <v>000063959186</v>
      </c>
      <c r="W432" s="6" t="str">
        <f>IFERROR(__xludf.DUMMYFUNCTION("""COMPUTED_VALUE"""),"ink.soyu.2288aa@zarabota.nl")</f>
        <v>ink.soyu.2288aa@zarabota.nl</v>
      </c>
      <c r="X432" s="6" t="str">
        <f>IFERROR(__xludf.DUMMYFUNCTION("""COMPUTED_VALUE"""),"ver.soyu.2288aa@zarabota.nl")</f>
        <v>ver.soyu.2288aa@zarabota.nl</v>
      </c>
      <c r="Y432" s="6" t="str">
        <f>IFERROR(__xludf.DUMMYFUNCTION("""COMPUTED_VALUE"""),"Hr.")</f>
        <v>Hr.</v>
      </c>
      <c r="Z432" s="6" t="str">
        <f>IFERROR(__xludf.DUMMYFUNCTION("""COMPUTED_VALUE"""),"Yurii  Yaroslavovych")</f>
        <v>Yurii  Yaroslavovych</v>
      </c>
      <c r="AA432" s="6" t="str">
        <f>IFERROR(__xludf.DUMMYFUNCTION("""COMPUTED_VALUE"""),"Khalupa")</f>
        <v>Khalupa</v>
      </c>
      <c r="AB432" s="6" t="str">
        <f>IFERROR(__xludf.DUMMYFUNCTION("""COMPUTED_VALUE"""),"Y.Y.")</f>
        <v>Y.Y.</v>
      </c>
      <c r="AC432" s="6">
        <f>IFERROR(__xludf.DUMMYFUNCTION("""COMPUTED_VALUE"""),2.91855118E8)</f>
        <v>291855118</v>
      </c>
      <c r="AD432" s="9">
        <f>IFERROR(__xludf.DUMMYFUNCTION("""COMPUTED_VALUE"""),36184.0)</f>
        <v>36184</v>
      </c>
      <c r="AE432" s="6" t="str">
        <f>IFERROR(__xludf.DUMMYFUNCTION("""COMPUTED_VALUE"""),"bg")</f>
        <v>bg</v>
      </c>
      <c r="AF432" s="6" t="str">
        <f>IFERROR(__xludf.DUMMYFUNCTION("""COMPUTED_VALUE"""),"Lviv")</f>
        <v>Lviv</v>
      </c>
      <c r="AG432" s="6" t="str">
        <f>IFERROR(__xludf.DUMMYFUNCTION("""COMPUTED_VALUE"""),"Hr. Y.Y. Khalupa")</f>
        <v>Hr. Y.Y. Khalupa</v>
      </c>
      <c r="AH432" s="6"/>
      <c r="AI432" s="6"/>
      <c r="AJ432" s="6" t="str">
        <f>IFERROR(__xludf.DUMMYFUNCTION("""COMPUTED_VALUE"""),"Paspoort")</f>
        <v>Paspoort</v>
      </c>
      <c r="AK432" s="6" t="str">
        <f>IFERROR(__xludf.DUMMYFUNCTION("""COMPUTED_VALUE"""),"FZ490589")</f>
        <v>FZ490589</v>
      </c>
      <c r="AL432" s="9">
        <f>IFERROR(__xludf.DUMMYFUNCTION("""COMPUTED_VALUE"""),47765.0)</f>
        <v>47765</v>
      </c>
      <c r="AM432" s="6" t="str">
        <f>IFERROR(__xludf.DUMMYFUNCTION("""COMPUTED_VALUE"""),"Bulgarije")</f>
        <v>Bulgarije</v>
      </c>
      <c r="AN432" s="6" t="str">
        <f>IFERROR(__xludf.DUMMYFUNCTION("""COMPUTED_VALUE"""),"Yurii  Yaroslavovych Khalupa")</f>
        <v>Yurii  Yaroslavovych Khalupa</v>
      </c>
      <c r="AO432" s="6">
        <f>IFERROR(__xludf.DUMMYFUNCTION("""COMPUTED_VALUE"""),1745.0)</f>
        <v>1745</v>
      </c>
    </row>
    <row r="433">
      <c r="A433" s="6" t="str">
        <f>IFERROR(__xludf.DUMMYFUNCTION("""COMPUTED_VALUE"""),"Srebrin Kilev 69")</f>
        <v>Srebrin Kilev 69</v>
      </c>
      <c r="B433" s="6" t="str">
        <f>IFERROR(__xludf.DUMMYFUNCTION("""COMPUTED_VALUE"""),"Srebrin Kilev 69")</f>
        <v>Srebrin Kilev 69</v>
      </c>
      <c r="C433" s="6">
        <f>IFERROR(__xludf.DUMMYFUNCTION("""COMPUTED_VALUE"""),1272.0)</f>
        <v>1272</v>
      </c>
      <c r="D433" s="7" t="str">
        <f>IFERROR(__xludf.DUMMYFUNCTION("""COMPUTED_VALUE"""),"Srebrin Vergilov Kulev")</f>
        <v>Srebrin Vergilov Kulev</v>
      </c>
      <c r="E433" s="7" t="str">
        <f>IFERROR(__xludf.DUMMYFUNCTION("""COMPUTED_VALUE"""),"SBI-code: 4120 - Algemene burgerlijke en utiliteitsbouw")</f>
        <v>SBI-code: 4120 - Algemene burgerlijke en utiliteitsbouw</v>
      </c>
      <c r="F433" s="7" t="str">
        <f>IFERROR(__xludf.DUMMYFUNCTION("""COMPUTED_VALUE"""),"0624607504")</f>
        <v>0624607504</v>
      </c>
      <c r="G433" s="6" t="str">
        <f>IFERROR(__xludf.DUMMYFUNCTION("""COMPUTED_VALUE"""),"srebrinkulev6900@gmail.com")</f>
        <v>srebrinkulev6900@gmail.com</v>
      </c>
      <c r="H433" s="6" t="str">
        <f>IFERROR(__xludf.DUMMYFUNCTION("""COMPUTED_VALUE"""),"Havendijk 101")</f>
        <v>Havendijk 101</v>
      </c>
      <c r="I433" s="6" t="str">
        <f>IFERROR(__xludf.DUMMYFUNCTION("""COMPUTED_VALUE"""),"3114EA")</f>
        <v>3114EA</v>
      </c>
      <c r="J433" s="6" t="str">
        <f>IFERROR(__xludf.DUMMYFUNCTION("""COMPUTED_VALUE"""),"Schiedam")</f>
        <v>Schiedam</v>
      </c>
      <c r="K433" s="6" t="str">
        <f>IFERROR(__xludf.DUMMYFUNCTION("""COMPUTED_VALUE"""),"Nederland")</f>
        <v>Nederland</v>
      </c>
      <c r="L433" s="6" t="str">
        <f>IFERROR(__xludf.DUMMYFUNCTION("""COMPUTED_VALUE"""),"Кулев")</f>
        <v>Кулев</v>
      </c>
      <c r="M433" s="8">
        <f>IFERROR(__xludf.DUMMYFUNCTION("""COMPUTED_VALUE"""),44562.0)</f>
        <v>44562</v>
      </c>
      <c r="N433" s="6" t="str">
        <f>IFERROR(__xludf.DUMMYFUNCTION("""COMPUTED_VALUE"""),"NL503462342B01")</f>
        <v>NL503462342B01</v>
      </c>
      <c r="O433" s="6">
        <f>IFERROR(__xludf.DUMMYFUNCTION("""COMPUTED_VALUE"""),8.4620218E7)</f>
        <v>84620218</v>
      </c>
      <c r="P433" s="6" t="str">
        <f>IFERROR(__xludf.DUMMYFUNCTION("""COMPUTED_VALUE"""),"NL38INGB0674812913")</f>
        <v>NL38INGB0674812913</v>
      </c>
      <c r="Q433" s="9">
        <f>IFERROR(__xludf.DUMMYFUNCTION("""COMPUTED_VALUE"""),44529.0)</f>
        <v>44529</v>
      </c>
      <c r="R433" s="6"/>
      <c r="S433" s="6" t="str">
        <f>IFERROR(__xludf.DUMMYFUNCTION("""COMPUTED_VALUE"""),"NL003992388B97")</f>
        <v>NL003992388B97</v>
      </c>
      <c r="T433" s="6">
        <f>IFERROR(__xludf.DUMMYFUNCTION("""COMPUTED_VALUE"""),5.03462342E8)</f>
        <v>503462342</v>
      </c>
      <c r="U433" s="7" t="str">
        <f>IFERROR(__xludf.DUMMYFUNCTION("""COMPUTED_VALUE"""),"Eenmanszaak")</f>
        <v>Eenmanszaak</v>
      </c>
      <c r="V433" s="7" t="str">
        <f>IFERROR(__xludf.DUMMYFUNCTION("""COMPUTED_VALUE"""),"000050729306")</f>
        <v>000050729306</v>
      </c>
      <c r="W433" s="6" t="str">
        <f>IFERROR(__xludf.DUMMYFUNCTION("""COMPUTED_VALUE"""),"ink.srebrinkilev.2288aa@zarabota.nl")</f>
        <v>ink.srebrinkilev.2288aa@zarabota.nl</v>
      </c>
      <c r="X433" s="6" t="str">
        <f>IFERROR(__xludf.DUMMYFUNCTION("""COMPUTED_VALUE"""),"ver.srebrinkilev.2288aa@zarabota.nl")</f>
        <v>ver.srebrinkilev.2288aa@zarabota.nl</v>
      </c>
      <c r="Y433" s="6" t="str">
        <f>IFERROR(__xludf.DUMMYFUNCTION("""COMPUTED_VALUE"""),"Hr.")</f>
        <v>Hr.</v>
      </c>
      <c r="Z433" s="6" t="str">
        <f>IFERROR(__xludf.DUMMYFUNCTION("""COMPUTED_VALUE"""),"Srebrin Vergilov")</f>
        <v>Srebrin Vergilov</v>
      </c>
      <c r="AA433" s="6" t="str">
        <f>IFERROR(__xludf.DUMMYFUNCTION("""COMPUTED_VALUE"""),"Kulev")</f>
        <v>Kulev</v>
      </c>
      <c r="AB433" s="6" t="str">
        <f>IFERROR(__xludf.DUMMYFUNCTION("""COMPUTED_VALUE"""),"S.V.")</f>
        <v>S.V.</v>
      </c>
      <c r="AC433" s="6">
        <f>IFERROR(__xludf.DUMMYFUNCTION("""COMPUTED_VALUE"""),5.03462342E8)</f>
        <v>503462342</v>
      </c>
      <c r="AD433" s="9">
        <f>IFERROR(__xludf.DUMMYFUNCTION("""COMPUTED_VALUE"""),25416.0)</f>
        <v>25416</v>
      </c>
      <c r="AE433" s="6" t="str">
        <f>IFERROR(__xludf.DUMMYFUNCTION("""COMPUTED_VALUE"""),"bg")</f>
        <v>bg</v>
      </c>
      <c r="AF433" s="6" t="str">
        <f>IFERROR(__xludf.DUMMYFUNCTION("""COMPUTED_VALUE"""),"Devin")</f>
        <v>Devin</v>
      </c>
      <c r="AG433" s="6" t="str">
        <f>IFERROR(__xludf.DUMMYFUNCTION("""COMPUTED_VALUE"""),"Hr. S.V. Kulev")</f>
        <v>Hr. S.V. Kulev</v>
      </c>
      <c r="AH433" s="6"/>
      <c r="AI433" s="6"/>
      <c r="AJ433" s="6"/>
      <c r="AK433" s="6"/>
      <c r="AL433" s="6"/>
      <c r="AM433" s="6" t="str">
        <f>IFERROR(__xludf.DUMMYFUNCTION("""COMPUTED_VALUE"""),"Bulgarije")</f>
        <v>Bulgarije</v>
      </c>
      <c r="AN433" s="6" t="str">
        <f>IFERROR(__xludf.DUMMYFUNCTION("""COMPUTED_VALUE"""),"Srebrin Vergilov Kulev")</f>
        <v>Srebrin Vergilov Kulev</v>
      </c>
      <c r="AO433" s="6">
        <f>IFERROR(__xludf.DUMMYFUNCTION("""COMPUTED_VALUE"""),1272.0)</f>
        <v>1272</v>
      </c>
    </row>
    <row r="434">
      <c r="A434" s="6" t="str">
        <f>IFERROR(__xludf.DUMMYFUNCTION("""COMPUTED_VALUE"""),"SST Techniek VOF")</f>
        <v>SST Techniek VOF</v>
      </c>
      <c r="B434" s="6" t="str">
        <f>IFERROR(__xludf.DUMMYFUNCTION("""COMPUTED_VALUE"""),"SST Techniek VOF")</f>
        <v>SST Techniek VOF</v>
      </c>
      <c r="C434" s="6">
        <f>IFERROR(__xludf.DUMMYFUNCTION("""COMPUTED_VALUE"""),1665.0)</f>
        <v>1665</v>
      </c>
      <c r="D434" s="7" t="str">
        <f>IFERROR(__xludf.DUMMYFUNCTION("""COMPUTED_VALUE"""),"Stanislav Angelov Hristov")</f>
        <v>Stanislav Angelov Hristov</v>
      </c>
      <c r="E434" s="7" t="str">
        <f>IFERROR(__xludf.DUMMYFUNCTION("""COMPUTED_VALUE"""),"SBI-code: 4120 - Algemene burgerlijke en utiliteitsbouw")</f>
        <v>SBI-code: 4120 - Algemene burgerlijke en utiliteitsbouw</v>
      </c>
      <c r="F434" s="7" t="str">
        <f>IFERROR(__xludf.DUMMYFUNCTION("""COMPUTED_VALUE"""),"0657196736")</f>
        <v>0657196736</v>
      </c>
      <c r="G434" s="6" t="str">
        <f>IFERROR(__xludf.DUMMYFUNCTION("""COMPUTED_VALUE"""),"nike09122@gmail.com")</f>
        <v>nike09122@gmail.com</v>
      </c>
      <c r="H434" s="6" t="str">
        <f>IFERROR(__xludf.DUMMYFUNCTION("""COMPUTED_VALUE"""),"Burgemeester van Haarenlaan 658")</f>
        <v>Burgemeester van Haarenlaan 658</v>
      </c>
      <c r="I434" s="6" t="str">
        <f>IFERROR(__xludf.DUMMYFUNCTION("""COMPUTED_VALUE"""),"3119GR")</f>
        <v>3119GR</v>
      </c>
      <c r="J434" s="6" t="str">
        <f>IFERROR(__xludf.DUMMYFUNCTION("""COMPUTED_VALUE"""),"Schiedam")</f>
        <v>Schiedam</v>
      </c>
      <c r="K434" s="6" t="str">
        <f>IFERROR(__xludf.DUMMYFUNCTION("""COMPUTED_VALUE"""),"Nederland")</f>
        <v>Nederland</v>
      </c>
      <c r="L434" s="6" t="str">
        <f>IFERROR(__xludf.DUMMYFUNCTION("""COMPUTED_VALUE"""),"Христов")</f>
        <v>Христов</v>
      </c>
      <c r="M434" s="8">
        <f>IFERROR(__xludf.DUMMYFUNCTION("""COMPUTED_VALUE"""),45572.0)</f>
        <v>45572</v>
      </c>
      <c r="N434" s="6" t="str">
        <f>IFERROR(__xludf.DUMMYFUNCTION("""COMPUTED_VALUE"""),"NL867055790B01")</f>
        <v>NL867055790B01</v>
      </c>
      <c r="O434" s="6">
        <f>IFERROR(__xludf.DUMMYFUNCTION("""COMPUTED_VALUE"""),9.5244743E7)</f>
        <v>95244743</v>
      </c>
      <c r="P434" s="6" t="str">
        <f>IFERROR(__xludf.DUMMYFUNCTION("""COMPUTED_VALUE"""),"NL69INGB0110175840")</f>
        <v>NL69INGB0110175840</v>
      </c>
      <c r="Q434" s="9">
        <f>IFERROR(__xludf.DUMMYFUNCTION("""COMPUTED_VALUE"""),45572.0)</f>
        <v>45572</v>
      </c>
      <c r="R434" s="6"/>
      <c r="S434" s="6" t="str">
        <f>IFERROR(__xludf.DUMMYFUNCTION("""COMPUTED_VALUE"""),"NL867055790B01")</f>
        <v>NL867055790B01</v>
      </c>
      <c r="T434" s="6">
        <f>IFERROR(__xludf.DUMMYFUNCTION("""COMPUTED_VALUE"""),8.6705579E8)</f>
        <v>867055790</v>
      </c>
      <c r="U434" s="7" t="str">
        <f>IFERROR(__xludf.DUMMYFUNCTION("""COMPUTED_VALUE"""),"Eenmanszaak")</f>
        <v>Eenmanszaak</v>
      </c>
      <c r="V434" s="7" t="str">
        <f>IFERROR(__xludf.DUMMYFUNCTION("""COMPUTED_VALUE"""),"000060668652")</f>
        <v>000060668652</v>
      </c>
      <c r="W434" s="6" t="str">
        <f>IFERROR(__xludf.DUMMYFUNCTION("""COMPUTED_VALUE"""),"ink.stttech.2288aa@zarabota.nl")</f>
        <v>ink.stttech.2288aa@zarabota.nl</v>
      </c>
      <c r="X434" s="6" t="str">
        <f>IFERROR(__xludf.DUMMYFUNCTION("""COMPUTED_VALUE"""),"ver.stttech.2288aa@zarabota.nl")</f>
        <v>ver.stttech.2288aa@zarabota.nl</v>
      </c>
      <c r="Y434" s="6" t="str">
        <f>IFERROR(__xludf.DUMMYFUNCTION("""COMPUTED_VALUE"""),"Hr.")</f>
        <v>Hr.</v>
      </c>
      <c r="Z434" s="6" t="str">
        <f>IFERROR(__xludf.DUMMYFUNCTION("""COMPUTED_VALUE"""),"Stanislav Angelov")</f>
        <v>Stanislav Angelov</v>
      </c>
      <c r="AA434" s="6" t="str">
        <f>IFERROR(__xludf.DUMMYFUNCTION("""COMPUTED_VALUE"""),"Hristov")</f>
        <v>Hristov</v>
      </c>
      <c r="AB434" s="6" t="str">
        <f>IFERROR(__xludf.DUMMYFUNCTION("""COMPUTED_VALUE"""),"S.A.")</f>
        <v>S.A.</v>
      </c>
      <c r="AC434" s="6">
        <f>IFERROR(__xludf.DUMMYFUNCTION("""COMPUTED_VALUE"""),4.03587864E8)</f>
        <v>403587864</v>
      </c>
      <c r="AD434" s="9">
        <f>IFERROR(__xludf.DUMMYFUNCTION("""COMPUTED_VALUE"""),37594.0)</f>
        <v>37594</v>
      </c>
      <c r="AE434" s="6" t="str">
        <f>IFERROR(__xludf.DUMMYFUNCTION("""COMPUTED_VALUE"""),"bg")</f>
        <v>bg</v>
      </c>
      <c r="AF434" s="6" t="str">
        <f>IFERROR(__xludf.DUMMYFUNCTION("""COMPUTED_VALUE"""),"Targovishte")</f>
        <v>Targovishte</v>
      </c>
      <c r="AG434" s="6" t="str">
        <f>IFERROR(__xludf.DUMMYFUNCTION("""COMPUTED_VALUE"""),"Hr. S.A. Hristov")</f>
        <v>Hr. S.A. Hristov</v>
      </c>
      <c r="AH434" s="6" t="str">
        <f>IFERROR(__xludf.DUMMYFUNCTION("""COMPUTED_VALUE"""),"NL47INGB0108380378")</f>
        <v>NL47INGB0108380378</v>
      </c>
      <c r="AI434" s="6"/>
      <c r="AJ434" s="6" t="str">
        <f>IFERROR(__xludf.DUMMYFUNCTION("""COMPUTED_VALUE"""),"ID Kaart")</f>
        <v>ID Kaart</v>
      </c>
      <c r="AK434" s="6" t="str">
        <f>IFERROR(__xludf.DUMMYFUNCTION("""COMPUTED_VALUE"""),"AA0866839506640")</f>
        <v>AA0866839506640</v>
      </c>
      <c r="AL434" s="9">
        <f>IFERROR(__xludf.DUMMYFUNCTION("""COMPUTED_VALUE"""),49151.0)</f>
        <v>49151</v>
      </c>
      <c r="AM434" s="6" t="str">
        <f>IFERROR(__xludf.DUMMYFUNCTION("""COMPUTED_VALUE"""),"Bulgarije")</f>
        <v>Bulgarije</v>
      </c>
      <c r="AN434" s="6" t="str">
        <f>IFERROR(__xludf.DUMMYFUNCTION("""COMPUTED_VALUE"""),"Stanislav Angelov Hristov")</f>
        <v>Stanislav Angelov Hristov</v>
      </c>
      <c r="AO434" s="6">
        <f>IFERROR(__xludf.DUMMYFUNCTION("""COMPUTED_VALUE"""),1665.0)</f>
        <v>1665</v>
      </c>
    </row>
    <row r="435">
      <c r="A435" s="6" t="str">
        <f>IFERROR(__xludf.DUMMYFUNCTION("""COMPUTED_VALUE"""),"Stanev Transport")</f>
        <v>Stanev Transport</v>
      </c>
      <c r="B435" s="6" t="str">
        <f>IFERROR(__xludf.DUMMYFUNCTION("""COMPUTED_VALUE"""),"Stanev Transport")</f>
        <v>Stanev Transport</v>
      </c>
      <c r="C435" s="6">
        <f>IFERROR(__xludf.DUMMYFUNCTION("""COMPUTED_VALUE"""),1475.0)</f>
        <v>1475</v>
      </c>
      <c r="D435" s="7" t="str">
        <f>IFERROR(__xludf.DUMMYFUNCTION("""COMPUTED_VALUE"""),"Ivaylo Darinov Stanev")</f>
        <v>Ivaylo Darinov Stanev</v>
      </c>
      <c r="E435" s="7" t="str">
        <f>IFERROR(__xludf.DUMMYFUNCTION("""COMPUTED_VALUE"""),"SBI-code: 4941 - Goederenvervoer over de weg (geen verhuizingen)")</f>
        <v>SBI-code: 4941 - Goederenvervoer over de weg (geen verhuizingen)</v>
      </c>
      <c r="F435" s="7" t="str">
        <f>IFERROR(__xludf.DUMMYFUNCTION("""COMPUTED_VALUE"""),"0618523940")</f>
        <v>0618523940</v>
      </c>
      <c r="G435" s="6" t="str">
        <f>IFERROR(__xludf.DUMMYFUNCTION("""COMPUTED_VALUE"""),"ivaylostanev1979@gmail.com")</f>
        <v>ivaylostanev1979@gmail.com</v>
      </c>
      <c r="H435" s="6" t="str">
        <f>IFERROR(__xludf.DUMMYFUNCTION("""COMPUTED_VALUE"""),"Franselaan 182")</f>
        <v>Franselaan 182</v>
      </c>
      <c r="I435" s="6" t="str">
        <f>IFERROR(__xludf.DUMMYFUNCTION("""COMPUTED_VALUE"""),"3028AK")</f>
        <v>3028AK</v>
      </c>
      <c r="J435" s="6" t="str">
        <f>IFERROR(__xludf.DUMMYFUNCTION("""COMPUTED_VALUE"""),"Rotterdam")</f>
        <v>Rotterdam</v>
      </c>
      <c r="K435" s="6" t="str">
        <f>IFERROR(__xludf.DUMMYFUNCTION("""COMPUTED_VALUE"""),"Nederland")</f>
        <v>Nederland</v>
      </c>
      <c r="L435" s="6" t="str">
        <f>IFERROR(__xludf.DUMMYFUNCTION("""COMPUTED_VALUE"""),"Станев")</f>
        <v>Станев</v>
      </c>
      <c r="M435" s="8">
        <f>IFERROR(__xludf.DUMMYFUNCTION("""COMPUTED_VALUE"""),44991.0)</f>
        <v>44991</v>
      </c>
      <c r="N435" s="6" t="str">
        <f>IFERROR(__xludf.DUMMYFUNCTION("""COMPUTED_VALUE"""),"NL515483394B01")</f>
        <v>NL515483394B01</v>
      </c>
      <c r="O435" s="6">
        <f>IFERROR(__xludf.DUMMYFUNCTION("""COMPUTED_VALUE"""),8.945532E7)</f>
        <v>89455320</v>
      </c>
      <c r="P435" s="6" t="str">
        <f>IFERROR(__xludf.DUMMYFUNCTION("""COMPUTED_VALUE"""),"NL17INGB0100064817")</f>
        <v>NL17INGB0100064817</v>
      </c>
      <c r="Q435" s="9">
        <f>IFERROR(__xludf.DUMMYFUNCTION("""COMPUTED_VALUE"""),44991.0)</f>
        <v>44991</v>
      </c>
      <c r="R435" s="6"/>
      <c r="S435" s="6" t="str">
        <f>IFERROR(__xludf.DUMMYFUNCTION("""COMPUTED_VALUE"""),"NL004730034B60")</f>
        <v>NL004730034B60</v>
      </c>
      <c r="T435" s="6">
        <f>IFERROR(__xludf.DUMMYFUNCTION("""COMPUTED_VALUE"""),5.15483394E8)</f>
        <v>515483394</v>
      </c>
      <c r="U435" s="7" t="str">
        <f>IFERROR(__xludf.DUMMYFUNCTION("""COMPUTED_VALUE"""),"Eenmanszaak")</f>
        <v>Eenmanszaak</v>
      </c>
      <c r="V435" s="7" t="str">
        <f>IFERROR(__xludf.DUMMYFUNCTION("""COMPUTED_VALUE"""),"000055248977")</f>
        <v>000055248977</v>
      </c>
      <c r="W435" s="6" t="str">
        <f>IFERROR(__xludf.DUMMYFUNCTION("""COMPUTED_VALUE"""),"ink.stanevtrans.2288aa@zarabota.nl")</f>
        <v>ink.stanevtrans.2288aa@zarabota.nl</v>
      </c>
      <c r="X435" s="6" t="str">
        <f>IFERROR(__xludf.DUMMYFUNCTION("""COMPUTED_VALUE"""),"ver.stanevtrans.2288aa@zarabota.nl")</f>
        <v>ver.stanevtrans.2288aa@zarabota.nl</v>
      </c>
      <c r="Y435" s="6" t="str">
        <f>IFERROR(__xludf.DUMMYFUNCTION("""COMPUTED_VALUE"""),"Hr.")</f>
        <v>Hr.</v>
      </c>
      <c r="Z435" s="6" t="str">
        <f>IFERROR(__xludf.DUMMYFUNCTION("""COMPUTED_VALUE"""),"Ivaylo Darinov")</f>
        <v>Ivaylo Darinov</v>
      </c>
      <c r="AA435" s="6" t="str">
        <f>IFERROR(__xludf.DUMMYFUNCTION("""COMPUTED_VALUE"""),"Stanev")</f>
        <v>Stanev</v>
      </c>
      <c r="AB435" s="6" t="str">
        <f>IFERROR(__xludf.DUMMYFUNCTION("""COMPUTED_VALUE"""),"I.D.")</f>
        <v>I.D.</v>
      </c>
      <c r="AC435" s="6">
        <f>IFERROR(__xludf.DUMMYFUNCTION("""COMPUTED_VALUE"""),5.15483394E8)</f>
        <v>515483394</v>
      </c>
      <c r="AD435" s="9">
        <f>IFERROR(__xludf.DUMMYFUNCTION("""COMPUTED_VALUE"""),28859.0)</f>
        <v>28859</v>
      </c>
      <c r="AE435" s="6" t="str">
        <f>IFERROR(__xludf.DUMMYFUNCTION("""COMPUTED_VALUE"""),"bg")</f>
        <v>bg</v>
      </c>
      <c r="AF435" s="6" t="str">
        <f>IFERROR(__xludf.DUMMYFUNCTION("""COMPUTED_VALUE"""),"Gabrovo")</f>
        <v>Gabrovo</v>
      </c>
      <c r="AG435" s="6" t="str">
        <f>IFERROR(__xludf.DUMMYFUNCTION("""COMPUTED_VALUE"""),"Hr. I.D. Stanev")</f>
        <v>Hr. I.D. Stanev</v>
      </c>
      <c r="AH435" s="6"/>
      <c r="AI435" s="9">
        <f>IFERROR(__xludf.DUMMYFUNCTION("""COMPUTED_VALUE"""),44040.0)</f>
        <v>44040</v>
      </c>
      <c r="AJ435" s="6" t="str">
        <f>IFERROR(__xludf.DUMMYFUNCTION("""COMPUTED_VALUE"""),"ID Kaart")</f>
        <v>ID Kaart</v>
      </c>
      <c r="AK435" s="6">
        <f>IFERROR(__xludf.DUMMYFUNCTION("""COMPUTED_VALUE"""),6.45114701E8)</f>
        <v>645114701</v>
      </c>
      <c r="AL435" s="9">
        <f>IFERROR(__xludf.DUMMYFUNCTION("""COMPUTED_VALUE"""),45384.0)</f>
        <v>45384</v>
      </c>
      <c r="AM435" s="6" t="str">
        <f>IFERROR(__xludf.DUMMYFUNCTION("""COMPUTED_VALUE"""),"Bulgarije")</f>
        <v>Bulgarije</v>
      </c>
      <c r="AN435" s="6" t="str">
        <f>IFERROR(__xludf.DUMMYFUNCTION("""COMPUTED_VALUE"""),"Ivaylo Darinov Stanev")</f>
        <v>Ivaylo Darinov Stanev</v>
      </c>
      <c r="AO435" s="6">
        <f>IFERROR(__xludf.DUMMYFUNCTION("""COMPUTED_VALUE"""),1475.0)</f>
        <v>1475</v>
      </c>
    </row>
    <row r="436">
      <c r="A436" s="6" t="str">
        <f>IFERROR(__xludf.DUMMYFUNCTION("""COMPUTED_VALUE"""),"Stanis Bouw")</f>
        <v>Stanis Bouw</v>
      </c>
      <c r="B436" s="6" t="str">
        <f>IFERROR(__xludf.DUMMYFUNCTION("""COMPUTED_VALUE"""),"Stanis Bouw")</f>
        <v>Stanis Bouw</v>
      </c>
      <c r="C436" s="6">
        <f>IFERROR(__xludf.DUMMYFUNCTION("""COMPUTED_VALUE"""),1171.0)</f>
        <v>1171</v>
      </c>
      <c r="D436" s="7" t="str">
        <f>IFERROR(__xludf.DUMMYFUNCTION("""COMPUTED_VALUE"""),"Stanislav Nikolov Kolev")</f>
        <v>Stanislav Nikolov Kolev</v>
      </c>
      <c r="E436" s="7" t="str">
        <f>IFERROR(__xludf.DUMMYFUNCTION("""COMPUTED_VALUE"""),"SBI-code: 4120 - Algemene burgerlijke en utiliteitsbouw")</f>
        <v>SBI-code: 4120 - Algemene burgerlijke en utiliteitsbouw</v>
      </c>
      <c r="F436" s="7" t="str">
        <f>IFERROR(__xludf.DUMMYFUNCTION("""COMPUTED_VALUE"""),"0624869542")</f>
        <v>0624869542</v>
      </c>
      <c r="G436" s="6" t="str">
        <f>IFERROR(__xludf.DUMMYFUNCTION("""COMPUTED_VALUE"""),"stanis1312s@gmail.com")</f>
        <v>stanis1312s@gmail.com</v>
      </c>
      <c r="H436" s="6" t="str">
        <f>IFERROR(__xludf.DUMMYFUNCTION("""COMPUTED_VALUE"""),"Wolfhezestraat 61")</f>
        <v>Wolfhezestraat 61</v>
      </c>
      <c r="I436" s="6" t="str">
        <f>IFERROR(__xludf.DUMMYFUNCTION("""COMPUTED_VALUE"""),"2573NT")</f>
        <v>2573NT</v>
      </c>
      <c r="J436" s="6" t="str">
        <f>IFERROR(__xludf.DUMMYFUNCTION("""COMPUTED_VALUE"""),"s-Gravenhage")</f>
        <v>s-Gravenhage</v>
      </c>
      <c r="K436" s="6" t="str">
        <f>IFERROR(__xludf.DUMMYFUNCTION("""COMPUTED_VALUE"""),"Nederland")</f>
        <v>Nederland</v>
      </c>
      <c r="L436" s="6" t="str">
        <f>IFERROR(__xludf.DUMMYFUNCTION("""COMPUTED_VALUE"""),"Колев")</f>
        <v>Колев</v>
      </c>
      <c r="M436" s="8">
        <f>IFERROR(__xludf.DUMMYFUNCTION("""COMPUTED_VALUE"""),44302.0)</f>
        <v>44302</v>
      </c>
      <c r="N436" s="6" t="str">
        <f>IFERROR(__xludf.DUMMYFUNCTION("""COMPUTED_VALUE"""),"NL614596403B01")</f>
        <v>NL614596403B01</v>
      </c>
      <c r="O436" s="6">
        <f>IFERROR(__xludf.DUMMYFUNCTION("""COMPUTED_VALUE"""),8.2434697E7)</f>
        <v>82434697</v>
      </c>
      <c r="P436" s="6" t="str">
        <f>IFERROR(__xludf.DUMMYFUNCTION("""COMPUTED_VALUE"""),"NL76INGB0008675690")</f>
        <v>NL76INGB0008675690</v>
      </c>
      <c r="Q436" s="9">
        <f>IFERROR(__xludf.DUMMYFUNCTION("""COMPUTED_VALUE"""),44302.0)</f>
        <v>44302</v>
      </c>
      <c r="R436" s="6"/>
      <c r="S436" s="6" t="str">
        <f>IFERROR(__xludf.DUMMYFUNCTION("""COMPUTED_VALUE"""),"NL003679799B10")</f>
        <v>NL003679799B10</v>
      </c>
      <c r="T436" s="6">
        <f>IFERROR(__xludf.DUMMYFUNCTION("""COMPUTED_VALUE"""),6.14596403E8)</f>
        <v>614596403</v>
      </c>
      <c r="U436" s="7" t="str">
        <f>IFERROR(__xludf.DUMMYFUNCTION("""COMPUTED_VALUE"""),"Eenmanszaak")</f>
        <v>Eenmanszaak</v>
      </c>
      <c r="V436" s="7" t="str">
        <f>IFERROR(__xludf.DUMMYFUNCTION("""COMPUTED_VALUE"""),"000048667420")</f>
        <v>000048667420</v>
      </c>
      <c r="W436" s="6" t="str">
        <f>IFERROR(__xludf.DUMMYFUNCTION("""COMPUTED_VALUE"""),"ink.stanisbouw.2288aa@zarabota.nl")</f>
        <v>ink.stanisbouw.2288aa@zarabota.nl</v>
      </c>
      <c r="X436" s="6" t="str">
        <f>IFERROR(__xludf.DUMMYFUNCTION("""COMPUTED_VALUE"""),"ver.stanisbouw.2288aa@zarabota.nl")</f>
        <v>ver.stanisbouw.2288aa@zarabota.nl</v>
      </c>
      <c r="Y436" s="6" t="str">
        <f>IFERROR(__xludf.DUMMYFUNCTION("""COMPUTED_VALUE"""),"Hr.")</f>
        <v>Hr.</v>
      </c>
      <c r="Z436" s="6" t="str">
        <f>IFERROR(__xludf.DUMMYFUNCTION("""COMPUTED_VALUE"""),"Stanislav Nikolov")</f>
        <v>Stanislav Nikolov</v>
      </c>
      <c r="AA436" s="6" t="str">
        <f>IFERROR(__xludf.DUMMYFUNCTION("""COMPUTED_VALUE"""),"Kolev")</f>
        <v>Kolev</v>
      </c>
      <c r="AB436" s="6" t="str">
        <f>IFERROR(__xludf.DUMMYFUNCTION("""COMPUTED_VALUE"""),"S.N.")</f>
        <v>S.N.</v>
      </c>
      <c r="AC436" s="6">
        <f>IFERROR(__xludf.DUMMYFUNCTION("""COMPUTED_VALUE"""),6.14596403E8)</f>
        <v>614596403</v>
      </c>
      <c r="AD436" s="9">
        <f>IFERROR(__xludf.DUMMYFUNCTION("""COMPUTED_VALUE"""),35171.0)</f>
        <v>35171</v>
      </c>
      <c r="AE436" s="6" t="str">
        <f>IFERROR(__xludf.DUMMYFUNCTION("""COMPUTED_VALUE"""),"bg")</f>
        <v>bg</v>
      </c>
      <c r="AF436" s="6" t="str">
        <f>IFERROR(__xludf.DUMMYFUNCTION("""COMPUTED_VALUE"""),"Sliven")</f>
        <v>Sliven</v>
      </c>
      <c r="AG436" s="6" t="str">
        <f>IFERROR(__xludf.DUMMYFUNCTION("""COMPUTED_VALUE"""),"Hr. S.N. Kolev")</f>
        <v>Hr. S.N. Kolev</v>
      </c>
      <c r="AH436" s="6" t="str">
        <f>IFERROR(__xludf.DUMMYFUNCTION("""COMPUTED_VALUE"""),"NL67INGB0705182509")</f>
        <v>NL67INGB0705182509</v>
      </c>
      <c r="AI436" s="6"/>
      <c r="AJ436" s="6"/>
      <c r="AK436" s="6"/>
      <c r="AL436" s="6"/>
      <c r="AM436" s="6" t="str">
        <f>IFERROR(__xludf.DUMMYFUNCTION("""COMPUTED_VALUE"""),"Bulgarije")</f>
        <v>Bulgarije</v>
      </c>
      <c r="AN436" s="6" t="str">
        <f>IFERROR(__xludf.DUMMYFUNCTION("""COMPUTED_VALUE"""),"Stanislav Nikolov Kolev")</f>
        <v>Stanislav Nikolov Kolev</v>
      </c>
      <c r="AO436" s="6">
        <f>IFERROR(__xludf.DUMMYFUNCTION("""COMPUTED_VALUE"""),1171.0)</f>
        <v>1171</v>
      </c>
    </row>
    <row r="437">
      <c r="A437" s="6" t="str">
        <f>IFERROR(__xludf.DUMMYFUNCTION("""COMPUTED_VALUE"""),"Statev Bouw")</f>
        <v>Statev Bouw</v>
      </c>
      <c r="B437" s="6" t="str">
        <f>IFERROR(__xludf.DUMMYFUNCTION("""COMPUTED_VALUE"""),"Statev Bouw")</f>
        <v>Statev Bouw</v>
      </c>
      <c r="C437" s="6">
        <f>IFERROR(__xludf.DUMMYFUNCTION("""COMPUTED_VALUE"""),509.0)</f>
        <v>509</v>
      </c>
      <c r="D437" s="7" t="str">
        <f>IFERROR(__xludf.DUMMYFUNCTION("""COMPUTED_VALUE"""),"Dimo Zhelyazkov Statev")</f>
        <v>Dimo Zhelyazkov Statev</v>
      </c>
      <c r="E437" s="7" t="str">
        <f>IFERROR(__xludf.DUMMYFUNCTION("""COMPUTED_VALUE"""),"SBI-code: 4120 - Algemene burgerlijke en utiliteitsbouw")</f>
        <v>SBI-code: 4120 - Algemene burgerlijke en utiliteitsbouw</v>
      </c>
      <c r="F437" s="7" t="str">
        <f>IFERROR(__xludf.DUMMYFUNCTION("""COMPUTED_VALUE"""),"0618289837")</f>
        <v>0618289837</v>
      </c>
      <c r="G437" s="6" t="str">
        <f>IFERROR(__xludf.DUMMYFUNCTION("""COMPUTED_VALUE"""),"dimo.ststev82@gmail.com")</f>
        <v>dimo.ststev82@gmail.com</v>
      </c>
      <c r="H437" s="6" t="str">
        <f>IFERROR(__xludf.DUMMYFUNCTION("""COMPUTED_VALUE"""),"Karel de Geerstraat 38")</f>
        <v>Karel de Geerstraat 38</v>
      </c>
      <c r="I437" s="6" t="str">
        <f>IFERROR(__xludf.DUMMYFUNCTION("""COMPUTED_VALUE"""),"2522PC")</f>
        <v>2522PC</v>
      </c>
      <c r="J437" s="6" t="str">
        <f>IFERROR(__xludf.DUMMYFUNCTION("""COMPUTED_VALUE"""),"Den Haag")</f>
        <v>Den Haag</v>
      </c>
      <c r="K437" s="6" t="str">
        <f>IFERROR(__xludf.DUMMYFUNCTION("""COMPUTED_VALUE"""),"Nederland")</f>
        <v>Nederland</v>
      </c>
      <c r="L437" s="6" t="str">
        <f>IFERROR(__xludf.DUMMYFUNCTION("""COMPUTED_VALUE"""),"Статев")</f>
        <v>Статев</v>
      </c>
      <c r="M437" s="8">
        <f>IFERROR(__xludf.DUMMYFUNCTION("""COMPUTED_VALUE"""),43175.0)</f>
        <v>43175</v>
      </c>
      <c r="N437" s="6" t="str">
        <f>IFERROR(__xludf.DUMMYFUNCTION("""COMPUTED_VALUE"""),"NL338530800B01")</f>
        <v>NL338530800B01</v>
      </c>
      <c r="O437" s="6">
        <f>IFERROR(__xludf.DUMMYFUNCTION("""COMPUTED_VALUE"""),7.0788693E7)</f>
        <v>70788693</v>
      </c>
      <c r="P437" s="6" t="str">
        <f>IFERROR(__xludf.DUMMYFUNCTION("""COMPUTED_VALUE"""),"NL72INGB0008195030")</f>
        <v>NL72INGB0008195030</v>
      </c>
      <c r="Q437" s="9">
        <f>IFERROR(__xludf.DUMMYFUNCTION("""COMPUTED_VALUE"""),43132.0)</f>
        <v>43132</v>
      </c>
      <c r="R437" s="6"/>
      <c r="S437" s="6" t="str">
        <f>IFERROR(__xludf.DUMMYFUNCTION("""COMPUTED_VALUE"""),"NL002470852B43")</f>
        <v>NL002470852B43</v>
      </c>
      <c r="T437" s="6">
        <f>IFERROR(__xludf.DUMMYFUNCTION("""COMPUTED_VALUE"""),3.385308E8)</f>
        <v>338530800</v>
      </c>
      <c r="U437" s="7" t="str">
        <f>IFERROR(__xludf.DUMMYFUNCTION("""COMPUTED_VALUE"""),"Eenmanszaak")</f>
        <v>Eenmanszaak</v>
      </c>
      <c r="V437" s="7" t="str">
        <f>IFERROR(__xludf.DUMMYFUNCTION("""COMPUTED_VALUE"""),"000039027171")</f>
        <v>000039027171</v>
      </c>
      <c r="W437" s="6" t="str">
        <f>IFERROR(__xludf.DUMMYFUNCTION("""COMPUTED_VALUE"""),"ink.statevbouw.2288aa@zarabota.nl")</f>
        <v>ink.statevbouw.2288aa@zarabota.nl</v>
      </c>
      <c r="X437" s="6" t="str">
        <f>IFERROR(__xludf.DUMMYFUNCTION("""COMPUTED_VALUE"""),"ver.statevbouw.2288aa@zarabota.nl")</f>
        <v>ver.statevbouw.2288aa@zarabota.nl</v>
      </c>
      <c r="Y437" s="6" t="str">
        <f>IFERROR(__xludf.DUMMYFUNCTION("""COMPUTED_VALUE"""),"Hr.")</f>
        <v>Hr.</v>
      </c>
      <c r="Z437" s="6" t="str">
        <f>IFERROR(__xludf.DUMMYFUNCTION("""COMPUTED_VALUE"""),"Dimo Zhelyazkov")</f>
        <v>Dimo Zhelyazkov</v>
      </c>
      <c r="AA437" s="6" t="str">
        <f>IFERROR(__xludf.DUMMYFUNCTION("""COMPUTED_VALUE"""),"Statev")</f>
        <v>Statev</v>
      </c>
      <c r="AB437" s="6" t="str">
        <f>IFERROR(__xludf.DUMMYFUNCTION("""COMPUTED_VALUE"""),"D.Z.")</f>
        <v>D.Z.</v>
      </c>
      <c r="AC437" s="6">
        <f>IFERROR(__xludf.DUMMYFUNCTION("""COMPUTED_VALUE"""),3.385308E8)</f>
        <v>338530800</v>
      </c>
      <c r="AD437" s="9">
        <f>IFERROR(__xludf.DUMMYFUNCTION("""COMPUTED_VALUE"""),30287.0)</f>
        <v>30287</v>
      </c>
      <c r="AE437" s="6" t="str">
        <f>IFERROR(__xludf.DUMMYFUNCTION("""COMPUTED_VALUE"""),"bg")</f>
        <v>bg</v>
      </c>
      <c r="AF437" s="6" t="str">
        <f>IFERROR(__xludf.DUMMYFUNCTION("""COMPUTED_VALUE"""),"Chaskovo")</f>
        <v>Chaskovo</v>
      </c>
      <c r="AG437" s="6" t="str">
        <f>IFERROR(__xludf.DUMMYFUNCTION("""COMPUTED_VALUE"""),"Hr. D.Z. Statev")</f>
        <v>Hr. D.Z. Statev</v>
      </c>
      <c r="AH437" s="6" t="str">
        <f>IFERROR(__xludf.DUMMYFUNCTION("""COMPUTED_VALUE"""),"NL28INGB0666544328")</f>
        <v>NL28INGB0666544328</v>
      </c>
      <c r="AI437" s="9">
        <f>IFERROR(__xludf.DUMMYFUNCTION("""COMPUTED_VALUE"""),43131.0)</f>
        <v>43131</v>
      </c>
      <c r="AJ437" s="6" t="str">
        <f>IFERROR(__xludf.DUMMYFUNCTION("""COMPUTED_VALUE"""),"ID Kaart")</f>
        <v>ID Kaart</v>
      </c>
      <c r="AK437" s="6">
        <f>IFERROR(__xludf.DUMMYFUNCTION("""COMPUTED_VALUE"""),6.45274134E8)</f>
        <v>645274134</v>
      </c>
      <c r="AL437" s="9">
        <f>IFERROR(__xludf.DUMMYFUNCTION("""COMPUTED_VALUE"""),45470.0)</f>
        <v>45470</v>
      </c>
      <c r="AM437" s="6"/>
      <c r="AN437" s="6" t="str">
        <f>IFERROR(__xludf.DUMMYFUNCTION("""COMPUTED_VALUE"""),"Dimo Zhelyazkov Statev")</f>
        <v>Dimo Zhelyazkov Statev</v>
      </c>
      <c r="AO437" s="6"/>
    </row>
    <row r="438">
      <c r="A438" s="6" t="str">
        <f>IFERROR(__xludf.DUMMYFUNCTION("""COMPUTED_VALUE"""),"Stefcho Demireva")</f>
        <v>Stefcho Demireva</v>
      </c>
      <c r="B438" s="6" t="str">
        <f>IFERROR(__xludf.DUMMYFUNCTION("""COMPUTED_VALUE"""),"Stefcho Demireva")</f>
        <v>Stefcho Demireva</v>
      </c>
      <c r="C438" s="6">
        <f>IFERROR(__xludf.DUMMYFUNCTION("""COMPUTED_VALUE"""),1481.0)</f>
        <v>1481</v>
      </c>
      <c r="D438" s="7" t="str">
        <f>IFERROR(__xludf.DUMMYFUNCTION("""COMPUTED_VALUE"""),"Ginka Demireva Velkova")</f>
        <v>Ginka Demireva Velkova</v>
      </c>
      <c r="E438" s="7" t="str">
        <f>IFERROR(__xludf.DUMMYFUNCTION("""COMPUTED_VALUE"""),"SBI-code: 0161 - Dienstverlening voor de akker- en/of tuinbouw")</f>
        <v>SBI-code: 0161 - Dienstverlening voor de akker- en/of tuinbouw</v>
      </c>
      <c r="F438" s="7" t="str">
        <f>IFERROR(__xludf.DUMMYFUNCTION("""COMPUTED_VALUE"""),"0684940860")</f>
        <v>0684940860</v>
      </c>
      <c r="G438" s="6" t="str">
        <f>IFERROR(__xludf.DUMMYFUNCTION("""COMPUTED_VALUE"""),"acehasenov@gmail.com")</f>
        <v>acehasenov@gmail.com</v>
      </c>
      <c r="H438" s="6" t="str">
        <f>IFERROR(__xludf.DUMMYFUNCTION("""COMPUTED_VALUE"""),"Helmersstraat 73 B")</f>
        <v>Helmersstraat 73 B</v>
      </c>
      <c r="I438" s="6" t="str">
        <f>IFERROR(__xludf.DUMMYFUNCTION("""COMPUTED_VALUE"""),"2513RW")</f>
        <v>2513RW</v>
      </c>
      <c r="J438" s="6" t="str">
        <f>IFERROR(__xludf.DUMMYFUNCTION("""COMPUTED_VALUE"""),"s-Gravenhage")</f>
        <v>s-Gravenhage</v>
      </c>
      <c r="K438" s="6" t="str">
        <f>IFERROR(__xludf.DUMMYFUNCTION("""COMPUTED_VALUE"""),"Nederland")</f>
        <v>Nederland</v>
      </c>
      <c r="L438" s="6" t="str">
        <f>IFERROR(__xludf.DUMMYFUNCTION("""COMPUTED_VALUE"""),"Велкова")</f>
        <v>Велкова</v>
      </c>
      <c r="M438" s="8">
        <f>IFERROR(__xludf.DUMMYFUNCTION("""COMPUTED_VALUE"""),45019.0)</f>
        <v>45019</v>
      </c>
      <c r="N438" s="6" t="str">
        <f>IFERROR(__xludf.DUMMYFUNCTION("""COMPUTED_VALUE"""),"NL539434772B01")</f>
        <v>NL539434772B01</v>
      </c>
      <c r="O438" s="6">
        <f>IFERROR(__xludf.DUMMYFUNCTION("""COMPUTED_VALUE"""),8.9790197E7)</f>
        <v>89790197</v>
      </c>
      <c r="P438" s="6" t="str">
        <f>IFERROR(__xludf.DUMMYFUNCTION("""COMPUTED_VALUE"""),"NL53INGB0100922910")</f>
        <v>NL53INGB0100922910</v>
      </c>
      <c r="Q438" s="9">
        <f>IFERROR(__xludf.DUMMYFUNCTION("""COMPUTED_VALUE"""),45019.0)</f>
        <v>45019</v>
      </c>
      <c r="R438" s="6"/>
      <c r="S438" s="6" t="str">
        <f>IFERROR(__xludf.DUMMYFUNCTION("""COMPUTED_VALUE"""),"NL004759992B98")</f>
        <v>NL004759992B98</v>
      </c>
      <c r="T438" s="6">
        <f>IFERROR(__xludf.DUMMYFUNCTION("""COMPUTED_VALUE"""),5.39434772E8)</f>
        <v>539434772</v>
      </c>
      <c r="U438" s="7" t="str">
        <f>IFERROR(__xludf.DUMMYFUNCTION("""COMPUTED_VALUE"""),"Eenmanszaak")</f>
        <v>Eenmanszaak</v>
      </c>
      <c r="V438" s="7" t="str">
        <f>IFERROR(__xludf.DUMMYFUNCTION("""COMPUTED_VALUE"""),"000055556841")</f>
        <v>000055556841</v>
      </c>
      <c r="W438" s="6" t="str">
        <f>IFERROR(__xludf.DUMMYFUNCTION("""COMPUTED_VALUE"""),"ink.stefchodemireva.2288aa@zarabota.nl")</f>
        <v>ink.stefchodemireva.2288aa@zarabota.nl</v>
      </c>
      <c r="X438" s="6" t="str">
        <f>IFERROR(__xludf.DUMMYFUNCTION("""COMPUTED_VALUE"""),"ver.stefchodemireva.2288aa@zarabota.nl")</f>
        <v>ver.stefchodemireva.2288aa@zarabota.nl</v>
      </c>
      <c r="Y438" s="6" t="str">
        <f>IFERROR(__xludf.DUMMYFUNCTION("""COMPUTED_VALUE"""),"Mw.")</f>
        <v>Mw.</v>
      </c>
      <c r="Z438" s="6" t="str">
        <f>IFERROR(__xludf.DUMMYFUNCTION("""COMPUTED_VALUE"""),"Ginka Demireva")</f>
        <v>Ginka Demireva</v>
      </c>
      <c r="AA438" s="6" t="str">
        <f>IFERROR(__xludf.DUMMYFUNCTION("""COMPUTED_VALUE"""),"Velkova")</f>
        <v>Velkova</v>
      </c>
      <c r="AB438" s="6" t="str">
        <f>IFERROR(__xludf.DUMMYFUNCTION("""COMPUTED_VALUE"""),"G.D.")</f>
        <v>G.D.</v>
      </c>
      <c r="AC438" s="6">
        <f>IFERROR(__xludf.DUMMYFUNCTION("""COMPUTED_VALUE"""),5.39434772E8)</f>
        <v>539434772</v>
      </c>
      <c r="AD438" s="9">
        <f>IFERROR(__xludf.DUMMYFUNCTION("""COMPUTED_VALUE"""),35127.0)</f>
        <v>35127</v>
      </c>
      <c r="AE438" s="6" t="str">
        <f>IFERROR(__xludf.DUMMYFUNCTION("""COMPUTED_VALUE"""),"bg")</f>
        <v>bg</v>
      </c>
      <c r="AF438" s="6"/>
      <c r="AG438" s="6" t="str">
        <f>IFERROR(__xludf.DUMMYFUNCTION("""COMPUTED_VALUE"""),"Mw. G.D. Velkova")</f>
        <v>Mw. G.D. Velkova</v>
      </c>
      <c r="AH438" s="6"/>
      <c r="AI438" s="6"/>
      <c r="AJ438" s="6" t="str">
        <f>IFERROR(__xludf.DUMMYFUNCTION("""COMPUTED_VALUE"""),"ID Kaart")</f>
        <v>ID Kaart</v>
      </c>
      <c r="AK438" s="6"/>
      <c r="AL438" s="6"/>
      <c r="AM438" s="6" t="str">
        <f>IFERROR(__xludf.DUMMYFUNCTION("""COMPUTED_VALUE"""),"Bulgarije")</f>
        <v>Bulgarije</v>
      </c>
      <c r="AN438" s="6" t="str">
        <f>IFERROR(__xludf.DUMMYFUNCTION("""COMPUTED_VALUE"""),"Ginka Demireva Velkova")</f>
        <v>Ginka Demireva Velkova</v>
      </c>
      <c r="AO438" s="6">
        <f>IFERROR(__xludf.DUMMYFUNCTION("""COMPUTED_VALUE"""),1481.0)</f>
        <v>1481</v>
      </c>
    </row>
    <row r="439">
      <c r="A439" s="6" t="str">
        <f>IFERROR(__xludf.DUMMYFUNCTION("""COMPUTED_VALUE"""),"Stefi Dinamik VOF")</f>
        <v>Stefi Dinamik VOF</v>
      </c>
      <c r="B439" s="6" t="str">
        <f>IFERROR(__xludf.DUMMYFUNCTION("""COMPUTED_VALUE"""),"Stefi Dinamik VOF")</f>
        <v>Stefi Dinamik VOF</v>
      </c>
      <c r="C439" s="6">
        <f>IFERROR(__xludf.DUMMYFUNCTION("""COMPUTED_VALUE"""),1089.0)</f>
        <v>1089</v>
      </c>
      <c r="D439" s="7" t="str">
        <f>IFERROR(__xludf.DUMMYFUNCTION("""COMPUTED_VALUE"""),"Valentin Sashkov Iliev")</f>
        <v>Valentin Sashkov Iliev</v>
      </c>
      <c r="E439" s="7" t="str">
        <f>IFERROR(__xludf.DUMMYFUNCTION("""COMPUTED_VALUE"""),"SBI-code: 4120 - Algemene burgerlijke en utiliteitsbouw")</f>
        <v>SBI-code: 4120 - Algemene burgerlijke en utiliteitsbouw</v>
      </c>
      <c r="F439" s="7" t="str">
        <f>IFERROR(__xludf.DUMMYFUNCTION("""COMPUTED_VALUE"""),"0640636398")</f>
        <v>0640636398</v>
      </c>
      <c r="G439" s="6" t="str">
        <f>IFERROR(__xludf.DUMMYFUNCTION("""COMPUTED_VALUE"""),"valentininfo86@gmail.com")</f>
        <v>valentininfo86@gmail.com</v>
      </c>
      <c r="H439" s="6" t="str">
        <f>IFERROR(__xludf.DUMMYFUNCTION("""COMPUTED_VALUE"""),"Jan van Rodestraat 134")</f>
        <v>Jan van Rodestraat 134</v>
      </c>
      <c r="I439" s="6" t="str">
        <f>IFERROR(__xludf.DUMMYFUNCTION("""COMPUTED_VALUE"""),"2531XV")</f>
        <v>2531XV</v>
      </c>
      <c r="J439" s="6" t="str">
        <f>IFERROR(__xludf.DUMMYFUNCTION("""COMPUTED_VALUE"""),"s-Gravenhage")</f>
        <v>s-Gravenhage</v>
      </c>
      <c r="K439" s="6" t="str">
        <f>IFERROR(__xludf.DUMMYFUNCTION("""COMPUTED_VALUE"""),"Nederland")</f>
        <v>Nederland</v>
      </c>
      <c r="L439" s="6" t="str">
        <f>IFERROR(__xludf.DUMMYFUNCTION("""COMPUTED_VALUE"""),"Илиев")</f>
        <v>Илиев</v>
      </c>
      <c r="M439" s="8">
        <f>IFERROR(__xludf.DUMMYFUNCTION("""COMPUTED_VALUE"""),43831.0)</f>
        <v>43831</v>
      </c>
      <c r="N439" s="6" t="str">
        <f>IFERROR(__xludf.DUMMYFUNCTION("""COMPUTED_VALUE"""),"NL862215808B01")</f>
        <v>NL862215808B01</v>
      </c>
      <c r="O439" s="6">
        <f>IFERROR(__xludf.DUMMYFUNCTION("""COMPUTED_VALUE"""),8.1775504E7)</f>
        <v>81775504</v>
      </c>
      <c r="P439" s="6" t="str">
        <f>IFERROR(__xludf.DUMMYFUNCTION("""COMPUTED_VALUE"""),"NL97INGB0006162721")</f>
        <v>NL97INGB0006162721</v>
      </c>
      <c r="Q439" s="9">
        <f>IFERROR(__xludf.DUMMYFUNCTION("""COMPUTED_VALUE"""),44197.0)</f>
        <v>44197</v>
      </c>
      <c r="R439" s="6"/>
      <c r="S439" s="6" t="str">
        <f>IFERROR(__xludf.DUMMYFUNCTION("""COMPUTED_VALUE"""),"NL862215808B01")</f>
        <v>NL862215808B01</v>
      </c>
      <c r="T439" s="6">
        <f>IFERROR(__xludf.DUMMYFUNCTION("""COMPUTED_VALUE"""),8.62215808E8)</f>
        <v>862215808</v>
      </c>
      <c r="U439" s="7" t="str">
        <f>IFERROR(__xludf.DUMMYFUNCTION("""COMPUTED_VALUE"""),"Vennootschap Onder Firma")</f>
        <v>Vennootschap Onder Firma</v>
      </c>
      <c r="V439" s="7" t="str">
        <f>IFERROR(__xludf.DUMMYFUNCTION("""COMPUTED_VALUE"""),"000027442764")</f>
        <v>000027442764</v>
      </c>
      <c r="W439" s="6" t="str">
        <f>IFERROR(__xludf.DUMMYFUNCTION("""COMPUTED_VALUE"""),"ink.stefidinamik.2288aa@zarabota.nl")</f>
        <v>ink.stefidinamik.2288aa@zarabota.nl</v>
      </c>
      <c r="X439" s="6" t="str">
        <f>IFERROR(__xludf.DUMMYFUNCTION("""COMPUTED_VALUE"""),"ver.stefidinamik.2288aa@zarabota.nl")</f>
        <v>ver.stefidinamik.2288aa@zarabota.nl</v>
      </c>
      <c r="Y439" s="6" t="str">
        <f>IFERROR(__xludf.DUMMYFUNCTION("""COMPUTED_VALUE"""),"Hr.")</f>
        <v>Hr.</v>
      </c>
      <c r="Z439" s="6" t="str">
        <f>IFERROR(__xludf.DUMMYFUNCTION("""COMPUTED_VALUE"""),"Valentin Sashkov")</f>
        <v>Valentin Sashkov</v>
      </c>
      <c r="AA439" s="6" t="str">
        <f>IFERROR(__xludf.DUMMYFUNCTION("""COMPUTED_VALUE"""),"Iliev")</f>
        <v>Iliev</v>
      </c>
      <c r="AB439" s="6" t="str">
        <f>IFERROR(__xludf.DUMMYFUNCTION("""COMPUTED_VALUE"""),"V.S.")</f>
        <v>V.S.</v>
      </c>
      <c r="AC439" s="6">
        <f>IFERROR(__xludf.DUMMYFUNCTION("""COMPUTED_VALUE"""),5.36383844E8)</f>
        <v>536383844</v>
      </c>
      <c r="AD439" s="9">
        <f>IFERROR(__xludf.DUMMYFUNCTION("""COMPUTED_VALUE"""),31528.0)</f>
        <v>31528</v>
      </c>
      <c r="AE439" s="6" t="str">
        <f>IFERROR(__xludf.DUMMYFUNCTION("""COMPUTED_VALUE"""),"bg")</f>
        <v>bg</v>
      </c>
      <c r="AF439" s="6" t="str">
        <f>IFERROR(__xludf.DUMMYFUNCTION("""COMPUTED_VALUE"""),"Haskovo")</f>
        <v>Haskovo</v>
      </c>
      <c r="AG439" s="6" t="str">
        <f>IFERROR(__xludf.DUMMYFUNCTION("""COMPUTED_VALUE"""),"Hr. V.S. Iliev")</f>
        <v>Hr. V.S. Iliev</v>
      </c>
      <c r="AH439" s="6"/>
      <c r="AI439" s="6"/>
      <c r="AJ439" s="6"/>
      <c r="AK439" s="6"/>
      <c r="AL439" s="6"/>
      <c r="AM439" s="6"/>
      <c r="AN439" s="6" t="str">
        <f>IFERROR(__xludf.DUMMYFUNCTION("""COMPUTED_VALUE"""),"Valentin Sashkov Iliev")</f>
        <v>Valentin Sashkov Iliev</v>
      </c>
      <c r="AO439" s="6">
        <f>IFERROR(__xludf.DUMMYFUNCTION("""COMPUTED_VALUE"""),1089.0)</f>
        <v>1089</v>
      </c>
    </row>
    <row r="440">
      <c r="A440" s="6" t="str">
        <f>IFERROR(__xludf.DUMMYFUNCTION("""COMPUTED_VALUE"""),"Stenly Afbouw B.V.")</f>
        <v>Stenly Afbouw B.V.</v>
      </c>
      <c r="B440" s="6" t="str">
        <f>IFERROR(__xludf.DUMMYFUNCTION("""COMPUTED_VALUE"""),"Stenly Afbouw B.V.")</f>
        <v>Stenly Afbouw B.V.</v>
      </c>
      <c r="C440" s="6">
        <f>IFERROR(__xludf.DUMMYFUNCTION("""COMPUTED_VALUE"""),646.0)</f>
        <v>646</v>
      </c>
      <c r="D440" s="7" t="str">
        <f>IFERROR(__xludf.DUMMYFUNCTION("""COMPUTED_VALUE"""),"Stanislav Mishev Angelov")</f>
        <v>Stanislav Mishev Angelov</v>
      </c>
      <c r="E440" s="7" t="str">
        <f>IFERROR(__xludf.DUMMYFUNCTION("""COMPUTED_VALUE"""),"SBI-code: 4120 - Algemene burgerlijke en utiliteitsbouw")</f>
        <v>SBI-code: 4120 - Algemene burgerlijke en utiliteitsbouw</v>
      </c>
      <c r="F440" s="7" t="str">
        <f>IFERROR(__xludf.DUMMYFUNCTION("""COMPUTED_VALUE"""),"0685473751")</f>
        <v>0685473751</v>
      </c>
      <c r="G440" s="6" t="str">
        <f>IFERROR(__xludf.DUMMYFUNCTION("""COMPUTED_VALUE"""),"stenlyafbouw@gmail.com")</f>
        <v>stenlyafbouw@gmail.com</v>
      </c>
      <c r="H440" s="6" t="str">
        <f>IFERROR(__xludf.DUMMYFUNCTION("""COMPUTED_VALUE"""),"Schaarsbergenstraat 107")</f>
        <v>Schaarsbergenstraat 107</v>
      </c>
      <c r="I440" s="6" t="str">
        <f>IFERROR(__xludf.DUMMYFUNCTION("""COMPUTED_VALUE"""),"2573 BR")</f>
        <v>2573 BR</v>
      </c>
      <c r="J440" s="6" t="str">
        <f>IFERROR(__xludf.DUMMYFUNCTION("""COMPUTED_VALUE"""),"Den Haag")</f>
        <v>Den Haag</v>
      </c>
      <c r="K440" s="6" t="str">
        <f>IFERROR(__xludf.DUMMYFUNCTION("""COMPUTED_VALUE"""),"Nederland")</f>
        <v>Nederland</v>
      </c>
      <c r="L440" s="6" t="str">
        <f>IFERROR(__xludf.DUMMYFUNCTION("""COMPUTED_VALUE"""),"Ангелов")</f>
        <v>Ангелов</v>
      </c>
      <c r="M440" s="8">
        <f>IFERROR(__xludf.DUMMYFUNCTION("""COMPUTED_VALUE"""),43374.0)</f>
        <v>43374</v>
      </c>
      <c r="N440" s="6" t="str">
        <f>IFERROR(__xludf.DUMMYFUNCTION("""COMPUTED_VALUE"""),"NL859270002B01")</f>
        <v>NL859270002B01</v>
      </c>
      <c r="O440" s="6">
        <f>IFERROR(__xludf.DUMMYFUNCTION("""COMPUTED_VALUE"""),7.2876573E7)</f>
        <v>72876573</v>
      </c>
      <c r="P440" s="6" t="str">
        <f>IFERROR(__xludf.DUMMYFUNCTION("""COMPUTED_VALUE"""),"NL67INGB0008591074")</f>
        <v>NL67INGB0008591074</v>
      </c>
      <c r="Q440" s="9">
        <f>IFERROR(__xludf.DUMMYFUNCTION("""COMPUTED_VALUE"""),43391.0)</f>
        <v>43391</v>
      </c>
      <c r="R440" s="6"/>
      <c r="S440" s="6" t="str">
        <f>IFERROR(__xludf.DUMMYFUNCTION("""COMPUTED_VALUE"""),"NL859270002B01")</f>
        <v>NL859270002B01</v>
      </c>
      <c r="T440" s="6">
        <f>IFERROR(__xludf.DUMMYFUNCTION("""COMPUTED_VALUE"""),8.59270002E8)</f>
        <v>859270002</v>
      </c>
      <c r="U440" s="7" t="str">
        <f>IFERROR(__xludf.DUMMYFUNCTION("""COMPUTED_VALUE"""),"Besloten Vennootschap")</f>
        <v>Besloten Vennootschap</v>
      </c>
      <c r="V440" s="7" t="str">
        <f>IFERROR(__xludf.DUMMYFUNCTION("""COMPUTED_VALUE"""),"000029740320")</f>
        <v>000029740320</v>
      </c>
      <c r="W440" s="6" t="str">
        <f>IFERROR(__xludf.DUMMYFUNCTION("""COMPUTED_VALUE"""),"ink.stenlyafbouwbv.2288aa@zarabota.nl")</f>
        <v>ink.stenlyafbouwbv.2288aa@zarabota.nl</v>
      </c>
      <c r="X440" s="6" t="str">
        <f>IFERROR(__xludf.DUMMYFUNCTION("""COMPUTED_VALUE"""),"ver.stenlyafbouwbv.2288aa@zarabota.nl")</f>
        <v>ver.stenlyafbouwbv.2288aa@zarabota.nl</v>
      </c>
      <c r="Y440" s="6" t="str">
        <f>IFERROR(__xludf.DUMMYFUNCTION("""COMPUTED_VALUE"""),"Hr.")</f>
        <v>Hr.</v>
      </c>
      <c r="Z440" s="6" t="str">
        <f>IFERROR(__xludf.DUMMYFUNCTION("""COMPUTED_VALUE"""),"Stanislav Mishev")</f>
        <v>Stanislav Mishev</v>
      </c>
      <c r="AA440" s="6" t="str">
        <f>IFERROR(__xludf.DUMMYFUNCTION("""COMPUTED_VALUE"""),"Angelov")</f>
        <v>Angelov</v>
      </c>
      <c r="AB440" s="6" t="str">
        <f>IFERROR(__xludf.DUMMYFUNCTION("""COMPUTED_VALUE"""),"S.M.")</f>
        <v>S.M.</v>
      </c>
      <c r="AC440" s="6">
        <f>IFERROR(__xludf.DUMMYFUNCTION("""COMPUTED_VALUE"""),4.3767639E8)</f>
        <v>437676390</v>
      </c>
      <c r="AD440" s="9">
        <f>IFERROR(__xludf.DUMMYFUNCTION("""COMPUTED_VALUE"""),33875.0)</f>
        <v>33875</v>
      </c>
      <c r="AE440" s="6" t="str">
        <f>IFERROR(__xludf.DUMMYFUNCTION("""COMPUTED_VALUE"""),"bg")</f>
        <v>bg</v>
      </c>
      <c r="AF440" s="6"/>
      <c r="AG440" s="6" t="str">
        <f>IFERROR(__xludf.DUMMYFUNCTION("""COMPUTED_VALUE"""),"Hr. S.M. Angelov")</f>
        <v>Hr. S.M. Angelov</v>
      </c>
      <c r="AH440" s="6" t="str">
        <f>IFERROR(__xludf.DUMMYFUNCTION("""COMPUTED_VALUE"""),"NL06INGB0792334906")</f>
        <v>NL06INGB0792334906</v>
      </c>
      <c r="AI440" s="6"/>
      <c r="AJ440" s="6" t="str">
        <f>IFERROR(__xludf.DUMMYFUNCTION("""COMPUTED_VALUE"""),"ID Kaart")</f>
        <v>ID Kaart</v>
      </c>
      <c r="AK440" s="6"/>
      <c r="AL440" s="6"/>
      <c r="AM440" s="6" t="str">
        <f>IFERROR(__xludf.DUMMYFUNCTION("""COMPUTED_VALUE"""),"Bulgarije")</f>
        <v>Bulgarije</v>
      </c>
      <c r="AN440" s="6" t="str">
        <f>IFERROR(__xludf.DUMMYFUNCTION("""COMPUTED_VALUE"""),"Stanislav Mishev Angelov")</f>
        <v>Stanislav Mishev Angelov</v>
      </c>
      <c r="AO440" s="6"/>
    </row>
    <row r="441">
      <c r="A441" s="6" t="str">
        <f>IFERROR(__xludf.DUMMYFUNCTION("""COMPUTED_VALUE"""),"Stenly Beheer B.V.")</f>
        <v>Stenly Beheer B.V.</v>
      </c>
      <c r="B441" s="6" t="str">
        <f>IFERROR(__xludf.DUMMYFUNCTION("""COMPUTED_VALUE"""),"Stenly Beheer B.V.")</f>
        <v>Stenly Beheer B.V.</v>
      </c>
      <c r="C441" s="6">
        <f>IFERROR(__xludf.DUMMYFUNCTION("""COMPUTED_VALUE"""),645.0)</f>
        <v>645</v>
      </c>
      <c r="D441" s="7" t="str">
        <f>IFERROR(__xludf.DUMMYFUNCTION("""COMPUTED_VALUE"""),"Stanislav Mishev Angelov")</f>
        <v>Stanislav Mishev Angelov</v>
      </c>
      <c r="E441" s="7" t="str">
        <f>IFERROR(__xludf.DUMMYFUNCTION("""COMPUTED_VALUE"""),"SBI-code: 4120 - Algemene burgerlijke en utiliteitsbouw")</f>
        <v>SBI-code: 4120 - Algemene burgerlijke en utiliteitsbouw</v>
      </c>
      <c r="F441" s="7" t="str">
        <f>IFERROR(__xludf.DUMMYFUNCTION("""COMPUTED_VALUE"""),"0685473751")</f>
        <v>0685473751</v>
      </c>
      <c r="G441" s="6" t="str">
        <f>IFERROR(__xludf.DUMMYFUNCTION("""COMPUTED_VALUE"""),"stenlybeheer@gmail.com")</f>
        <v>stenlybeheer@gmail.com</v>
      </c>
      <c r="H441" s="6" t="str">
        <f>IFERROR(__xludf.DUMMYFUNCTION("""COMPUTED_VALUE"""),"Schaarsbergenstraat 107")</f>
        <v>Schaarsbergenstraat 107</v>
      </c>
      <c r="I441" s="6" t="str">
        <f>IFERROR(__xludf.DUMMYFUNCTION("""COMPUTED_VALUE"""),"2573 BR")</f>
        <v>2573 BR</v>
      </c>
      <c r="J441" s="6" t="str">
        <f>IFERROR(__xludf.DUMMYFUNCTION("""COMPUTED_VALUE"""),"Den Haag")</f>
        <v>Den Haag</v>
      </c>
      <c r="K441" s="6" t="str">
        <f>IFERROR(__xludf.DUMMYFUNCTION("""COMPUTED_VALUE"""),"Nederland")</f>
        <v>Nederland</v>
      </c>
      <c r="L441" s="6" t="str">
        <f>IFERROR(__xludf.DUMMYFUNCTION("""COMPUTED_VALUE"""),"Ангелов")</f>
        <v>Ангелов</v>
      </c>
      <c r="M441" s="8">
        <f>IFERROR(__xludf.DUMMYFUNCTION("""COMPUTED_VALUE"""),43391.0)</f>
        <v>43391</v>
      </c>
      <c r="N441" s="6" t="str">
        <f>IFERROR(__xludf.DUMMYFUNCTION("""COMPUTED_VALUE"""),"NL859269929B01")</f>
        <v>NL859269929B01</v>
      </c>
      <c r="O441" s="6">
        <f>IFERROR(__xludf.DUMMYFUNCTION("""COMPUTED_VALUE"""),7.2876344E7)</f>
        <v>72876344</v>
      </c>
      <c r="P441" s="6" t="str">
        <f>IFERROR(__xludf.DUMMYFUNCTION("""COMPUTED_VALUE"""),"NL17INGB0008591101")</f>
        <v>NL17INGB0008591101</v>
      </c>
      <c r="Q441" s="9">
        <f>IFERROR(__xludf.DUMMYFUNCTION("""COMPUTED_VALUE"""),43391.0)</f>
        <v>43391</v>
      </c>
      <c r="R441" s="6"/>
      <c r="S441" s="6" t="str">
        <f>IFERROR(__xludf.DUMMYFUNCTION("""COMPUTED_VALUE"""),"NL859269929B01")</f>
        <v>NL859269929B01</v>
      </c>
      <c r="T441" s="6">
        <f>IFERROR(__xludf.DUMMYFUNCTION("""COMPUTED_VALUE"""),8.59269929E8)</f>
        <v>859269929</v>
      </c>
      <c r="U441" s="7" t="str">
        <f>IFERROR(__xludf.DUMMYFUNCTION("""COMPUTED_VALUE"""),"Besloten Vennootschap")</f>
        <v>Besloten Vennootschap</v>
      </c>
      <c r="V441" s="7" t="str">
        <f>IFERROR(__xludf.DUMMYFUNCTION("""COMPUTED_VALUE"""),"000029740320")</f>
        <v>000029740320</v>
      </c>
      <c r="W441" s="6" t="str">
        <f>IFERROR(__xludf.DUMMYFUNCTION("""COMPUTED_VALUE"""),"ink.stenlybeheerbv.2288aa@zarabota.nl")</f>
        <v>ink.stenlybeheerbv.2288aa@zarabota.nl</v>
      </c>
      <c r="X441" s="6" t="str">
        <f>IFERROR(__xludf.DUMMYFUNCTION("""COMPUTED_VALUE"""),"ver.stenlybeheerbv.2288aa@zarabota.nl")</f>
        <v>ver.stenlybeheerbv.2288aa@zarabota.nl</v>
      </c>
      <c r="Y441" s="6" t="str">
        <f>IFERROR(__xludf.DUMMYFUNCTION("""COMPUTED_VALUE"""),"Hr.")</f>
        <v>Hr.</v>
      </c>
      <c r="Z441" s="6" t="str">
        <f>IFERROR(__xludf.DUMMYFUNCTION("""COMPUTED_VALUE"""),"Stanislav Mishev")</f>
        <v>Stanislav Mishev</v>
      </c>
      <c r="AA441" s="6" t="str">
        <f>IFERROR(__xludf.DUMMYFUNCTION("""COMPUTED_VALUE"""),"Angelov")</f>
        <v>Angelov</v>
      </c>
      <c r="AB441" s="6" t="str">
        <f>IFERROR(__xludf.DUMMYFUNCTION("""COMPUTED_VALUE"""),"S.M.")</f>
        <v>S.M.</v>
      </c>
      <c r="AC441" s="6">
        <f>IFERROR(__xludf.DUMMYFUNCTION("""COMPUTED_VALUE"""),4.3767639E8)</f>
        <v>437676390</v>
      </c>
      <c r="AD441" s="9">
        <f>IFERROR(__xludf.DUMMYFUNCTION("""COMPUTED_VALUE"""),33875.0)</f>
        <v>33875</v>
      </c>
      <c r="AE441" s="6" t="str">
        <f>IFERROR(__xludf.DUMMYFUNCTION("""COMPUTED_VALUE"""),"bg")</f>
        <v>bg</v>
      </c>
      <c r="AF441" s="6"/>
      <c r="AG441" s="6" t="str">
        <f>IFERROR(__xludf.DUMMYFUNCTION("""COMPUTED_VALUE"""),"Hr. S.M. Angelov")</f>
        <v>Hr. S.M. Angelov</v>
      </c>
      <c r="AH441" s="6" t="str">
        <f>IFERROR(__xludf.DUMMYFUNCTION("""COMPUTED_VALUE"""),"NL06INGB0792334906")</f>
        <v>NL06INGB0792334906</v>
      </c>
      <c r="AI441" s="6"/>
      <c r="AJ441" s="6" t="str">
        <f>IFERROR(__xludf.DUMMYFUNCTION("""COMPUTED_VALUE"""),"ID Kaart")</f>
        <v>ID Kaart</v>
      </c>
      <c r="AK441" s="6"/>
      <c r="AL441" s="6"/>
      <c r="AM441" s="6" t="str">
        <f>IFERROR(__xludf.DUMMYFUNCTION("""COMPUTED_VALUE"""),"Bulgarije")</f>
        <v>Bulgarije</v>
      </c>
      <c r="AN441" s="6" t="str">
        <f>IFERROR(__xludf.DUMMYFUNCTION("""COMPUTED_VALUE"""),"Stanislav Mishev Angelov")</f>
        <v>Stanislav Mishev Angelov</v>
      </c>
      <c r="AO441" s="6"/>
    </row>
    <row r="442">
      <c r="A442" s="6" t="str">
        <f>IFERROR(__xludf.DUMMYFUNCTION("""COMPUTED_VALUE"""),"Stenly Uitzendbureau B.V.")</f>
        <v>Stenly Uitzendbureau B.V.</v>
      </c>
      <c r="B442" s="6" t="str">
        <f>IFERROR(__xludf.DUMMYFUNCTION("""COMPUTED_VALUE"""),"Stenly Uitzendbureau B.V.")</f>
        <v>Stenly Uitzendbureau B.V.</v>
      </c>
      <c r="C442" s="6">
        <f>IFERROR(__xludf.DUMMYFUNCTION("""COMPUTED_VALUE"""),1415.0)</f>
        <v>1415</v>
      </c>
      <c r="D442" s="7" t="str">
        <f>IFERROR(__xludf.DUMMYFUNCTION("""COMPUTED_VALUE"""),"Stanislav Mishev Angelov")</f>
        <v>Stanislav Mishev Angelov</v>
      </c>
      <c r="E442" s="7" t="str">
        <f>IFERROR(__xludf.DUMMYFUNCTION("""COMPUTED_VALUE"""),"SBI-code: 4120 - Algemene burgerlijke en utiliteitsbouw")</f>
        <v>SBI-code: 4120 - Algemene burgerlijke en utiliteitsbouw</v>
      </c>
      <c r="F442" s="7" t="str">
        <f>IFERROR(__xludf.DUMMYFUNCTION("""COMPUTED_VALUE"""),"+31685473751")</f>
        <v>+31685473751</v>
      </c>
      <c r="G442" s="6" t="str">
        <f>IFERROR(__xludf.DUMMYFUNCTION("""COMPUTED_VALUE"""),"stenlyub@zzp-nl.nl")</f>
        <v>stenlyub@zzp-nl.nl</v>
      </c>
      <c r="H442" s="6" t="str">
        <f>IFERROR(__xludf.DUMMYFUNCTION("""COMPUTED_VALUE"""),"Schaarsbergenstraat 107")</f>
        <v>Schaarsbergenstraat 107</v>
      </c>
      <c r="I442" s="6" t="str">
        <f>IFERROR(__xludf.DUMMYFUNCTION("""COMPUTED_VALUE"""),"2573BR")</f>
        <v>2573BR</v>
      </c>
      <c r="J442" s="6" t="str">
        <f>IFERROR(__xludf.DUMMYFUNCTION("""COMPUTED_VALUE"""),"s-Gravenhage")</f>
        <v>s-Gravenhage</v>
      </c>
      <c r="K442" s="6" t="str">
        <f>IFERROR(__xludf.DUMMYFUNCTION("""COMPUTED_VALUE"""),"Nederland")</f>
        <v>Nederland</v>
      </c>
      <c r="L442" s="6" t="str">
        <f>IFERROR(__xludf.DUMMYFUNCTION("""COMPUTED_VALUE"""),"Ангелов")</f>
        <v>Ангелов</v>
      </c>
      <c r="M442" s="8">
        <f>IFERROR(__xludf.DUMMYFUNCTION("""COMPUTED_VALUE"""),44834.0)</f>
        <v>44834</v>
      </c>
      <c r="N442" s="6" t="str">
        <f>IFERROR(__xludf.DUMMYFUNCTION("""COMPUTED_VALUE"""),"NL864390087B01")</f>
        <v>NL864390087B01</v>
      </c>
      <c r="O442" s="6">
        <f>IFERROR(__xludf.DUMMYFUNCTION("""COMPUTED_VALUE"""),8.7736667E7)</f>
        <v>87736667</v>
      </c>
      <c r="P442" s="6" t="str">
        <f>IFERROR(__xludf.DUMMYFUNCTION("""COMPUTED_VALUE"""),"NL")</f>
        <v>NL</v>
      </c>
      <c r="Q442" s="9">
        <f>IFERROR(__xludf.DUMMYFUNCTION("""COMPUTED_VALUE"""),44834.0)</f>
        <v>44834</v>
      </c>
      <c r="R442" s="6"/>
      <c r="S442" s="6" t="str">
        <f>IFERROR(__xludf.DUMMYFUNCTION("""COMPUTED_VALUE"""),"NL864390087B01")</f>
        <v>NL864390087B01</v>
      </c>
      <c r="T442" s="6">
        <f>IFERROR(__xludf.DUMMYFUNCTION("""COMPUTED_VALUE"""),8.64390087E8)</f>
        <v>864390087</v>
      </c>
      <c r="U442" s="7" t="str">
        <f>IFERROR(__xludf.DUMMYFUNCTION("""COMPUTED_VALUE"""),"Besloten Vennootschap")</f>
        <v>Besloten Vennootschap</v>
      </c>
      <c r="V442" s="7" t="str">
        <f>IFERROR(__xludf.DUMMYFUNCTION("""COMPUTED_VALUE"""),"000053635175")</f>
        <v>000053635175</v>
      </c>
      <c r="W442" s="6" t="str">
        <f>IFERROR(__xludf.DUMMYFUNCTION("""COMPUTED_VALUE"""),"ink.stenlyub.2288aa@zarabota.nl")</f>
        <v>ink.stenlyub.2288aa@zarabota.nl</v>
      </c>
      <c r="X442" s="6" t="str">
        <f>IFERROR(__xludf.DUMMYFUNCTION("""COMPUTED_VALUE"""),"ver.stenlyub.2288aa@zarabota.nl")</f>
        <v>ver.stenlyub.2288aa@zarabota.nl</v>
      </c>
      <c r="Y442" s="6" t="str">
        <f>IFERROR(__xludf.DUMMYFUNCTION("""COMPUTED_VALUE"""),"Hr.")</f>
        <v>Hr.</v>
      </c>
      <c r="Z442" s="6" t="str">
        <f>IFERROR(__xludf.DUMMYFUNCTION("""COMPUTED_VALUE"""),"Stanislav Mishev")</f>
        <v>Stanislav Mishev</v>
      </c>
      <c r="AA442" s="6" t="str">
        <f>IFERROR(__xludf.DUMMYFUNCTION("""COMPUTED_VALUE"""),"Angelov")</f>
        <v>Angelov</v>
      </c>
      <c r="AB442" s="6" t="str">
        <f>IFERROR(__xludf.DUMMYFUNCTION("""COMPUTED_VALUE"""),"S.M.")</f>
        <v>S.M.</v>
      </c>
      <c r="AC442" s="6">
        <f>IFERROR(__xludf.DUMMYFUNCTION("""COMPUTED_VALUE"""),4.3767639E8)</f>
        <v>437676390</v>
      </c>
      <c r="AD442" s="9">
        <f>IFERROR(__xludf.DUMMYFUNCTION("""COMPUTED_VALUE"""),33875.0)</f>
        <v>33875</v>
      </c>
      <c r="AE442" s="6" t="str">
        <f>IFERROR(__xludf.DUMMYFUNCTION("""COMPUTED_VALUE"""),"bg")</f>
        <v>bg</v>
      </c>
      <c r="AF442" s="6"/>
      <c r="AG442" s="6" t="str">
        <f>IFERROR(__xludf.DUMMYFUNCTION("""COMPUTED_VALUE"""),"Hr. S.M. Angelov")</f>
        <v>Hr. S.M. Angelov</v>
      </c>
      <c r="AH442" s="6" t="str">
        <f>IFERROR(__xludf.DUMMYFUNCTION("""COMPUTED_VALUE"""),"NL06INGB0792334906")</f>
        <v>NL06INGB0792334906</v>
      </c>
      <c r="AI442" s="6"/>
      <c r="AJ442" s="6" t="str">
        <f>IFERROR(__xludf.DUMMYFUNCTION("""COMPUTED_VALUE"""),"ID Kaart")</f>
        <v>ID Kaart</v>
      </c>
      <c r="AK442" s="6"/>
      <c r="AL442" s="6"/>
      <c r="AM442" s="6" t="str">
        <f>IFERROR(__xludf.DUMMYFUNCTION("""COMPUTED_VALUE"""),"Bulgarije")</f>
        <v>Bulgarije</v>
      </c>
      <c r="AN442" s="6" t="str">
        <f>IFERROR(__xludf.DUMMYFUNCTION("""COMPUTED_VALUE"""),"Stanislav Mishev Angelov")</f>
        <v>Stanislav Mishev Angelov</v>
      </c>
      <c r="AO442" s="6">
        <f>IFERROR(__xludf.DUMMYFUNCTION("""COMPUTED_VALUE"""),1415.0)</f>
        <v>1415</v>
      </c>
    </row>
    <row r="443">
      <c r="A443" s="6" t="str">
        <f>IFERROR(__xludf.DUMMYFUNCTION("""COMPUTED_VALUE"""),"Stichting Culturele Brug")</f>
        <v>Stichting Culturele Brug</v>
      </c>
      <c r="B443" s="6" t="str">
        <f>IFERROR(__xludf.DUMMYFUNCTION("""COMPUTED_VALUE"""),"Stichting Culturele Brug")</f>
        <v>Stichting Culturele Brug</v>
      </c>
      <c r="C443" s="6">
        <f>IFERROR(__xludf.DUMMYFUNCTION("""COMPUTED_VALUE"""),1725.0)</f>
        <v>1725</v>
      </c>
      <c r="D443" s="7" t="str">
        <f>IFERROR(__xludf.DUMMYFUNCTION("""COMPUTED_VALUE"""),"Svetlana Ognyanova Hrabrova")</f>
        <v>Svetlana Ognyanova Hrabrova</v>
      </c>
      <c r="E443" s="6"/>
      <c r="F443" s="7" t="str">
        <f>IFERROR(__xludf.DUMMYFUNCTION("""COMPUTED_VALUE"""),"+359895466098")</f>
        <v>+359895466098</v>
      </c>
      <c r="G443" s="6" t="str">
        <f>IFERROR(__xludf.DUMMYFUNCTION("""COMPUTED_VALUE"""),"hrabrova@abv.bg")</f>
        <v>hrabrova@abv.bg</v>
      </c>
      <c r="H443" s="6" t="str">
        <f>IFERROR(__xludf.DUMMYFUNCTION("""COMPUTED_VALUE"""),"Kervelhof 12")</f>
        <v>Kervelhof 12</v>
      </c>
      <c r="I443" s="6" t="str">
        <f>IFERROR(__xludf.DUMMYFUNCTION("""COMPUTED_VALUE"""),"3193JH ")</f>
        <v>3193JH </v>
      </c>
      <c r="J443" s="6" t="str">
        <f>IFERROR(__xludf.DUMMYFUNCTION("""COMPUTED_VALUE"""),"Hoogvliet Rotterdam")</f>
        <v>Hoogvliet Rotterdam</v>
      </c>
      <c r="K443" s="6" t="str">
        <f>IFERROR(__xludf.DUMMYFUNCTION("""COMPUTED_VALUE"""),"Nederland")</f>
        <v>Nederland</v>
      </c>
      <c r="L443" s="6" t="str">
        <f>IFERROR(__xludf.DUMMYFUNCTION("""COMPUTED_VALUE"""),"Храброва")</f>
        <v>Храброва</v>
      </c>
      <c r="M443" s="8">
        <f>IFERROR(__xludf.DUMMYFUNCTION("""COMPUTED_VALUE"""),45875.0)</f>
        <v>45875</v>
      </c>
      <c r="N443" s="6" t="str">
        <f>IFERROR(__xludf.DUMMYFUNCTION("""COMPUTED_VALUE"""),"NL868315060B01")</f>
        <v>NL868315060B01</v>
      </c>
      <c r="O443" s="6">
        <f>IFERROR(__xludf.DUMMYFUNCTION("""COMPUTED_VALUE"""),9.7990191E7)</f>
        <v>97990191</v>
      </c>
      <c r="P443" s="6" t="str">
        <f>IFERROR(__xludf.DUMMYFUNCTION("""COMPUTED_VALUE"""),"NL21ABNA0149054262")</f>
        <v>NL21ABNA0149054262</v>
      </c>
      <c r="Q443" s="9">
        <f>IFERROR(__xludf.DUMMYFUNCTION("""COMPUTED_VALUE"""),45875.0)</f>
        <v>45875</v>
      </c>
      <c r="R443" s="6"/>
      <c r="S443" s="6" t="str">
        <f>IFERROR(__xludf.DUMMYFUNCTION("""COMPUTED_VALUE"""),"NL868315060B01")</f>
        <v>NL868315060B01</v>
      </c>
      <c r="T443" s="6">
        <f>IFERROR(__xludf.DUMMYFUNCTION("""COMPUTED_VALUE"""),8.6831506E8)</f>
        <v>868315060</v>
      </c>
      <c r="U443" s="7" t="str">
        <f>IFERROR(__xludf.DUMMYFUNCTION("""COMPUTED_VALUE"""),"Stichting")</f>
        <v>Stichting</v>
      </c>
      <c r="V443" s="6"/>
      <c r="W443" s="6" t="str">
        <f>IFERROR(__xludf.DUMMYFUNCTION("""COMPUTED_VALUE"""),"ink.culturelebrug.2288aa@zarabota.nl")</f>
        <v>ink.culturelebrug.2288aa@zarabota.nl</v>
      </c>
      <c r="X443" s="6" t="str">
        <f>IFERROR(__xludf.DUMMYFUNCTION("""COMPUTED_VALUE"""),"ver.culturelebrug.2288aa@zarabota.nl")</f>
        <v>ver.culturelebrug.2288aa@zarabota.nl</v>
      </c>
      <c r="Y443" s="6" t="str">
        <f>IFERROR(__xludf.DUMMYFUNCTION("""COMPUTED_VALUE"""),"Mw.")</f>
        <v>Mw.</v>
      </c>
      <c r="Z443" s="6" t="str">
        <f>IFERROR(__xludf.DUMMYFUNCTION("""COMPUTED_VALUE"""),"Svetlana Ognyanova")</f>
        <v>Svetlana Ognyanova</v>
      </c>
      <c r="AA443" s="6" t="str">
        <f>IFERROR(__xludf.DUMMYFUNCTION("""COMPUTED_VALUE"""),"Hrabrova")</f>
        <v>Hrabrova</v>
      </c>
      <c r="AB443" s="6" t="str">
        <f>IFERROR(__xludf.DUMMYFUNCTION("""COMPUTED_VALUE"""),"S.O.")</f>
        <v>S.O.</v>
      </c>
      <c r="AC443" s="6">
        <f>IFERROR(__xludf.DUMMYFUNCTION("""COMPUTED_VALUE"""),5.94801308E8)</f>
        <v>594801308</v>
      </c>
      <c r="AD443" s="9">
        <f>IFERROR(__xludf.DUMMYFUNCTION("""COMPUTED_VALUE"""),27353.0)</f>
        <v>27353</v>
      </c>
      <c r="AE443" s="6" t="str">
        <f>IFERROR(__xludf.DUMMYFUNCTION("""COMPUTED_VALUE"""),"bg")</f>
        <v>bg</v>
      </c>
      <c r="AF443" s="6"/>
      <c r="AG443" s="6" t="str">
        <f>IFERROR(__xludf.DUMMYFUNCTION("""COMPUTED_VALUE"""),"Mw. S.O. Hrabrova")</f>
        <v>Mw. S.O. Hrabrova</v>
      </c>
      <c r="AH443" s="6"/>
      <c r="AI443" s="6"/>
      <c r="AJ443" s="6" t="str">
        <f>IFERROR(__xludf.DUMMYFUNCTION("""COMPUTED_VALUE"""),"ID Kaart")</f>
        <v>ID Kaart</v>
      </c>
      <c r="AK443" s="6"/>
      <c r="AL443" s="6"/>
      <c r="AM443" s="6" t="str">
        <f>IFERROR(__xludf.DUMMYFUNCTION("""COMPUTED_VALUE"""),"Bulgarije")</f>
        <v>Bulgarije</v>
      </c>
      <c r="AN443" s="6" t="str">
        <f>IFERROR(__xludf.DUMMYFUNCTION("""COMPUTED_VALUE"""),"Svetlana Ognyanova Hrabrova")</f>
        <v>Svetlana Ognyanova Hrabrova</v>
      </c>
      <c r="AO443" s="6">
        <f>IFERROR(__xludf.DUMMYFUNCTION("""COMPUTED_VALUE"""),1725.0)</f>
        <v>1725</v>
      </c>
    </row>
    <row r="444">
      <c r="A444" s="6" t="str">
        <f>IFERROR(__xludf.DUMMYFUNCTION("""COMPUTED_VALUE"""),"Stichting EUnation")</f>
        <v>Stichting EUnation</v>
      </c>
      <c r="B444" s="6" t="str">
        <f>IFERROR(__xludf.DUMMYFUNCTION("""COMPUTED_VALUE"""),"Stichting EUnation")</f>
        <v>Stichting EUnation</v>
      </c>
      <c r="C444" s="6">
        <f>IFERROR(__xludf.DUMMYFUNCTION("""COMPUTED_VALUE"""),613.0)</f>
        <v>613</v>
      </c>
      <c r="D444" s="7" t="str">
        <f>IFERROR(__xludf.DUMMYFUNCTION("""COMPUTED_VALUE"""),"Boratech BV")</f>
        <v>Boratech BV</v>
      </c>
      <c r="E444" s="7" t="str">
        <f>IFERROR(__xludf.DUMMYFUNCTION("""COMPUTED_VALUE"""),"SBI-code: 4120 - Algemene burgerlijke en utiliteitsbouw")</f>
        <v>SBI-code: 4120 - Algemene burgerlijke en utiliteitsbouw</v>
      </c>
      <c r="F444" s="7" t="str">
        <f>IFERROR(__xludf.DUMMYFUNCTION("""COMPUTED_VALUE"""),"0707505651")</f>
        <v>0707505651</v>
      </c>
      <c r="G444" s="6" t="str">
        <f>IFERROR(__xludf.DUMMYFUNCTION("""COMPUTED_VALUE"""),"info@eunation.nl")</f>
        <v>info@eunation.nl</v>
      </c>
      <c r="H444" s="6" t="str">
        <f>IFERROR(__xludf.DUMMYFUNCTION("""COMPUTED_VALUE"""),"Veraartlaan 4")</f>
        <v>Veraartlaan 4</v>
      </c>
      <c r="I444" s="6" t="str">
        <f>IFERROR(__xludf.DUMMYFUNCTION("""COMPUTED_VALUE"""),"2288GM")</f>
        <v>2288GM</v>
      </c>
      <c r="J444" s="6" t="str">
        <f>IFERROR(__xludf.DUMMYFUNCTION("""COMPUTED_VALUE"""),"Rijswijk")</f>
        <v>Rijswijk</v>
      </c>
      <c r="K444" s="6" t="str">
        <f>IFERROR(__xludf.DUMMYFUNCTION("""COMPUTED_VALUE"""),"Nederland")</f>
        <v>Nederland</v>
      </c>
      <c r="L444" s="6" t="str">
        <f>IFERROR(__xludf.DUMMYFUNCTION("""COMPUTED_VALUE"""),"Рангелов")</f>
        <v>Рангелов</v>
      </c>
      <c r="M444" s="8">
        <f>IFERROR(__xludf.DUMMYFUNCTION("""COMPUTED_VALUE"""),43311.0)</f>
        <v>43311</v>
      </c>
      <c r="N444" s="6" t="str">
        <f>IFERROR(__xludf.DUMMYFUNCTION("""COMPUTED_VALUE"""),"NL859047374B01")</f>
        <v>NL859047374B01</v>
      </c>
      <c r="O444" s="6">
        <f>IFERROR(__xludf.DUMMYFUNCTION("""COMPUTED_VALUE"""),7.2252375E7)</f>
        <v>72252375</v>
      </c>
      <c r="P444" s="6" t="str">
        <f>IFERROR(__xludf.DUMMYFUNCTION("""COMPUTED_VALUE"""),"NL12ABNA0829893253")</f>
        <v>NL12ABNA0829893253</v>
      </c>
      <c r="Q444" s="9">
        <f>IFERROR(__xludf.DUMMYFUNCTION("""COMPUTED_VALUE"""),43311.0)</f>
        <v>43311</v>
      </c>
      <c r="R444" s="6"/>
      <c r="S444" s="6" t="str">
        <f>IFERROR(__xludf.DUMMYFUNCTION("""COMPUTED_VALUE"""),"NL859047374B01")</f>
        <v>NL859047374B01</v>
      </c>
      <c r="T444" s="6">
        <f>IFERROR(__xludf.DUMMYFUNCTION("""COMPUTED_VALUE"""),8.59047374E8)</f>
        <v>859047374</v>
      </c>
      <c r="U444" s="7" t="str">
        <f>IFERROR(__xludf.DUMMYFUNCTION("""COMPUTED_VALUE"""),"Eenmanszaak")</f>
        <v>Eenmanszaak</v>
      </c>
      <c r="V444" s="6"/>
      <c r="W444" s="6" t="str">
        <f>IFERROR(__xludf.DUMMYFUNCTION("""COMPUTED_VALUE"""),"ink.stichtingeunation.2288aa@zarabota.nl")</f>
        <v>ink.stichtingeunation.2288aa@zarabota.nl</v>
      </c>
      <c r="X444" s="6" t="str">
        <f>IFERROR(__xludf.DUMMYFUNCTION("""COMPUTED_VALUE"""),"ver.stichtingeunation.2288aa@zarabota.nl")</f>
        <v>ver.stichtingeunation.2288aa@zarabota.nl</v>
      </c>
      <c r="Y444" s="6" t="str">
        <f>IFERROR(__xludf.DUMMYFUNCTION("""COMPUTED_VALUE"""),"Hr.")</f>
        <v>Hr.</v>
      </c>
      <c r="Z444" s="6" t="str">
        <f>IFERROR(__xludf.DUMMYFUNCTION("""COMPUTED_VALUE"""),"Evgeny Jivkov")</f>
        <v>Evgeny Jivkov</v>
      </c>
      <c r="AA444" s="6" t="str">
        <f>IFERROR(__xludf.DUMMYFUNCTION("""COMPUTED_VALUE"""),"Rangelov")</f>
        <v>Rangelov</v>
      </c>
      <c r="AB444" s="6" t="str">
        <f>IFERROR(__xludf.DUMMYFUNCTION("""COMPUTED_VALUE"""),"E.J.")</f>
        <v>E.J.</v>
      </c>
      <c r="AC444" s="6">
        <f>IFERROR(__xludf.DUMMYFUNCTION("""COMPUTED_VALUE"""),1.26248175E8)</f>
        <v>126248175</v>
      </c>
      <c r="AD444" s="9">
        <f>IFERROR(__xludf.DUMMYFUNCTION("""COMPUTED_VALUE"""),22107.0)</f>
        <v>22107</v>
      </c>
      <c r="AE444" s="6" t="str">
        <f>IFERROR(__xludf.DUMMYFUNCTION("""COMPUTED_VALUE"""),"bg")</f>
        <v>bg</v>
      </c>
      <c r="AF444" s="6" t="str">
        <f>IFERROR(__xludf.DUMMYFUNCTION("""COMPUTED_VALUE"""),"Varna")</f>
        <v>Varna</v>
      </c>
      <c r="AG444" s="6" t="str">
        <f>IFERROR(__xludf.DUMMYFUNCTION("""COMPUTED_VALUE"""),"Hr. E.J. Rangelov")</f>
        <v>Hr. E.J. Rangelov</v>
      </c>
      <c r="AH444" s="6" t="str">
        <f>IFERROR(__xludf.DUMMYFUNCTION("""COMPUTED_VALUE"""),"NL35ABNA0561170053")</f>
        <v>NL35ABNA0561170053</v>
      </c>
      <c r="AI444" s="6"/>
      <c r="AJ444" s="6"/>
      <c r="AK444" s="6"/>
      <c r="AL444" s="6"/>
      <c r="AM444" s="6" t="str">
        <f>IFERROR(__xludf.DUMMYFUNCTION("""COMPUTED_VALUE"""),"Bulgarije")</f>
        <v>Bulgarije</v>
      </c>
      <c r="AN444" s="6" t="str">
        <f>IFERROR(__xludf.DUMMYFUNCTION("""COMPUTED_VALUE"""),"Evgeny Jivkov Rangelov")</f>
        <v>Evgeny Jivkov Rangelov</v>
      </c>
      <c r="AO444" s="6"/>
    </row>
    <row r="445">
      <c r="A445" s="6" t="str">
        <f>IFERROR(__xludf.DUMMYFUNCTION("""COMPUTED_VALUE"""),"STIL 19 VOF")</f>
        <v>STIL 19 VOF</v>
      </c>
      <c r="B445" s="6" t="str">
        <f>IFERROR(__xludf.DUMMYFUNCTION("""COMPUTED_VALUE"""),"STIL 19 VOF")</f>
        <v>STIL 19 VOF</v>
      </c>
      <c r="C445" s="6">
        <f>IFERROR(__xludf.DUMMYFUNCTION("""COMPUTED_VALUE"""),986.0)</f>
        <v>986</v>
      </c>
      <c r="D445" s="7" t="str">
        <f>IFERROR(__xludf.DUMMYFUNCTION("""COMPUTED_VALUE"""),"Atanas Stoilov Trendafilov")</f>
        <v>Atanas Stoilov Trendafilov</v>
      </c>
      <c r="E445" s="7" t="str">
        <f>IFERROR(__xludf.DUMMYFUNCTION("""COMPUTED_VALUE"""),"SBI-code: 4120 - Algemene burgerlijke en utiliteitsbouw")</f>
        <v>SBI-code: 4120 - Algemene burgerlijke en utiliteitsbouw</v>
      </c>
      <c r="F445" s="7" t="str">
        <f>IFERROR(__xludf.DUMMYFUNCTION("""COMPUTED_VALUE"""),"0684628310")</f>
        <v>0684628310</v>
      </c>
      <c r="G445" s="6" t="str">
        <f>IFERROR(__xludf.DUMMYFUNCTION("""COMPUTED_VALUE"""),"trendafilov0404@gmail.com")</f>
        <v>trendafilov0404@gmail.com</v>
      </c>
      <c r="H445" s="6" t="str">
        <f>IFERROR(__xludf.DUMMYFUNCTION("""COMPUTED_VALUE"""),"van Zeggelenlaan 369")</f>
        <v>van Zeggelenlaan 369</v>
      </c>
      <c r="I445" s="6" t="str">
        <f>IFERROR(__xludf.DUMMYFUNCTION("""COMPUTED_VALUE"""),"2524AL")</f>
        <v>2524AL</v>
      </c>
      <c r="J445" s="6" t="str">
        <f>IFERROR(__xludf.DUMMYFUNCTION("""COMPUTED_VALUE"""),"s-Gravenhage")</f>
        <v>s-Gravenhage</v>
      </c>
      <c r="K445" s="6" t="str">
        <f>IFERROR(__xludf.DUMMYFUNCTION("""COMPUTED_VALUE"""),"Nederland")</f>
        <v>Nederland</v>
      </c>
      <c r="L445" s="6" t="str">
        <f>IFERROR(__xludf.DUMMYFUNCTION("""COMPUTED_VALUE"""),"Трендафилов")</f>
        <v>Трендафилов</v>
      </c>
      <c r="M445" s="8">
        <f>IFERROR(__xludf.DUMMYFUNCTION("""COMPUTED_VALUE"""),43996.0)</f>
        <v>43996</v>
      </c>
      <c r="N445" s="6" t="str">
        <f>IFERROR(__xludf.DUMMYFUNCTION("""COMPUTED_VALUE"""),"NL861338728B01")</f>
        <v>NL861338728B01</v>
      </c>
      <c r="O445" s="6">
        <f>IFERROR(__xludf.DUMMYFUNCTION("""COMPUTED_VALUE"""),7.830337E7)</f>
        <v>78303370</v>
      </c>
      <c r="P445" s="6" t="str">
        <f>IFERROR(__xludf.DUMMYFUNCTION("""COMPUTED_VALUE"""),"NL21INGB0007120509")</f>
        <v>NL21INGB0007120509</v>
      </c>
      <c r="Q445" s="9">
        <f>IFERROR(__xludf.DUMMYFUNCTION("""COMPUTED_VALUE"""),43997.0)</f>
        <v>43997</v>
      </c>
      <c r="R445" s="6"/>
      <c r="S445" s="6" t="str">
        <f>IFERROR(__xludf.DUMMYFUNCTION("""COMPUTED_VALUE"""),"NL861338728B01")</f>
        <v>NL861338728B01</v>
      </c>
      <c r="T445" s="6">
        <f>IFERROR(__xludf.DUMMYFUNCTION("""COMPUTED_VALUE"""),8.61338728E8)</f>
        <v>861338728</v>
      </c>
      <c r="U445" s="7" t="str">
        <f>IFERROR(__xludf.DUMMYFUNCTION("""COMPUTED_VALUE"""),"Vennootschap Onder Firma")</f>
        <v>Vennootschap Onder Firma</v>
      </c>
      <c r="V445" s="7" t="str">
        <f>IFERROR(__xludf.DUMMYFUNCTION("""COMPUTED_VALUE"""),"000045943036")</f>
        <v>000045943036</v>
      </c>
      <c r="W445" s="6" t="str">
        <f>IFERROR(__xludf.DUMMYFUNCTION("""COMPUTED_VALUE"""),"ink.stil19vof.2288aa@zarabota.nl")</f>
        <v>ink.stil19vof.2288aa@zarabota.nl</v>
      </c>
      <c r="X445" s="6" t="str">
        <f>IFERROR(__xludf.DUMMYFUNCTION("""COMPUTED_VALUE"""),"ver.stil19vof.2288aa@zarabota.nl")</f>
        <v>ver.stil19vof.2288aa@zarabota.nl</v>
      </c>
      <c r="Y445" s="6" t="str">
        <f>IFERROR(__xludf.DUMMYFUNCTION("""COMPUTED_VALUE"""),"Hr.")</f>
        <v>Hr.</v>
      </c>
      <c r="Z445" s="6" t="str">
        <f>IFERROR(__xludf.DUMMYFUNCTION("""COMPUTED_VALUE"""),"Atanas Stoilov")</f>
        <v>Atanas Stoilov</v>
      </c>
      <c r="AA445" s="6" t="str">
        <f>IFERROR(__xludf.DUMMYFUNCTION("""COMPUTED_VALUE"""),"Trendafilov")</f>
        <v>Trendafilov</v>
      </c>
      <c r="AB445" s="6" t="str">
        <f>IFERROR(__xludf.DUMMYFUNCTION("""COMPUTED_VALUE"""),"A.S.")</f>
        <v>A.S.</v>
      </c>
      <c r="AC445" s="6">
        <f>IFERROR(__xludf.DUMMYFUNCTION("""COMPUTED_VALUE"""),3.83194283E8)</f>
        <v>383194283</v>
      </c>
      <c r="AD445" s="9">
        <f>IFERROR(__xludf.DUMMYFUNCTION("""COMPUTED_VALUE"""),33624.0)</f>
        <v>33624</v>
      </c>
      <c r="AE445" s="6" t="str">
        <f>IFERROR(__xludf.DUMMYFUNCTION("""COMPUTED_VALUE"""),"bg")</f>
        <v>bg</v>
      </c>
      <c r="AF445" s="6" t="str">
        <f>IFERROR(__xludf.DUMMYFUNCTION("""COMPUTED_VALUE"""),"Plovdiv")</f>
        <v>Plovdiv</v>
      </c>
      <c r="AG445" s="6" t="str">
        <f>IFERROR(__xludf.DUMMYFUNCTION("""COMPUTED_VALUE"""),"Hr. A.S. Trendafilov")</f>
        <v>Hr. A.S. Trendafilov</v>
      </c>
      <c r="AH445" s="6" t="str">
        <f>IFERROR(__xludf.DUMMYFUNCTION("""COMPUTED_VALUE"""),"NL97INGB0799248592")</f>
        <v>NL97INGB0799248592</v>
      </c>
      <c r="AI445" s="6"/>
      <c r="AJ445" s="6"/>
      <c r="AK445" s="6"/>
      <c r="AL445" s="6"/>
      <c r="AM445" s="6" t="str">
        <f>IFERROR(__xludf.DUMMYFUNCTION("""COMPUTED_VALUE"""),"Bulgarije")</f>
        <v>Bulgarije</v>
      </c>
      <c r="AN445" s="6" t="str">
        <f>IFERROR(__xludf.DUMMYFUNCTION("""COMPUTED_VALUE"""),"Atanas Stoilov Trendafilov")</f>
        <v>Atanas Stoilov Trendafilov</v>
      </c>
      <c r="AO445" s="6"/>
    </row>
    <row r="446">
      <c r="A446" s="6" t="str">
        <f>IFERROR(__xludf.DUMMYFUNCTION("""COMPUTED_VALUE"""),"Stivsvet")</f>
        <v>Stivsvet</v>
      </c>
      <c r="B446" s="6" t="str">
        <f>IFERROR(__xludf.DUMMYFUNCTION("""COMPUTED_VALUE"""),"Stivsvet")</f>
        <v>Stivsvet</v>
      </c>
      <c r="C446" s="6">
        <f>IFERROR(__xludf.DUMMYFUNCTION("""COMPUTED_VALUE"""),1199.0)</f>
        <v>1199</v>
      </c>
      <c r="D446" s="7" t="str">
        <f>IFERROR(__xludf.DUMMYFUNCTION("""COMPUTED_VALUE"""),"Sergei Svetoslavov Simeonov")</f>
        <v>Sergei Svetoslavov Simeonov</v>
      </c>
      <c r="E446" s="7" t="str">
        <f>IFERROR(__xludf.DUMMYFUNCTION("""COMPUTED_VALUE"""),"SBI-code: 4120 - Algemene burgerlijke en utiliteitsbouw")</f>
        <v>SBI-code: 4120 - Algemene burgerlijke en utiliteitsbouw</v>
      </c>
      <c r="F446" s="7" t="str">
        <f>IFERROR(__xludf.DUMMYFUNCTION("""COMPUTED_VALUE"""),"0687524148")</f>
        <v>0687524148</v>
      </c>
      <c r="G446" s="6" t="str">
        <f>IFERROR(__xludf.DUMMYFUNCTION("""COMPUTED_VALUE"""),"sergosimeonov66@gmail.com")</f>
        <v>sergosimeonov66@gmail.com</v>
      </c>
      <c r="H446" s="6" t="str">
        <f>IFERROR(__xludf.DUMMYFUNCTION("""COMPUTED_VALUE"""),"Kritzingerstraat 66")</f>
        <v>Kritzingerstraat 66</v>
      </c>
      <c r="I446" s="6" t="str">
        <f>IFERROR(__xludf.DUMMYFUNCTION("""COMPUTED_VALUE"""),"2572XS")</f>
        <v>2572XS</v>
      </c>
      <c r="J446" s="6" t="str">
        <f>IFERROR(__xludf.DUMMYFUNCTION("""COMPUTED_VALUE"""),"s-Gravenhage")</f>
        <v>s-Gravenhage</v>
      </c>
      <c r="K446" s="6" t="str">
        <f>IFERROR(__xludf.DUMMYFUNCTION("""COMPUTED_VALUE"""),"Nederland")</f>
        <v>Nederland</v>
      </c>
      <c r="L446" s="6" t="str">
        <f>IFERROR(__xludf.DUMMYFUNCTION("""COMPUTED_VALUE"""),"Симеонов")</f>
        <v>Симеонов</v>
      </c>
      <c r="M446" s="8">
        <f>IFERROR(__xludf.DUMMYFUNCTION("""COMPUTED_VALUE"""),44378.0)</f>
        <v>44378</v>
      </c>
      <c r="N446" s="6" t="str">
        <f>IFERROR(__xludf.DUMMYFUNCTION("""COMPUTED_VALUE"""),"NL288401311B01")</f>
        <v>NL288401311B01</v>
      </c>
      <c r="O446" s="6">
        <f>IFERROR(__xludf.DUMMYFUNCTION("""COMPUTED_VALUE"""),8.3386742E7)</f>
        <v>83386742</v>
      </c>
      <c r="P446" s="6" t="str">
        <f>IFERROR(__xludf.DUMMYFUNCTION("""COMPUTED_VALUE"""),"NL02INGB0007948843")</f>
        <v>NL02INGB0007948843</v>
      </c>
      <c r="Q446" s="9">
        <f>IFERROR(__xludf.DUMMYFUNCTION("""COMPUTED_VALUE"""),44378.0)</f>
        <v>44378</v>
      </c>
      <c r="R446" s="6"/>
      <c r="S446" s="6" t="str">
        <f>IFERROR(__xludf.DUMMYFUNCTION("""COMPUTED_VALUE"""),"NL003812306B62")</f>
        <v>NL003812306B62</v>
      </c>
      <c r="T446" s="6">
        <f>IFERROR(__xludf.DUMMYFUNCTION("""COMPUTED_VALUE"""),2.88401311E8)</f>
        <v>288401311</v>
      </c>
      <c r="U446" s="7" t="str">
        <f>IFERROR(__xludf.DUMMYFUNCTION("""COMPUTED_VALUE"""),"Eenmanszaak")</f>
        <v>Eenmanszaak</v>
      </c>
      <c r="V446" s="7" t="str">
        <f>IFERROR(__xludf.DUMMYFUNCTION("""COMPUTED_VALUE"""),"000049555553")</f>
        <v>000049555553</v>
      </c>
      <c r="W446" s="6" t="str">
        <f>IFERROR(__xludf.DUMMYFUNCTION("""COMPUTED_VALUE"""),"ink.stilsvet.2288aa@zarabota.nl")</f>
        <v>ink.stilsvet.2288aa@zarabota.nl</v>
      </c>
      <c r="X446" s="6" t="str">
        <f>IFERROR(__xludf.DUMMYFUNCTION("""COMPUTED_VALUE"""),"ver.stilsvet.2288aa@zarabota.nl")</f>
        <v>ver.stilsvet.2288aa@zarabota.nl</v>
      </c>
      <c r="Y446" s="6" t="str">
        <f>IFERROR(__xludf.DUMMYFUNCTION("""COMPUTED_VALUE"""),"Hr.")</f>
        <v>Hr.</v>
      </c>
      <c r="Z446" s="6" t="str">
        <f>IFERROR(__xludf.DUMMYFUNCTION("""COMPUTED_VALUE"""),"Sergei Svetoslavov")</f>
        <v>Sergei Svetoslavov</v>
      </c>
      <c r="AA446" s="6" t="str">
        <f>IFERROR(__xludf.DUMMYFUNCTION("""COMPUTED_VALUE"""),"Simeonov")</f>
        <v>Simeonov</v>
      </c>
      <c r="AB446" s="6" t="str">
        <f>IFERROR(__xludf.DUMMYFUNCTION("""COMPUTED_VALUE"""),"S.S.")</f>
        <v>S.S.</v>
      </c>
      <c r="AC446" s="6">
        <f>IFERROR(__xludf.DUMMYFUNCTION("""COMPUTED_VALUE"""),2.88401311E8)</f>
        <v>288401311</v>
      </c>
      <c r="AD446" s="9">
        <f>IFERROR(__xludf.DUMMYFUNCTION("""COMPUTED_VALUE"""),34145.0)</f>
        <v>34145</v>
      </c>
      <c r="AE446" s="6" t="str">
        <f>IFERROR(__xludf.DUMMYFUNCTION("""COMPUTED_VALUE"""),"bg")</f>
        <v>bg</v>
      </c>
      <c r="AF446" s="6" t="str">
        <f>IFERROR(__xludf.DUMMYFUNCTION("""COMPUTED_VALUE"""),"Haskovo")</f>
        <v>Haskovo</v>
      </c>
      <c r="AG446" s="6" t="str">
        <f>IFERROR(__xludf.DUMMYFUNCTION("""COMPUTED_VALUE"""),"Hr. S.S. Simeonov")</f>
        <v>Hr. S.S. Simeonov</v>
      </c>
      <c r="AH446" s="6" t="str">
        <f>IFERROR(__xludf.DUMMYFUNCTION("""COMPUTED_VALUE"""),"NL06INGB0797174818")</f>
        <v>NL06INGB0797174818</v>
      </c>
      <c r="AI446" s="9">
        <f>IFERROR(__xludf.DUMMYFUNCTION("""COMPUTED_VALUE"""),42431.0)</f>
        <v>42431</v>
      </c>
      <c r="AJ446" s="6" t="str">
        <f>IFERROR(__xludf.DUMMYFUNCTION("""COMPUTED_VALUE"""),"ID Kaart")</f>
        <v>ID Kaart</v>
      </c>
      <c r="AK446" s="6">
        <f>IFERROR(__xludf.DUMMYFUNCTION("""COMPUTED_VALUE"""),6.45236577E8)</f>
        <v>645236577</v>
      </c>
      <c r="AL446" s="9">
        <f>IFERROR(__xludf.DUMMYFUNCTION("""COMPUTED_VALUE"""),45442.0)</f>
        <v>45442</v>
      </c>
      <c r="AM446" s="6" t="str">
        <f>IFERROR(__xludf.DUMMYFUNCTION("""COMPUTED_VALUE"""),"Bulgarije")</f>
        <v>Bulgarije</v>
      </c>
      <c r="AN446" s="6" t="str">
        <f>IFERROR(__xludf.DUMMYFUNCTION("""COMPUTED_VALUE"""),"Sergei Svetoslavov Simeonov")</f>
        <v>Sergei Svetoslavov Simeonov</v>
      </c>
      <c r="AO446" s="6"/>
    </row>
    <row r="447">
      <c r="A447" s="6" t="str">
        <f>IFERROR(__xludf.DUMMYFUNCTION("""COMPUTED_VALUE"""),"Stoyan BouwSpecialist")</f>
        <v>Stoyan BouwSpecialist</v>
      </c>
      <c r="B447" s="6" t="str">
        <f>IFERROR(__xludf.DUMMYFUNCTION("""COMPUTED_VALUE"""),"Stoyan BouwSpecialist")</f>
        <v>Stoyan BouwSpecialist</v>
      </c>
      <c r="C447" s="6">
        <f>IFERROR(__xludf.DUMMYFUNCTION("""COMPUTED_VALUE"""),1751.0)</f>
        <v>1751</v>
      </c>
      <c r="D447" s="7" t="str">
        <f>IFERROR(__xludf.DUMMYFUNCTION("""COMPUTED_VALUE"""),"Stoyan Mladenov Stoyanov")</f>
        <v>Stoyan Mladenov Stoyanov</v>
      </c>
      <c r="E447" s="7" t="str">
        <f>IFERROR(__xludf.DUMMYFUNCTION("""COMPUTED_VALUE"""),"SBI-code: 4120 - Algemene burgerlijke en utiliteitsbouw")</f>
        <v>SBI-code: 4120 - Algemene burgerlijke en utiliteitsbouw</v>
      </c>
      <c r="F447" s="7" t="str">
        <f>IFERROR(__xludf.DUMMYFUNCTION("""COMPUTED_VALUE"""),"0628741246")</f>
        <v>0628741246</v>
      </c>
      <c r="G447" s="6" t="str">
        <f>IFERROR(__xludf.DUMMYFUNCTION("""COMPUTED_VALUE"""),"stoyans466@gmail.com")</f>
        <v>stoyans466@gmail.com</v>
      </c>
      <c r="H447" s="6" t="str">
        <f>IFERROR(__xludf.DUMMYFUNCTION("""COMPUTED_VALUE"""),"Wolweversgaarde 8")</f>
        <v>Wolweversgaarde 8</v>
      </c>
      <c r="I447" s="6" t="str">
        <f>IFERROR(__xludf.DUMMYFUNCTION("""COMPUTED_VALUE"""),"2542AT")</f>
        <v>2542AT</v>
      </c>
      <c r="J447" s="6" t="str">
        <f>IFERROR(__xludf.DUMMYFUNCTION("""COMPUTED_VALUE"""),"s-Gravenhage")</f>
        <v>s-Gravenhage</v>
      </c>
      <c r="K447" s="6" t="str">
        <f>IFERROR(__xludf.DUMMYFUNCTION("""COMPUTED_VALUE"""),"Nederland")</f>
        <v>Nederland</v>
      </c>
      <c r="L447" s="6" t="str">
        <f>IFERROR(__xludf.DUMMYFUNCTION("""COMPUTED_VALUE"""),"Стоянов")</f>
        <v>Стоянов</v>
      </c>
      <c r="M447" s="8">
        <f>IFERROR(__xludf.DUMMYFUNCTION("""COMPUTED_VALUE"""),45945.0)</f>
        <v>45945</v>
      </c>
      <c r="N447" s="6" t="str">
        <f>IFERROR(__xludf.DUMMYFUNCTION("""COMPUTED_VALUE"""),"NL404233120B01")</f>
        <v>NL404233120B01</v>
      </c>
      <c r="O447" s="6">
        <f>IFERROR(__xludf.DUMMYFUNCTION("""COMPUTED_VALUE"""),9.8579363E7)</f>
        <v>98579363</v>
      </c>
      <c r="P447" s="6" t="str">
        <f>IFERROR(__xludf.DUMMYFUNCTION("""COMPUTED_VALUE"""),"NL73INGB0116513845")</f>
        <v>NL73INGB0116513845</v>
      </c>
      <c r="Q447" s="9">
        <f>IFERROR(__xludf.DUMMYFUNCTION("""COMPUTED_VALUE"""),45945.0)</f>
        <v>45945</v>
      </c>
      <c r="R447" s="6"/>
      <c r="S447" s="6" t="str">
        <f>IFERROR(__xludf.DUMMYFUNCTION("""COMPUTED_VALUE"""),"NL005345565B48")</f>
        <v>NL005345565B48</v>
      </c>
      <c r="T447" s="6">
        <f>IFERROR(__xludf.DUMMYFUNCTION("""COMPUTED_VALUE"""),4.0423312E8)</f>
        <v>404233120</v>
      </c>
      <c r="U447" s="7" t="str">
        <f>IFERROR(__xludf.DUMMYFUNCTION("""COMPUTED_VALUE"""),"Eenmanszaak")</f>
        <v>Eenmanszaak</v>
      </c>
      <c r="V447" s="7" t="str">
        <f>IFERROR(__xludf.DUMMYFUNCTION("""COMPUTED_VALUE"""),"000063733021")</f>
        <v>000063733021</v>
      </c>
      <c r="W447" s="6" t="str">
        <f>IFERROR(__xludf.DUMMYFUNCTION("""COMPUTED_VALUE"""),"ink.stoyanbouw.2288aa@zarabota.nl")</f>
        <v>ink.stoyanbouw.2288aa@zarabota.nl</v>
      </c>
      <c r="X447" s="6" t="str">
        <f>IFERROR(__xludf.DUMMYFUNCTION("""COMPUTED_VALUE"""),"ver.stoyanbouw.2288aa@zarabota.nl")</f>
        <v>ver.stoyanbouw.2288aa@zarabota.nl</v>
      </c>
      <c r="Y447" s="6" t="str">
        <f>IFERROR(__xludf.DUMMYFUNCTION("""COMPUTED_VALUE"""),"Hr.")</f>
        <v>Hr.</v>
      </c>
      <c r="Z447" s="6" t="str">
        <f>IFERROR(__xludf.DUMMYFUNCTION("""COMPUTED_VALUE"""),"Stoyan Mladenov")</f>
        <v>Stoyan Mladenov</v>
      </c>
      <c r="AA447" s="6" t="str">
        <f>IFERROR(__xludf.DUMMYFUNCTION("""COMPUTED_VALUE"""),"Stoyanov")</f>
        <v>Stoyanov</v>
      </c>
      <c r="AB447" s="6" t="str">
        <f>IFERROR(__xludf.DUMMYFUNCTION("""COMPUTED_VALUE"""),"S.M.")</f>
        <v>S.M.</v>
      </c>
      <c r="AC447" s="6">
        <f>IFERROR(__xludf.DUMMYFUNCTION("""COMPUTED_VALUE"""),4.0423312E8)</f>
        <v>404233120</v>
      </c>
      <c r="AD447" s="9">
        <f>IFERROR(__xludf.DUMMYFUNCTION("""COMPUTED_VALUE"""),29353.0)</f>
        <v>29353</v>
      </c>
      <c r="AE447" s="6" t="str">
        <f>IFERROR(__xludf.DUMMYFUNCTION("""COMPUTED_VALUE"""),"bg")</f>
        <v>bg</v>
      </c>
      <c r="AF447" s="6" t="str">
        <f>IFERROR(__xludf.DUMMYFUNCTION("""COMPUTED_VALUE"""),"Razgrad")</f>
        <v>Razgrad</v>
      </c>
      <c r="AG447" s="6" t="str">
        <f>IFERROR(__xludf.DUMMYFUNCTION("""COMPUTED_VALUE"""),"Hr. S.M. Stoyanov")</f>
        <v>Hr. S.M. Stoyanov</v>
      </c>
      <c r="AH447" s="6"/>
      <c r="AI447" s="6"/>
      <c r="AJ447" s="6" t="str">
        <f>IFERROR(__xludf.DUMMYFUNCTION("""COMPUTED_VALUE"""),"ID Kaart")</f>
        <v>ID Kaart</v>
      </c>
      <c r="AK447" s="6">
        <f>IFERROR(__xludf.DUMMYFUNCTION("""COMPUTED_VALUE"""),6.47768053E8)</f>
        <v>647768053</v>
      </c>
      <c r="AL447" s="9">
        <f>IFERROR(__xludf.DUMMYFUNCTION("""COMPUTED_VALUE"""),46961.0)</f>
        <v>46961</v>
      </c>
      <c r="AM447" s="6" t="str">
        <f>IFERROR(__xludf.DUMMYFUNCTION("""COMPUTED_VALUE"""),"Bulgarije")</f>
        <v>Bulgarije</v>
      </c>
      <c r="AN447" s="6" t="str">
        <f>IFERROR(__xludf.DUMMYFUNCTION("""COMPUTED_VALUE"""),"Stoyan Mladenov Stoyanov")</f>
        <v>Stoyan Mladenov Stoyanov</v>
      </c>
      <c r="AO447" s="6">
        <f>IFERROR(__xludf.DUMMYFUNCTION("""COMPUTED_VALUE"""),1751.0)</f>
        <v>1751</v>
      </c>
    </row>
    <row r="448">
      <c r="A448" s="6" t="str">
        <f>IFERROR(__xludf.DUMMYFUNCTION("""COMPUTED_VALUE"""),"Stoyanov 90")</f>
        <v>Stoyanov 90</v>
      </c>
      <c r="B448" s="6" t="str">
        <f>IFERROR(__xludf.DUMMYFUNCTION("""COMPUTED_VALUE"""),"Stoyanov 90")</f>
        <v>Stoyanov 90</v>
      </c>
      <c r="C448" s="6">
        <f>IFERROR(__xludf.DUMMYFUNCTION("""COMPUTED_VALUE"""),1223.0)</f>
        <v>1223</v>
      </c>
      <c r="D448" s="7" t="str">
        <f>IFERROR(__xludf.DUMMYFUNCTION("""COMPUTED_VALUE"""),"Stoyan Krasimirov Stoyanov")</f>
        <v>Stoyan Krasimirov Stoyanov</v>
      </c>
      <c r="E448" s="7" t="str">
        <f>IFERROR(__xludf.DUMMYFUNCTION("""COMPUTED_VALUE"""),"SBI-code: 4312 - Grondverzet")</f>
        <v>SBI-code: 4312 - Grondverzet</v>
      </c>
      <c r="F448" s="7" t="str">
        <f>IFERROR(__xludf.DUMMYFUNCTION("""COMPUTED_VALUE"""),"0684377771")</f>
        <v>0684377771</v>
      </c>
      <c r="G448" s="6" t="str">
        <f>IFERROR(__xludf.DUMMYFUNCTION("""COMPUTED_VALUE"""),"stoqnovstoqn202@gmail.com")</f>
        <v>stoqnovstoqn202@gmail.com</v>
      </c>
      <c r="H448" s="6" t="str">
        <f>IFERROR(__xludf.DUMMYFUNCTION("""COMPUTED_VALUE"""),"Groenesteinstraat 44")</f>
        <v>Groenesteinstraat 44</v>
      </c>
      <c r="I448" s="6" t="str">
        <f>IFERROR(__xludf.DUMMYFUNCTION("""COMPUTED_VALUE"""),"2512 SK")</f>
        <v>2512 SK</v>
      </c>
      <c r="J448" s="6" t="str">
        <f>IFERROR(__xludf.DUMMYFUNCTION("""COMPUTED_VALUE"""),"s-Gravenhage")</f>
        <v>s-Gravenhage</v>
      </c>
      <c r="K448" s="6" t="str">
        <f>IFERROR(__xludf.DUMMYFUNCTION("""COMPUTED_VALUE"""),"Nederland")</f>
        <v>Nederland</v>
      </c>
      <c r="L448" s="6" t="str">
        <f>IFERROR(__xludf.DUMMYFUNCTION("""COMPUTED_VALUE"""),"Стоянов")</f>
        <v>Стоянов</v>
      </c>
      <c r="M448" s="8">
        <f>IFERROR(__xludf.DUMMYFUNCTION("""COMPUTED_VALUE"""),44345.0)</f>
        <v>44345</v>
      </c>
      <c r="N448" s="6" t="str">
        <f>IFERROR(__xludf.DUMMYFUNCTION("""COMPUTED_VALUE"""),"NL487523088B01")</f>
        <v>NL487523088B01</v>
      </c>
      <c r="O448" s="6">
        <f>IFERROR(__xludf.DUMMYFUNCTION("""COMPUTED_VALUE"""),8.3231501E7)</f>
        <v>83231501</v>
      </c>
      <c r="P448" s="6" t="str">
        <f>IFERROR(__xludf.DUMMYFUNCTION("""COMPUTED_VALUE"""),"NL12INGB0007659021")</f>
        <v>NL12INGB0007659021</v>
      </c>
      <c r="Q448" s="9">
        <f>IFERROR(__xludf.DUMMYFUNCTION("""COMPUTED_VALUE"""),44376.0)</f>
        <v>44376</v>
      </c>
      <c r="R448" s="6"/>
      <c r="S448" s="6" t="str">
        <f>IFERROR(__xludf.DUMMYFUNCTION("""COMPUTED_VALUE"""),"NL003787780B24")</f>
        <v>NL003787780B24</v>
      </c>
      <c r="T448" s="6">
        <f>IFERROR(__xludf.DUMMYFUNCTION("""COMPUTED_VALUE"""),4.87523088E8)</f>
        <v>487523088</v>
      </c>
      <c r="U448" s="7" t="str">
        <f>IFERROR(__xludf.DUMMYFUNCTION("""COMPUTED_VALUE"""),"Eenmanszaak")</f>
        <v>Eenmanszaak</v>
      </c>
      <c r="V448" s="7" t="str">
        <f>IFERROR(__xludf.DUMMYFUNCTION("""COMPUTED_VALUE"""),"000049416723")</f>
        <v>000049416723</v>
      </c>
      <c r="W448" s="6" t="str">
        <f>IFERROR(__xludf.DUMMYFUNCTION("""COMPUTED_VALUE"""),"ink.stoyanov90.2288aa@zarabota.nl")</f>
        <v>ink.stoyanov90.2288aa@zarabota.nl</v>
      </c>
      <c r="X448" s="6" t="str">
        <f>IFERROR(__xludf.DUMMYFUNCTION("""COMPUTED_VALUE"""),"ver.stoyanov90.2288aa@zarabota.nl")</f>
        <v>ver.stoyanov90.2288aa@zarabota.nl</v>
      </c>
      <c r="Y448" s="6" t="str">
        <f>IFERROR(__xludf.DUMMYFUNCTION("""COMPUTED_VALUE"""),"Hr.")</f>
        <v>Hr.</v>
      </c>
      <c r="Z448" s="6" t="str">
        <f>IFERROR(__xludf.DUMMYFUNCTION("""COMPUTED_VALUE"""),"Stoyan Krasimirov")</f>
        <v>Stoyan Krasimirov</v>
      </c>
      <c r="AA448" s="6" t="str">
        <f>IFERROR(__xludf.DUMMYFUNCTION("""COMPUTED_VALUE"""),"Stoyanov")</f>
        <v>Stoyanov</v>
      </c>
      <c r="AB448" s="6" t="str">
        <f>IFERROR(__xludf.DUMMYFUNCTION("""COMPUTED_VALUE"""),"S.K.")</f>
        <v>S.K.</v>
      </c>
      <c r="AC448" s="6">
        <f>IFERROR(__xludf.DUMMYFUNCTION("""COMPUTED_VALUE"""),4.87523088E8)</f>
        <v>487523088</v>
      </c>
      <c r="AD448" s="9">
        <f>IFERROR(__xludf.DUMMYFUNCTION("""COMPUTED_VALUE"""),33178.0)</f>
        <v>33178</v>
      </c>
      <c r="AE448" s="6" t="str">
        <f>IFERROR(__xludf.DUMMYFUNCTION("""COMPUTED_VALUE"""),"bg")</f>
        <v>bg</v>
      </c>
      <c r="AF448" s="6" t="str">
        <f>IFERROR(__xludf.DUMMYFUNCTION("""COMPUTED_VALUE"""),"Harmanli")</f>
        <v>Harmanli</v>
      </c>
      <c r="AG448" s="6" t="str">
        <f>IFERROR(__xludf.DUMMYFUNCTION("""COMPUTED_VALUE"""),"Hr. S.K. Stoyanov")</f>
        <v>Hr. S.K. Stoyanov</v>
      </c>
      <c r="AH448" s="6" t="str">
        <f>IFERROR(__xludf.DUMMYFUNCTION("""COMPUTED_VALUE"""),"NL90INGB0799614602")</f>
        <v>NL90INGB0799614602</v>
      </c>
      <c r="AI448" s="9">
        <f>IFERROR(__xludf.DUMMYFUNCTION("""COMPUTED_VALUE"""),44249.0)</f>
        <v>44249</v>
      </c>
      <c r="AJ448" s="6" t="str">
        <f>IFERROR(__xludf.DUMMYFUNCTION("""COMPUTED_VALUE"""),"ID Kaart")</f>
        <v>ID Kaart</v>
      </c>
      <c r="AK448" s="6">
        <f>IFERROR(__xludf.DUMMYFUNCTION("""COMPUTED_VALUE"""),6.48186263E8)</f>
        <v>648186263</v>
      </c>
      <c r="AL448" s="9">
        <f>IFERROR(__xludf.DUMMYFUNCTION("""COMPUTED_VALUE"""),47231.0)</f>
        <v>47231</v>
      </c>
      <c r="AM448" s="6" t="str">
        <f>IFERROR(__xludf.DUMMYFUNCTION("""COMPUTED_VALUE"""),"Bulgarije")</f>
        <v>Bulgarije</v>
      </c>
      <c r="AN448" s="6" t="str">
        <f>IFERROR(__xludf.DUMMYFUNCTION("""COMPUTED_VALUE"""),"Stoyan Krasimirov Stoyanov")</f>
        <v>Stoyan Krasimirov Stoyanov</v>
      </c>
      <c r="AO448" s="6">
        <f>IFERROR(__xludf.DUMMYFUNCTION("""COMPUTED_VALUE"""),1223.0)</f>
        <v>1223</v>
      </c>
    </row>
    <row r="449">
      <c r="A449" s="6" t="str">
        <f>IFERROR(__xludf.DUMMYFUNCTION("""COMPUTED_VALUE"""),"Stoyanov Diensten")</f>
        <v>Stoyanov Diensten</v>
      </c>
      <c r="B449" s="6" t="str">
        <f>IFERROR(__xludf.DUMMYFUNCTION("""COMPUTED_VALUE"""),"Stoyanov Diensten")</f>
        <v>Stoyanov Diensten</v>
      </c>
      <c r="C449" s="6">
        <f>IFERROR(__xludf.DUMMYFUNCTION("""COMPUTED_VALUE"""),1360.0)</f>
        <v>1360</v>
      </c>
      <c r="D449" s="7" t="str">
        <f>IFERROR(__xludf.DUMMYFUNCTION("""COMPUTED_VALUE"""),"Stoyan Stamenov Stoyanov")</f>
        <v>Stoyan Stamenov Stoyanov</v>
      </c>
      <c r="E449" s="7" t="str">
        <f>IFERROR(__xludf.DUMMYFUNCTION("""COMPUTED_VALUE"""),"SBI-code: 4120 - Algemene burgerlijke en utiliteitsbouw")</f>
        <v>SBI-code: 4120 - Algemene burgerlijke en utiliteitsbouw</v>
      </c>
      <c r="F449" s="7" t="str">
        <f>IFERROR(__xludf.DUMMYFUNCTION("""COMPUTED_VALUE"""),"0685267185")</f>
        <v>0685267185</v>
      </c>
      <c r="G449" s="6" t="str">
        <f>IFERROR(__xludf.DUMMYFUNCTION("""COMPUTED_VALUE"""),"stamenovstoqn711@gmail.com")</f>
        <v>stamenovstoqn711@gmail.com</v>
      </c>
      <c r="H449" s="6" t="str">
        <f>IFERROR(__xludf.DUMMYFUNCTION("""COMPUTED_VALUE"""),"Spionkopstraat 66")</f>
        <v>Spionkopstraat 66</v>
      </c>
      <c r="I449" s="6" t="str">
        <f>IFERROR(__xludf.DUMMYFUNCTION("""COMPUTED_VALUE"""),"2572NN")</f>
        <v>2572NN</v>
      </c>
      <c r="J449" s="6" t="str">
        <f>IFERROR(__xludf.DUMMYFUNCTION("""COMPUTED_VALUE"""),"s-Gravenhage")</f>
        <v>s-Gravenhage</v>
      </c>
      <c r="K449" s="6" t="str">
        <f>IFERROR(__xludf.DUMMYFUNCTION("""COMPUTED_VALUE"""),"Nederland")</f>
        <v>Nederland</v>
      </c>
      <c r="L449" s="6" t="str">
        <f>IFERROR(__xludf.DUMMYFUNCTION("""COMPUTED_VALUE"""),"Стоянов")</f>
        <v>Стоянов</v>
      </c>
      <c r="M449" s="8">
        <f>IFERROR(__xludf.DUMMYFUNCTION("""COMPUTED_VALUE"""),44562.0)</f>
        <v>44562</v>
      </c>
      <c r="N449" s="6" t="str">
        <f>IFERROR(__xludf.DUMMYFUNCTION("""COMPUTED_VALUE"""),"NL669087336B01")</f>
        <v>NL669087336B01</v>
      </c>
      <c r="O449" s="6">
        <f>IFERROR(__xludf.DUMMYFUNCTION("""COMPUTED_VALUE"""),8.3741828E7)</f>
        <v>83741828</v>
      </c>
      <c r="P449" s="6" t="str">
        <f>IFERROR(__xludf.DUMMYFUNCTION("""COMPUTED_VALUE"""),"NL08INGB0673936961")</f>
        <v>NL08INGB0673936961</v>
      </c>
      <c r="Q449" s="9">
        <f>IFERROR(__xludf.DUMMYFUNCTION("""COMPUTED_VALUE"""),44431.0)</f>
        <v>44431</v>
      </c>
      <c r="R449" s="6"/>
      <c r="S449" s="6" t="str">
        <f>IFERROR(__xludf.DUMMYFUNCTION("""COMPUTED_VALUE"""),"NL003863739B49")</f>
        <v>NL003863739B49</v>
      </c>
      <c r="T449" s="6">
        <f>IFERROR(__xludf.DUMMYFUNCTION("""COMPUTED_VALUE"""),6.69087336E8)</f>
        <v>669087336</v>
      </c>
      <c r="U449" s="7" t="str">
        <f>IFERROR(__xludf.DUMMYFUNCTION("""COMPUTED_VALUE"""),"Eenmanszaak")</f>
        <v>Eenmanszaak</v>
      </c>
      <c r="V449" s="7" t="str">
        <f>IFERROR(__xludf.DUMMYFUNCTION("""COMPUTED_VALUE"""),"000049894811")</f>
        <v>000049894811</v>
      </c>
      <c r="W449" s="6" t="str">
        <f>IFERROR(__xludf.DUMMYFUNCTION("""COMPUTED_VALUE"""),"ink.stoyanovdiensten.2288aa@zarabota.nl")</f>
        <v>ink.stoyanovdiensten.2288aa@zarabota.nl</v>
      </c>
      <c r="X449" s="6" t="str">
        <f>IFERROR(__xludf.DUMMYFUNCTION("""COMPUTED_VALUE"""),"ver.stoyanovdiensten.2288aa@zarabota.nl")</f>
        <v>ver.stoyanovdiensten.2288aa@zarabota.nl</v>
      </c>
      <c r="Y449" s="6" t="str">
        <f>IFERROR(__xludf.DUMMYFUNCTION("""COMPUTED_VALUE"""),"Hr.")</f>
        <v>Hr.</v>
      </c>
      <c r="Z449" s="6" t="str">
        <f>IFERROR(__xludf.DUMMYFUNCTION("""COMPUTED_VALUE"""),"Stoyan Stamenov")</f>
        <v>Stoyan Stamenov</v>
      </c>
      <c r="AA449" s="6" t="str">
        <f>IFERROR(__xludf.DUMMYFUNCTION("""COMPUTED_VALUE"""),"Stoyanov")</f>
        <v>Stoyanov</v>
      </c>
      <c r="AB449" s="6" t="str">
        <f>IFERROR(__xludf.DUMMYFUNCTION("""COMPUTED_VALUE"""),"S.S.")</f>
        <v>S.S.</v>
      </c>
      <c r="AC449" s="6">
        <f>IFERROR(__xludf.DUMMYFUNCTION("""COMPUTED_VALUE"""),6.69087336E8)</f>
        <v>669087336</v>
      </c>
      <c r="AD449" s="9">
        <f>IFERROR(__xludf.DUMMYFUNCTION("""COMPUTED_VALUE"""),37658.0)</f>
        <v>37658</v>
      </c>
      <c r="AE449" s="6" t="str">
        <f>IFERROR(__xludf.DUMMYFUNCTION("""COMPUTED_VALUE"""),"bg")</f>
        <v>bg</v>
      </c>
      <c r="AF449" s="6" t="str">
        <f>IFERROR(__xludf.DUMMYFUNCTION("""COMPUTED_VALUE"""),"Haskovo")</f>
        <v>Haskovo</v>
      </c>
      <c r="AG449" s="6" t="str">
        <f>IFERROR(__xludf.DUMMYFUNCTION("""COMPUTED_VALUE"""),"Hr. S.S. Stoyanov")</f>
        <v>Hr. S.S. Stoyanov</v>
      </c>
      <c r="AH449" s="6" t="str">
        <f>IFERROR(__xludf.DUMMYFUNCTION("""COMPUTED_VALUE"""),"NL08INGB0673936961")</f>
        <v>NL08INGB0673936961</v>
      </c>
      <c r="AI449" s="6"/>
      <c r="AJ449" s="6" t="str">
        <f>IFERROR(__xludf.DUMMYFUNCTION("""COMPUTED_VALUE"""),"ID Kaart")</f>
        <v>ID Kaart</v>
      </c>
      <c r="AK449" s="6">
        <f>IFERROR(__xludf.DUMMYFUNCTION("""COMPUTED_VALUE"""),6.50639308E8)</f>
        <v>650639308</v>
      </c>
      <c r="AL449" s="9">
        <f>IFERROR(__xludf.DUMMYFUNCTION("""COMPUTED_VALUE"""),48029.0)</f>
        <v>48029</v>
      </c>
      <c r="AM449" s="6" t="str">
        <f>IFERROR(__xludf.DUMMYFUNCTION("""COMPUTED_VALUE"""),"Bulgarije")</f>
        <v>Bulgarije</v>
      </c>
      <c r="AN449" s="6" t="str">
        <f>IFERROR(__xludf.DUMMYFUNCTION("""COMPUTED_VALUE"""),"Stoyan Stamenov Stoyanov")</f>
        <v>Stoyan Stamenov Stoyanov</v>
      </c>
      <c r="AO449" s="6">
        <f>IFERROR(__xludf.DUMMYFUNCTION("""COMPUTED_VALUE"""),1360.0)</f>
        <v>1360</v>
      </c>
    </row>
    <row r="450">
      <c r="A450" s="6" t="str">
        <f>IFERROR(__xludf.DUMMYFUNCTION("""COMPUTED_VALUE"""),"Strika 77")</f>
        <v>Strika 77</v>
      </c>
      <c r="B450" s="6" t="str">
        <f>IFERROR(__xludf.DUMMYFUNCTION("""COMPUTED_VALUE"""),"Strika 77")</f>
        <v>Strika 77</v>
      </c>
      <c r="C450" s="6">
        <f>IFERROR(__xludf.DUMMYFUNCTION("""COMPUTED_VALUE"""),816.0)</f>
        <v>816</v>
      </c>
      <c r="D450" s="7" t="str">
        <f>IFERROR(__xludf.DUMMYFUNCTION("""COMPUTED_VALUE"""),"Taner Myumyunov Hodzhov")</f>
        <v>Taner Myumyunov Hodzhov</v>
      </c>
      <c r="E450" s="7" t="str">
        <f>IFERROR(__xludf.DUMMYFUNCTION("""COMPUTED_VALUE"""),"SBI-code: 4120 - Algemene burgerlijke en utiliteitsbouw")</f>
        <v>SBI-code: 4120 - Algemene burgerlijke en utiliteitsbouw</v>
      </c>
      <c r="F450" s="7" t="str">
        <f>IFERROR(__xludf.DUMMYFUNCTION("""COMPUTED_VALUE"""),"0684957927")</f>
        <v>0684957927</v>
      </c>
      <c r="G450" s="6" t="str">
        <f>IFERROR(__xludf.DUMMYFUNCTION("""COMPUTED_VALUE"""),"tanerhodzov@gmail.com")</f>
        <v>tanerhodzov@gmail.com</v>
      </c>
      <c r="H450" s="6" t="str">
        <f>IFERROR(__xludf.DUMMYFUNCTION("""COMPUTED_VALUE"""),"Hugo Verrieststraat 74")</f>
        <v>Hugo Verrieststraat 74</v>
      </c>
      <c r="I450" s="6" t="str">
        <f>IFERROR(__xludf.DUMMYFUNCTION("""COMPUTED_VALUE"""),"2524 CG")</f>
        <v>2524 CG</v>
      </c>
      <c r="J450" s="6" t="str">
        <f>IFERROR(__xludf.DUMMYFUNCTION("""COMPUTED_VALUE"""),"s-Gravenhage")</f>
        <v>s-Gravenhage</v>
      </c>
      <c r="K450" s="6" t="str">
        <f>IFERROR(__xludf.DUMMYFUNCTION("""COMPUTED_VALUE"""),"Nederland")</f>
        <v>Nederland</v>
      </c>
      <c r="L450" s="6" t="str">
        <f>IFERROR(__xludf.DUMMYFUNCTION("""COMPUTED_VALUE"""),"Ходжов")</f>
        <v>Ходжов</v>
      </c>
      <c r="M450" s="8">
        <f>IFERROR(__xludf.DUMMYFUNCTION("""COMPUTED_VALUE"""),43619.0)</f>
        <v>43619</v>
      </c>
      <c r="N450" s="6" t="str">
        <f>IFERROR(__xludf.DUMMYFUNCTION("""COMPUTED_VALUE"""),"NL629743186B01")</f>
        <v>NL629743186B01</v>
      </c>
      <c r="O450" s="6">
        <f>IFERROR(__xludf.DUMMYFUNCTION("""COMPUTED_VALUE"""),7.499484E7)</f>
        <v>74994840</v>
      </c>
      <c r="P450" s="6" t="str">
        <f>IFERROR(__xludf.DUMMYFUNCTION("""COMPUTED_VALUE"""),"NL92INGB0007414887")</f>
        <v>NL92INGB0007414887</v>
      </c>
      <c r="Q450" s="9">
        <f>IFERROR(__xludf.DUMMYFUNCTION("""COMPUTED_VALUE"""),43619.0)</f>
        <v>43619</v>
      </c>
      <c r="R450" s="6"/>
      <c r="S450" s="6" t="str">
        <f>IFERROR(__xludf.DUMMYFUNCTION("""COMPUTED_VALUE"""),"NL002509523B40")</f>
        <v>NL002509523B40</v>
      </c>
      <c r="T450" s="6">
        <f>IFERROR(__xludf.DUMMYFUNCTION("""COMPUTED_VALUE"""),6.29743186E8)</f>
        <v>629743186</v>
      </c>
      <c r="U450" s="7" t="str">
        <f>IFERROR(__xludf.DUMMYFUNCTION("""COMPUTED_VALUE"""),"Eenmanszaak")</f>
        <v>Eenmanszaak</v>
      </c>
      <c r="V450" s="7" t="str">
        <f>IFERROR(__xludf.DUMMYFUNCTION("""COMPUTED_VALUE"""),"000042903211")</f>
        <v>000042903211</v>
      </c>
      <c r="W450" s="6" t="str">
        <f>IFERROR(__xludf.DUMMYFUNCTION("""COMPUTED_VALUE"""),"ink.strika77.2288aa@zarabota.nl")</f>
        <v>ink.strika77.2288aa@zarabota.nl</v>
      </c>
      <c r="X450" s="6" t="str">
        <f>IFERROR(__xludf.DUMMYFUNCTION("""COMPUTED_VALUE"""),"ver.strika77.2288aa@zarabota.nl")</f>
        <v>ver.strika77.2288aa@zarabota.nl</v>
      </c>
      <c r="Y450" s="6" t="str">
        <f>IFERROR(__xludf.DUMMYFUNCTION("""COMPUTED_VALUE"""),"Hr.")</f>
        <v>Hr.</v>
      </c>
      <c r="Z450" s="6" t="str">
        <f>IFERROR(__xludf.DUMMYFUNCTION("""COMPUTED_VALUE"""),"Taner Myumyunov")</f>
        <v>Taner Myumyunov</v>
      </c>
      <c r="AA450" s="6" t="str">
        <f>IFERROR(__xludf.DUMMYFUNCTION("""COMPUTED_VALUE"""),"Hodzhov")</f>
        <v>Hodzhov</v>
      </c>
      <c r="AB450" s="6" t="str">
        <f>IFERROR(__xludf.DUMMYFUNCTION("""COMPUTED_VALUE"""),"T.M.")</f>
        <v>T.M.</v>
      </c>
      <c r="AC450" s="6">
        <f>IFERROR(__xludf.DUMMYFUNCTION("""COMPUTED_VALUE"""),6.29743186E8)</f>
        <v>629743186</v>
      </c>
      <c r="AD450" s="9">
        <f>IFERROR(__xludf.DUMMYFUNCTION("""COMPUTED_VALUE"""),28396.0)</f>
        <v>28396</v>
      </c>
      <c r="AE450" s="6" t="str">
        <f>IFERROR(__xludf.DUMMYFUNCTION("""COMPUTED_VALUE"""),"bg")</f>
        <v>bg</v>
      </c>
      <c r="AF450" s="6" t="str">
        <f>IFERROR(__xludf.DUMMYFUNCTION("""COMPUTED_VALUE"""),"Ardino")</f>
        <v>Ardino</v>
      </c>
      <c r="AG450" s="6" t="str">
        <f>IFERROR(__xludf.DUMMYFUNCTION("""COMPUTED_VALUE"""),"Hr. T.M. Hodzhov")</f>
        <v>Hr. T.M. Hodzhov</v>
      </c>
      <c r="AH450" s="6" t="str">
        <f>IFERROR(__xludf.DUMMYFUNCTION("""COMPUTED_VALUE"""),"NL52INGB0795264739")</f>
        <v>NL52INGB0795264739</v>
      </c>
      <c r="AI450" s="9">
        <f>IFERROR(__xludf.DUMMYFUNCTION("""COMPUTED_VALUE"""),43606.0)</f>
        <v>43606</v>
      </c>
      <c r="AJ450" s="6"/>
      <c r="AK450" s="6"/>
      <c r="AL450" s="6"/>
      <c r="AM450" s="6"/>
      <c r="AN450" s="6" t="str">
        <f>IFERROR(__xludf.DUMMYFUNCTION("""COMPUTED_VALUE"""),"Taner Myumyunov Hodzhov")</f>
        <v>Taner Myumyunov Hodzhov</v>
      </c>
      <c r="AO450" s="6"/>
    </row>
    <row r="451">
      <c r="A451" s="6" t="str">
        <f>IFERROR(__xludf.DUMMYFUNCTION("""COMPUTED_VALUE"""),"Stukadoorsbedrijf Petrov")</f>
        <v>Stukadoorsbedrijf Petrov</v>
      </c>
      <c r="B451" s="6" t="str">
        <f>IFERROR(__xludf.DUMMYFUNCTION("""COMPUTED_VALUE"""),"Stukadoorsbedrijf Petrov")</f>
        <v>Stukadoorsbedrijf Petrov</v>
      </c>
      <c r="C451" s="6">
        <f>IFERROR(__xludf.DUMMYFUNCTION("""COMPUTED_VALUE"""),954.0)</f>
        <v>954</v>
      </c>
      <c r="D451" s="7" t="str">
        <f>IFERROR(__xludf.DUMMYFUNCTION("""COMPUTED_VALUE"""),"Robert Petrov")</f>
        <v>Robert Petrov</v>
      </c>
      <c r="E451" s="7" t="str">
        <f>IFERROR(__xludf.DUMMYFUNCTION("""COMPUTED_VALUE"""),"SBI-code: 4120 - Algemene burgerlijke en utiliteitsbouw")</f>
        <v>SBI-code: 4120 - Algemene burgerlijke en utiliteitsbouw</v>
      </c>
      <c r="F451" s="7" t="str">
        <f>IFERROR(__xludf.DUMMYFUNCTION("""COMPUTED_VALUE"""),"0684730251")</f>
        <v>0684730251</v>
      </c>
      <c r="G451" s="6" t="str">
        <f>IFERROR(__xludf.DUMMYFUNCTION("""COMPUTED_VALUE"""),"petrovrobert46@gmail.com")</f>
        <v>petrovrobert46@gmail.com</v>
      </c>
      <c r="H451" s="6" t="str">
        <f>IFERROR(__xludf.DUMMYFUNCTION("""COMPUTED_VALUE"""),"Stellendamstraat 221")</f>
        <v>Stellendamstraat 221</v>
      </c>
      <c r="I451" s="6" t="str">
        <f>IFERROR(__xludf.DUMMYFUNCTION("""COMPUTED_VALUE"""),"2729LJ")</f>
        <v>2729LJ</v>
      </c>
      <c r="J451" s="6" t="str">
        <f>IFERROR(__xludf.DUMMYFUNCTION("""COMPUTED_VALUE"""),"Zoetermeer")</f>
        <v>Zoetermeer</v>
      </c>
      <c r="K451" s="6" t="str">
        <f>IFERROR(__xludf.DUMMYFUNCTION("""COMPUTED_VALUE"""),"Nederland")</f>
        <v>Nederland</v>
      </c>
      <c r="L451" s="6" t="str">
        <f>IFERROR(__xludf.DUMMYFUNCTION("""COMPUTED_VALUE"""),"Петров")</f>
        <v>Петров</v>
      </c>
      <c r="M451" s="8">
        <f>IFERROR(__xludf.DUMMYFUNCTION("""COMPUTED_VALUE"""),43839.0)</f>
        <v>43839</v>
      </c>
      <c r="N451" s="6" t="str">
        <f>IFERROR(__xludf.DUMMYFUNCTION("""COMPUTED_VALUE"""),"NL475093288B01")</f>
        <v>NL475093288B01</v>
      </c>
      <c r="O451" s="6">
        <f>IFERROR(__xludf.DUMMYFUNCTION("""COMPUTED_VALUE"""),7.7124782E7)</f>
        <v>77124782</v>
      </c>
      <c r="P451" s="6" t="str">
        <f>IFERROR(__xludf.DUMMYFUNCTION("""COMPUTED_VALUE"""),"NL87INGB0007618386")</f>
        <v>NL87INGB0007618386</v>
      </c>
      <c r="Q451" s="9">
        <f>IFERROR(__xludf.DUMMYFUNCTION("""COMPUTED_VALUE"""),43839.0)</f>
        <v>43839</v>
      </c>
      <c r="R451" s="6"/>
      <c r="S451" s="6" t="str">
        <f>IFERROR(__xludf.DUMMYFUNCTION("""COMPUTED_VALUE"""),"NL003151058B53")</f>
        <v>NL003151058B53</v>
      </c>
      <c r="T451" s="6">
        <f>IFERROR(__xludf.DUMMYFUNCTION("""COMPUTED_VALUE"""),4.75093288E8)</f>
        <v>475093288</v>
      </c>
      <c r="U451" s="7" t="str">
        <f>IFERROR(__xludf.DUMMYFUNCTION("""COMPUTED_VALUE"""),"Eenmanszaak")</f>
        <v>Eenmanszaak</v>
      </c>
      <c r="V451" s="7" t="str">
        <f>IFERROR(__xludf.DUMMYFUNCTION("""COMPUTED_VALUE"""),"000044844530")</f>
        <v>000044844530</v>
      </c>
      <c r="W451" s="6" t="str">
        <f>IFERROR(__xludf.DUMMYFUNCTION("""COMPUTED_VALUE"""),"ink.stukadoorsbedrijfpetrov.2288aa@zarabota.nl")</f>
        <v>ink.stukadoorsbedrijfpetrov.2288aa@zarabota.nl</v>
      </c>
      <c r="X451" s="6" t="str">
        <f>IFERROR(__xludf.DUMMYFUNCTION("""COMPUTED_VALUE"""),"ver.stukadoorsbedrijfpetrov.2288aa@zarabota.nl")</f>
        <v>ver.stukadoorsbedrijfpetrov.2288aa@zarabota.nl</v>
      </c>
      <c r="Y451" s="6" t="str">
        <f>IFERROR(__xludf.DUMMYFUNCTION("""COMPUTED_VALUE"""),"Hr.")</f>
        <v>Hr.</v>
      </c>
      <c r="Z451" s="6" t="str">
        <f>IFERROR(__xludf.DUMMYFUNCTION("""COMPUTED_VALUE"""),"Robert")</f>
        <v>Robert</v>
      </c>
      <c r="AA451" s="6" t="str">
        <f>IFERROR(__xludf.DUMMYFUNCTION("""COMPUTED_VALUE"""),"Petrov")</f>
        <v>Petrov</v>
      </c>
      <c r="AB451" s="6" t="str">
        <f>IFERROR(__xludf.DUMMYFUNCTION("""COMPUTED_VALUE"""),"R.")</f>
        <v>R.</v>
      </c>
      <c r="AC451" s="6">
        <f>IFERROR(__xludf.DUMMYFUNCTION("""COMPUTED_VALUE"""),4.75093288E8)</f>
        <v>475093288</v>
      </c>
      <c r="AD451" s="9">
        <f>IFERROR(__xludf.DUMMYFUNCTION("""COMPUTED_VALUE"""),28643.0)</f>
        <v>28643</v>
      </c>
      <c r="AE451" s="6" t="str">
        <f>IFERROR(__xludf.DUMMYFUNCTION("""COMPUTED_VALUE"""),"bg")</f>
        <v>bg</v>
      </c>
      <c r="AF451" s="6" t="str">
        <f>IFERROR(__xludf.DUMMYFUNCTION("""COMPUTED_VALUE"""),"Sveti Nikole")</f>
        <v>Sveti Nikole</v>
      </c>
      <c r="AG451" s="6" t="str">
        <f>IFERROR(__xludf.DUMMYFUNCTION("""COMPUTED_VALUE"""),"Hr. R. Petrov")</f>
        <v>Hr. R. Petrov</v>
      </c>
      <c r="AH451" s="6"/>
      <c r="AI451" s="6"/>
      <c r="AJ451" s="6" t="str">
        <f>IFERROR(__xludf.DUMMYFUNCTION("""COMPUTED_VALUE"""),"Paspoort")</f>
        <v>Paspoort</v>
      </c>
      <c r="AK451" s="6">
        <f>IFERROR(__xludf.DUMMYFUNCTION("""COMPUTED_VALUE"""),3.86483258E8)</f>
        <v>386483258</v>
      </c>
      <c r="AL451" s="9">
        <f>IFERROR(__xludf.DUMMYFUNCTION("""COMPUTED_VALUE"""),45589.0)</f>
        <v>45589</v>
      </c>
      <c r="AM451" s="6" t="str">
        <f>IFERROR(__xludf.DUMMYFUNCTION("""COMPUTED_VALUE"""),"Noord-Macedonië")</f>
        <v>Noord-Macedonië</v>
      </c>
      <c r="AN451" s="6" t="str">
        <f>IFERROR(__xludf.DUMMYFUNCTION("""COMPUTED_VALUE"""),"Robert Petrov")</f>
        <v>Robert Petrov</v>
      </c>
      <c r="AO451" s="6"/>
    </row>
    <row r="452">
      <c r="A452" s="6" t="str">
        <f>IFERROR(__xludf.DUMMYFUNCTION("""COMPUTED_VALUE"""),"Sulo Bouw")</f>
        <v>Sulo Bouw</v>
      </c>
      <c r="B452" s="6" t="str">
        <f>IFERROR(__xludf.DUMMYFUNCTION("""COMPUTED_VALUE"""),"Sulo Bouw")</f>
        <v>Sulo Bouw</v>
      </c>
      <c r="C452" s="6">
        <f>IFERROR(__xludf.DUMMYFUNCTION("""COMPUTED_VALUE"""),847.0)</f>
        <v>847</v>
      </c>
      <c r="D452" s="7" t="str">
        <f>IFERROR(__xludf.DUMMYFUNCTION("""COMPUTED_VALUE"""),"Syuleyman Remzi Myumyun")</f>
        <v>Syuleyman Remzi Myumyun</v>
      </c>
      <c r="E452" s="7" t="str">
        <f>IFERROR(__xludf.DUMMYFUNCTION("""COMPUTED_VALUE"""),"SBI-code: 4120 - Algemene burgerlijke en utiliteitsbouw")</f>
        <v>SBI-code: 4120 - Algemene burgerlijke en utiliteitsbouw</v>
      </c>
      <c r="F452" s="7" t="str">
        <f>IFERROR(__xludf.DUMMYFUNCTION("""COMPUTED_VALUE"""),"0684829765")</f>
        <v>0684829765</v>
      </c>
      <c r="G452" s="6" t="str">
        <f>IFERROR(__xludf.DUMMYFUNCTION("""COMPUTED_VALUE"""),"rusnakk343@gmail.com")</f>
        <v>rusnakk343@gmail.com</v>
      </c>
      <c r="H452" s="6" t="str">
        <f>IFERROR(__xludf.DUMMYFUNCTION("""COMPUTED_VALUE"""),"Johan Gramstraat 28")</f>
        <v>Johan Gramstraat 28</v>
      </c>
      <c r="I452" s="6" t="str">
        <f>IFERROR(__xludf.DUMMYFUNCTION("""COMPUTED_VALUE"""),"2522WZ")</f>
        <v>2522WZ</v>
      </c>
      <c r="J452" s="6" t="str">
        <f>IFERROR(__xludf.DUMMYFUNCTION("""COMPUTED_VALUE"""),"Den Haag")</f>
        <v>Den Haag</v>
      </c>
      <c r="K452" s="6" t="str">
        <f>IFERROR(__xludf.DUMMYFUNCTION("""COMPUTED_VALUE"""),"Nederland")</f>
        <v>Nederland</v>
      </c>
      <c r="L452" s="6" t="str">
        <f>IFERROR(__xludf.DUMMYFUNCTION("""COMPUTED_VALUE"""),"Мюмюн")</f>
        <v>Мюмюн</v>
      </c>
      <c r="M452" s="8">
        <f>IFERROR(__xludf.DUMMYFUNCTION("""COMPUTED_VALUE"""),43727.0)</f>
        <v>43727</v>
      </c>
      <c r="N452" s="6" t="str">
        <f>IFERROR(__xludf.DUMMYFUNCTION("""COMPUTED_VALUE"""),"NL565117397B01")</f>
        <v>NL565117397B01</v>
      </c>
      <c r="O452" s="6">
        <f>IFERROR(__xludf.DUMMYFUNCTION("""COMPUTED_VALUE"""),7.5863685E7)</f>
        <v>75863685</v>
      </c>
      <c r="P452" s="6" t="str">
        <f>IFERROR(__xludf.DUMMYFUNCTION("""COMPUTED_VALUE"""),"NL98INGB0007475113")</f>
        <v>NL98INGB0007475113</v>
      </c>
      <c r="Q452" s="9">
        <f>IFERROR(__xludf.DUMMYFUNCTION("""COMPUTED_VALUE"""),43727.0)</f>
        <v>43727</v>
      </c>
      <c r="R452" s="6"/>
      <c r="S452" s="6" t="str">
        <f>IFERROR(__xludf.DUMMYFUNCTION("""COMPUTED_VALUE"""),"NL002501110B97")</f>
        <v>NL002501110B97</v>
      </c>
      <c r="T452" s="6">
        <f>IFERROR(__xludf.DUMMYFUNCTION("""COMPUTED_VALUE"""),5.65117397E8)</f>
        <v>565117397</v>
      </c>
      <c r="U452" s="7" t="str">
        <f>IFERROR(__xludf.DUMMYFUNCTION("""COMPUTED_VALUE"""),"Eenmanszaak")</f>
        <v>Eenmanszaak</v>
      </c>
      <c r="V452" s="7" t="str">
        <f>IFERROR(__xludf.DUMMYFUNCTION("""COMPUTED_VALUE"""),"000043711596")</f>
        <v>000043711596</v>
      </c>
      <c r="W452" s="6" t="str">
        <f>IFERROR(__xludf.DUMMYFUNCTION("""COMPUTED_VALUE"""),"ink.sulobouw.2288aa@zarabota.nl")</f>
        <v>ink.sulobouw.2288aa@zarabota.nl</v>
      </c>
      <c r="X452" s="6" t="str">
        <f>IFERROR(__xludf.DUMMYFUNCTION("""COMPUTED_VALUE"""),"ver.sulobouw.2288aa@zarabota.nl")</f>
        <v>ver.sulobouw.2288aa@zarabota.nl</v>
      </c>
      <c r="Y452" s="6" t="str">
        <f>IFERROR(__xludf.DUMMYFUNCTION("""COMPUTED_VALUE"""),"Hr.")</f>
        <v>Hr.</v>
      </c>
      <c r="Z452" s="6" t="str">
        <f>IFERROR(__xludf.DUMMYFUNCTION("""COMPUTED_VALUE"""),"Syuleyman Remzi")</f>
        <v>Syuleyman Remzi</v>
      </c>
      <c r="AA452" s="6" t="str">
        <f>IFERROR(__xludf.DUMMYFUNCTION("""COMPUTED_VALUE"""),"Myumyun")</f>
        <v>Myumyun</v>
      </c>
      <c r="AB452" s="6" t="str">
        <f>IFERROR(__xludf.DUMMYFUNCTION("""COMPUTED_VALUE"""),"S.R.")</f>
        <v>S.R.</v>
      </c>
      <c r="AC452" s="6">
        <f>IFERROR(__xludf.DUMMYFUNCTION("""COMPUTED_VALUE"""),5.65117397E8)</f>
        <v>565117397</v>
      </c>
      <c r="AD452" s="9">
        <f>IFERROR(__xludf.DUMMYFUNCTION("""COMPUTED_VALUE"""),36712.0)</f>
        <v>36712</v>
      </c>
      <c r="AE452" s="6" t="str">
        <f>IFERROR(__xludf.DUMMYFUNCTION("""COMPUTED_VALUE"""),"bg")</f>
        <v>bg</v>
      </c>
      <c r="AF452" s="6" t="str">
        <f>IFERROR(__xludf.DUMMYFUNCTION("""COMPUTED_VALUE"""),"Burgas")</f>
        <v>Burgas</v>
      </c>
      <c r="AG452" s="6" t="str">
        <f>IFERROR(__xludf.DUMMYFUNCTION("""COMPUTED_VALUE"""),"Hr. S.R. Myumyun")</f>
        <v>Hr. S.R. Myumyun</v>
      </c>
      <c r="AH452" s="6" t="str">
        <f>IFERROR(__xludf.DUMMYFUNCTION("""COMPUTED_VALUE"""),"NL79INGB0795814631")</f>
        <v>NL79INGB0795814631</v>
      </c>
      <c r="AI452" s="6"/>
      <c r="AJ452" s="6" t="str">
        <f>IFERROR(__xludf.DUMMYFUNCTION("""COMPUTED_VALUE"""),"ID Kaart")</f>
        <v>ID Kaart</v>
      </c>
      <c r="AK452" s="6">
        <f>IFERROR(__xludf.DUMMYFUNCTION("""COMPUTED_VALUE"""),6.4768338E8)</f>
        <v>647683380</v>
      </c>
      <c r="AL452" s="9">
        <f>IFERROR(__xludf.DUMMYFUNCTION("""COMPUTED_VALUE"""),46958.0)</f>
        <v>46958</v>
      </c>
      <c r="AM452" s="6"/>
      <c r="AN452" s="6" t="str">
        <f>IFERROR(__xludf.DUMMYFUNCTION("""COMPUTED_VALUE"""),"Syuleyman Remzi Myumyun")</f>
        <v>Syuleyman Remzi Myumyun</v>
      </c>
      <c r="AO452" s="6"/>
    </row>
    <row r="453">
      <c r="A453" s="6" t="str">
        <f>IFERROR(__xludf.DUMMYFUNCTION("""COMPUTED_VALUE"""),"SunBouw")</f>
        <v>SunBouw</v>
      </c>
      <c r="B453" s="6" t="str">
        <f>IFERROR(__xludf.DUMMYFUNCTION("""COMPUTED_VALUE"""),"SunBouw")</f>
        <v>SunBouw</v>
      </c>
      <c r="C453" s="6">
        <f>IFERROR(__xludf.DUMMYFUNCTION("""COMPUTED_VALUE"""),1208.0)</f>
        <v>1208</v>
      </c>
      <c r="D453" s="7" t="str">
        <f>IFERROR(__xludf.DUMMYFUNCTION("""COMPUTED_VALUE"""),"Sunay Mustafov Mollov")</f>
        <v>Sunay Mustafov Mollov</v>
      </c>
      <c r="E453" s="7" t="str">
        <f>IFERROR(__xludf.DUMMYFUNCTION("""COMPUTED_VALUE"""),"SBI-code: 43992 - Vlechten van betonstaal")</f>
        <v>SBI-code: 43992 - Vlechten van betonstaal</v>
      </c>
      <c r="F453" s="7" t="str">
        <f>IFERROR(__xludf.DUMMYFUNCTION("""COMPUTED_VALUE"""),"0628277939")</f>
        <v>0628277939</v>
      </c>
      <c r="G453" s="6" t="str">
        <f>IFERROR(__xludf.DUMMYFUNCTION("""COMPUTED_VALUE"""),"sunaymollov6@gmail.com")</f>
        <v>sunaymollov6@gmail.com</v>
      </c>
      <c r="H453" s="6" t="str">
        <f>IFERROR(__xludf.DUMMYFUNCTION("""COMPUTED_VALUE"""),"Wolweversgaarde 835")</f>
        <v>Wolweversgaarde 835</v>
      </c>
      <c r="I453" s="6" t="str">
        <f>IFERROR(__xludf.DUMMYFUNCTION("""COMPUTED_VALUE"""),"2542 BH")</f>
        <v>2542 BH</v>
      </c>
      <c r="J453" s="6" t="str">
        <f>IFERROR(__xludf.DUMMYFUNCTION("""COMPUTED_VALUE"""),"s-Gravenhage")</f>
        <v>s-Gravenhage</v>
      </c>
      <c r="K453" s="6" t="str">
        <f>IFERROR(__xludf.DUMMYFUNCTION("""COMPUTED_VALUE"""),"Nederland")</f>
        <v>Nederland</v>
      </c>
      <c r="L453" s="6" t="str">
        <f>IFERROR(__xludf.DUMMYFUNCTION("""COMPUTED_VALUE"""),"Моллов")</f>
        <v>Моллов</v>
      </c>
      <c r="M453" s="8">
        <f>IFERROR(__xludf.DUMMYFUNCTION("""COMPUTED_VALUE"""),44378.0)</f>
        <v>44378</v>
      </c>
      <c r="N453" s="6" t="str">
        <f>IFERROR(__xludf.DUMMYFUNCTION("""COMPUTED_VALUE"""),"NL454300657B01")</f>
        <v>NL454300657B01</v>
      </c>
      <c r="O453" s="6">
        <f>IFERROR(__xludf.DUMMYFUNCTION("""COMPUTED_VALUE"""),8.1764332E7)</f>
        <v>81764332</v>
      </c>
      <c r="P453" s="6" t="str">
        <f>IFERROR(__xludf.DUMMYFUNCTION("""COMPUTED_VALUE"""),"NL48INGB0008705100")</f>
        <v>NL48INGB0008705100</v>
      </c>
      <c r="Q453" s="9">
        <f>IFERROR(__xludf.DUMMYFUNCTION("""COMPUTED_VALUE"""),44228.0)</f>
        <v>44228</v>
      </c>
      <c r="R453" s="6"/>
      <c r="S453" s="6" t="str">
        <f>IFERROR(__xludf.DUMMYFUNCTION("""COMPUTED_VALUE"""),"NL003600933B55")</f>
        <v>NL003600933B55</v>
      </c>
      <c r="T453" s="6">
        <f>IFERROR(__xludf.DUMMYFUNCTION("""COMPUTED_VALUE"""),4.54300657E8)</f>
        <v>454300657</v>
      </c>
      <c r="U453" s="7" t="str">
        <f>IFERROR(__xludf.DUMMYFUNCTION("""COMPUTED_VALUE"""),"Eenmanszaak")</f>
        <v>Eenmanszaak</v>
      </c>
      <c r="V453" s="7" t="str">
        <f>IFERROR(__xludf.DUMMYFUNCTION("""COMPUTED_VALUE"""),"000048034851")</f>
        <v>000048034851</v>
      </c>
      <c r="W453" s="6" t="str">
        <f>IFERROR(__xludf.DUMMYFUNCTION("""COMPUTED_VALUE"""),"ink.sunbouw.2288aa@zarabota.nl")</f>
        <v>ink.sunbouw.2288aa@zarabota.nl</v>
      </c>
      <c r="X453" s="6" t="str">
        <f>IFERROR(__xludf.DUMMYFUNCTION("""COMPUTED_VALUE"""),"ver.sunbouw.2288aa@zarabota.nl")</f>
        <v>ver.sunbouw.2288aa@zarabota.nl</v>
      </c>
      <c r="Y453" s="6" t="str">
        <f>IFERROR(__xludf.DUMMYFUNCTION("""COMPUTED_VALUE"""),"Hr.")</f>
        <v>Hr.</v>
      </c>
      <c r="Z453" s="6" t="str">
        <f>IFERROR(__xludf.DUMMYFUNCTION("""COMPUTED_VALUE"""),"Sunay Mustafov")</f>
        <v>Sunay Mustafov</v>
      </c>
      <c r="AA453" s="6" t="str">
        <f>IFERROR(__xludf.DUMMYFUNCTION("""COMPUTED_VALUE"""),"Mollov")</f>
        <v>Mollov</v>
      </c>
      <c r="AB453" s="6" t="str">
        <f>IFERROR(__xludf.DUMMYFUNCTION("""COMPUTED_VALUE"""),"S.M.")</f>
        <v>S.M.</v>
      </c>
      <c r="AC453" s="6">
        <f>IFERROR(__xludf.DUMMYFUNCTION("""COMPUTED_VALUE"""),4.54300657E8)</f>
        <v>454300657</v>
      </c>
      <c r="AD453" s="9">
        <f>IFERROR(__xludf.DUMMYFUNCTION("""COMPUTED_VALUE"""),36606.0)</f>
        <v>36606</v>
      </c>
      <c r="AE453" s="6" t="str">
        <f>IFERROR(__xludf.DUMMYFUNCTION("""COMPUTED_VALUE"""),"bg")</f>
        <v>bg</v>
      </c>
      <c r="AF453" s="6" t="str">
        <f>IFERROR(__xludf.DUMMYFUNCTION("""COMPUTED_VALUE"""),"Plovdiv")</f>
        <v>Plovdiv</v>
      </c>
      <c r="AG453" s="6" t="str">
        <f>IFERROR(__xludf.DUMMYFUNCTION("""COMPUTED_VALUE"""),"Hr. S.M. Mollov")</f>
        <v>Hr. S.M. Mollov</v>
      </c>
      <c r="AH453" s="6" t="str">
        <f>IFERROR(__xludf.DUMMYFUNCTION("""COMPUTED_VALUE"""),"NL47INGB0431438781")</f>
        <v>NL47INGB0431438781</v>
      </c>
      <c r="AI453" s="6"/>
      <c r="AJ453" s="6" t="str">
        <f>IFERROR(__xludf.DUMMYFUNCTION("""COMPUTED_VALUE"""),"ID Kaart")</f>
        <v>ID Kaart</v>
      </c>
      <c r="AK453" s="6">
        <f>IFERROR(__xludf.DUMMYFUNCTION("""COMPUTED_VALUE"""),6.47763945E8)</f>
        <v>647763945</v>
      </c>
      <c r="AL453" s="9">
        <f>IFERROR(__xludf.DUMMYFUNCTION("""COMPUTED_VALUE"""),46972.0)</f>
        <v>46972</v>
      </c>
      <c r="AM453" s="6" t="str">
        <f>IFERROR(__xludf.DUMMYFUNCTION("""COMPUTED_VALUE"""),"Bulgarije")</f>
        <v>Bulgarije</v>
      </c>
      <c r="AN453" s="6" t="str">
        <f>IFERROR(__xludf.DUMMYFUNCTION("""COMPUTED_VALUE"""),"Sunay Mustafov Mollov")</f>
        <v>Sunay Mustafov Mollov</v>
      </c>
      <c r="AO453" s="6"/>
    </row>
    <row r="454">
      <c r="A454" s="6" t="str">
        <f>IFERROR(__xludf.DUMMYFUNCTION("""COMPUTED_VALUE"""),"Svetlione Bouw")</f>
        <v>Svetlione Bouw</v>
      </c>
      <c r="B454" s="6" t="str">
        <f>IFERROR(__xludf.DUMMYFUNCTION("""COMPUTED_VALUE"""),"Svetlione Bouw")</f>
        <v>Svetlione Bouw</v>
      </c>
      <c r="C454" s="6">
        <f>IFERROR(__xludf.DUMMYFUNCTION("""COMPUTED_VALUE"""),1754.0)</f>
        <v>1754</v>
      </c>
      <c r="D454" s="7" t="str">
        <f>IFERROR(__xludf.DUMMYFUNCTION("""COMPUTED_VALUE"""),"Svetlomir Aleksandrov Petrov")</f>
        <v>Svetlomir Aleksandrov Petrov</v>
      </c>
      <c r="E454" s="7" t="str">
        <f>IFERROR(__xludf.DUMMYFUNCTION("""COMPUTED_VALUE"""),"SBI-code: 4120 - Algemene burgerlijke en utiliteitsbouw")</f>
        <v>SBI-code: 4120 - Algemene burgerlijke en utiliteitsbouw</v>
      </c>
      <c r="F454" s="7" t="str">
        <f>IFERROR(__xludf.DUMMYFUNCTION("""COMPUTED_VALUE"""),"0617441917")</f>
        <v>0617441917</v>
      </c>
      <c r="G454" s="6" t="str">
        <f>IFERROR(__xludf.DUMMYFUNCTION("""COMPUTED_VALUE"""),"svetlione@abv.bg")</f>
        <v>svetlione@abv.bg</v>
      </c>
      <c r="H454" s="6" t="str">
        <f>IFERROR(__xludf.DUMMYFUNCTION("""COMPUTED_VALUE"""),"Oostzeestraat 206")</f>
        <v>Oostzeestraat 206</v>
      </c>
      <c r="I454" s="6" t="str">
        <f>IFERROR(__xludf.DUMMYFUNCTION("""COMPUTED_VALUE"""),"8226BJ")</f>
        <v>8226BJ</v>
      </c>
      <c r="J454" s="6" t="str">
        <f>IFERROR(__xludf.DUMMYFUNCTION("""COMPUTED_VALUE"""),"Lelystad")</f>
        <v>Lelystad</v>
      </c>
      <c r="K454" s="6" t="str">
        <f>IFERROR(__xludf.DUMMYFUNCTION("""COMPUTED_VALUE"""),"Nederland")</f>
        <v>Nederland</v>
      </c>
      <c r="L454" s="6" t="str">
        <f>IFERROR(__xludf.DUMMYFUNCTION("""COMPUTED_VALUE"""),"Петров")</f>
        <v>Петров</v>
      </c>
      <c r="M454" s="8">
        <f>IFERROR(__xludf.DUMMYFUNCTION("""COMPUTED_VALUE"""),45962.0)</f>
        <v>45962</v>
      </c>
      <c r="N454" s="6" t="str">
        <f>IFERROR(__xludf.DUMMYFUNCTION("""COMPUTED_VALUE"""),"NL699211384B01")</f>
        <v>NL699211384B01</v>
      </c>
      <c r="O454" s="6">
        <f>IFERROR(__xludf.DUMMYFUNCTION("""COMPUTED_VALUE"""),9.8826271E7)</f>
        <v>98826271</v>
      </c>
      <c r="P454" s="6" t="str">
        <f>IFERROR(__xludf.DUMMYFUNCTION("""COMPUTED_VALUE"""),"NL28INGB0117314229")</f>
        <v>NL28INGB0117314229</v>
      </c>
      <c r="Q454" s="9">
        <f>IFERROR(__xludf.DUMMYFUNCTION("""COMPUTED_VALUE"""),45962.0)</f>
        <v>45962</v>
      </c>
      <c r="R454" s="6"/>
      <c r="S454" s="6" t="str">
        <f>IFERROR(__xludf.DUMMYFUNCTION("""COMPUTED_VALUE"""),"NL005356239B12")</f>
        <v>NL005356239B12</v>
      </c>
      <c r="T454" s="6">
        <f>IFERROR(__xludf.DUMMYFUNCTION("""COMPUTED_VALUE"""),6.99211384E8)</f>
        <v>699211384</v>
      </c>
      <c r="U454" s="7" t="str">
        <f>IFERROR(__xludf.DUMMYFUNCTION("""COMPUTED_VALUE"""),"Eenmanszaak")</f>
        <v>Eenmanszaak</v>
      </c>
      <c r="V454" s="7" t="str">
        <f>IFERROR(__xludf.DUMMYFUNCTION("""COMPUTED_VALUE"""),"000063963051")</f>
        <v>000063963051</v>
      </c>
      <c r="W454" s="6" t="str">
        <f>IFERROR(__xludf.DUMMYFUNCTION("""COMPUTED_VALUE"""),"ink.svetlione.2288aa@zarabota.nl")</f>
        <v>ink.svetlione.2288aa@zarabota.nl</v>
      </c>
      <c r="X454" s="6" t="str">
        <f>IFERROR(__xludf.DUMMYFUNCTION("""COMPUTED_VALUE"""),"ver.svetlione.2288aa@zarabota.nl")</f>
        <v>ver.svetlione.2288aa@zarabota.nl</v>
      </c>
      <c r="Y454" s="6" t="str">
        <f>IFERROR(__xludf.DUMMYFUNCTION("""COMPUTED_VALUE"""),"Hr.")</f>
        <v>Hr.</v>
      </c>
      <c r="Z454" s="6" t="str">
        <f>IFERROR(__xludf.DUMMYFUNCTION("""COMPUTED_VALUE"""),"Svetlomir Aleksandrov")</f>
        <v>Svetlomir Aleksandrov</v>
      </c>
      <c r="AA454" s="6" t="str">
        <f>IFERROR(__xludf.DUMMYFUNCTION("""COMPUTED_VALUE"""),"Petrov")</f>
        <v>Petrov</v>
      </c>
      <c r="AB454" s="6" t="str">
        <f>IFERROR(__xludf.DUMMYFUNCTION("""COMPUTED_VALUE"""),"S.A.")</f>
        <v>S.A.</v>
      </c>
      <c r="AC454" s="6">
        <f>IFERROR(__xludf.DUMMYFUNCTION("""COMPUTED_VALUE"""),6.99211384E8)</f>
        <v>699211384</v>
      </c>
      <c r="AD454" s="9">
        <f>IFERROR(__xludf.DUMMYFUNCTION("""COMPUTED_VALUE"""),29707.0)</f>
        <v>29707</v>
      </c>
      <c r="AE454" s="6" t="str">
        <f>IFERROR(__xludf.DUMMYFUNCTION("""COMPUTED_VALUE"""),"bg")</f>
        <v>bg</v>
      </c>
      <c r="AF454" s="6" t="str">
        <f>IFERROR(__xludf.DUMMYFUNCTION("""COMPUTED_VALUE"""),"Dobrich")</f>
        <v>Dobrich</v>
      </c>
      <c r="AG454" s="6" t="str">
        <f>IFERROR(__xludf.DUMMYFUNCTION("""COMPUTED_VALUE"""),"Hr. S.A. Petrov")</f>
        <v>Hr. S.A. Petrov</v>
      </c>
      <c r="AH454" s="6" t="str">
        <f>IFERROR(__xludf.DUMMYFUNCTION("""COMPUTED_VALUE"""),"NL55INGB0112869297")</f>
        <v>NL55INGB0112869297</v>
      </c>
      <c r="AI454" s="6"/>
      <c r="AJ454" s="6" t="str">
        <f>IFERROR(__xludf.DUMMYFUNCTION("""COMPUTED_VALUE"""),"ID Kaart")</f>
        <v>ID Kaart</v>
      </c>
      <c r="AK454" s="6">
        <f>IFERROR(__xludf.DUMMYFUNCTION("""COMPUTED_VALUE"""),6.51511937E8)</f>
        <v>651511937</v>
      </c>
      <c r="AL454" s="9">
        <f>IFERROR(__xludf.DUMMYFUNCTION("""COMPUTED_VALUE"""),48331.0)</f>
        <v>48331</v>
      </c>
      <c r="AM454" s="6" t="str">
        <f>IFERROR(__xludf.DUMMYFUNCTION("""COMPUTED_VALUE"""),"Bulgarije")</f>
        <v>Bulgarije</v>
      </c>
      <c r="AN454" s="6" t="str">
        <f>IFERROR(__xludf.DUMMYFUNCTION("""COMPUTED_VALUE"""),"Svetlomir Aleksandrov Petrov")</f>
        <v>Svetlomir Aleksandrov Petrov</v>
      </c>
      <c r="AO454" s="6">
        <f>IFERROR(__xludf.DUMMYFUNCTION("""COMPUTED_VALUE"""),1754.0)</f>
        <v>1754</v>
      </c>
    </row>
    <row r="455">
      <c r="A455" s="6" t="str">
        <f>IFERROR(__xludf.DUMMYFUNCTION("""COMPUTED_VALUE"""),"Svetrans VOF")</f>
        <v>Svetrans VOF</v>
      </c>
      <c r="B455" s="6" t="str">
        <f>IFERROR(__xludf.DUMMYFUNCTION("""COMPUTED_VALUE"""),"Svetrans VOF")</f>
        <v>Svetrans VOF</v>
      </c>
      <c r="C455" s="6">
        <f>IFERROR(__xludf.DUMMYFUNCTION("""COMPUTED_VALUE"""),991.0)</f>
        <v>991</v>
      </c>
      <c r="D455" s="7" t="str">
        <f>IFERROR(__xludf.DUMMYFUNCTION("""COMPUTED_VALUE"""),"Svetoslav Rosenov Kehayov")</f>
        <v>Svetoslav Rosenov Kehayov</v>
      </c>
      <c r="E455" s="7" t="str">
        <f>IFERROR(__xludf.DUMMYFUNCTION("""COMPUTED_VALUE"""),"SBI-code: 4120 - Algemene burgerlijke en utiliteitsbouw")</f>
        <v>SBI-code: 4120 - Algemene burgerlijke en utiliteitsbouw</v>
      </c>
      <c r="F455" s="7" t="str">
        <f>IFERROR(__xludf.DUMMYFUNCTION("""COMPUTED_VALUE"""),"0636359339")</f>
        <v>0636359339</v>
      </c>
      <c r="G455" s="6" t="str">
        <f>IFERROR(__xludf.DUMMYFUNCTION("""COMPUTED_VALUE"""),"transport@info-svetrans.nl")</f>
        <v>transport@info-svetrans.nl</v>
      </c>
      <c r="H455" s="6" t="str">
        <f>IFERROR(__xludf.DUMMYFUNCTION("""COMPUTED_VALUE"""),"Atlantastraat 11")</f>
        <v>Atlantastraat 11</v>
      </c>
      <c r="I455" s="6" t="str">
        <f>IFERROR(__xludf.DUMMYFUNCTION("""COMPUTED_VALUE"""),"2548JL")</f>
        <v>2548JL</v>
      </c>
      <c r="J455" s="6" t="str">
        <f>IFERROR(__xludf.DUMMYFUNCTION("""COMPUTED_VALUE"""),"s-Gravenhage")</f>
        <v>s-Gravenhage</v>
      </c>
      <c r="K455" s="6" t="str">
        <f>IFERROR(__xludf.DUMMYFUNCTION("""COMPUTED_VALUE"""),"Nederland")</f>
        <v>Nederland</v>
      </c>
      <c r="L455" s="6" t="str">
        <f>IFERROR(__xludf.DUMMYFUNCTION("""COMPUTED_VALUE"""),"Кехайов")</f>
        <v>Кехайов</v>
      </c>
      <c r="M455" s="8">
        <f>IFERROR(__xludf.DUMMYFUNCTION("""COMPUTED_VALUE"""),43952.0)</f>
        <v>43952</v>
      </c>
      <c r="N455" s="6" t="str">
        <f>IFERROR(__xludf.DUMMYFUNCTION("""COMPUTED_VALUE"""),"NL861326751B01")</f>
        <v>NL861326751B01</v>
      </c>
      <c r="O455" s="6">
        <f>IFERROR(__xludf.DUMMYFUNCTION("""COMPUTED_VALUE"""),7.8272963E7)</f>
        <v>78272963</v>
      </c>
      <c r="P455" s="6" t="str">
        <f>IFERROR(__xludf.DUMMYFUNCTION("""COMPUTED_VALUE"""),"NL51INGB0007469460")</f>
        <v>NL51INGB0007469460</v>
      </c>
      <c r="Q455" s="9">
        <f>IFERROR(__xludf.DUMMYFUNCTION("""COMPUTED_VALUE"""),43952.0)</f>
        <v>43952</v>
      </c>
      <c r="R455" s="6"/>
      <c r="S455" s="6" t="str">
        <f>IFERROR(__xludf.DUMMYFUNCTION("""COMPUTED_VALUE"""),"NL861326751B01")</f>
        <v>NL861326751B01</v>
      </c>
      <c r="T455" s="6">
        <f>IFERROR(__xludf.DUMMYFUNCTION("""COMPUTED_VALUE"""),8.61326751E8)</f>
        <v>861326751</v>
      </c>
      <c r="U455" s="7" t="str">
        <f>IFERROR(__xludf.DUMMYFUNCTION("""COMPUTED_VALUE"""),"Vennootschap Onder Firma")</f>
        <v>Vennootschap Onder Firma</v>
      </c>
      <c r="V455" s="7" t="str">
        <f>IFERROR(__xludf.DUMMYFUNCTION("""COMPUTED_VALUE"""),"000035737271")</f>
        <v>000035737271</v>
      </c>
      <c r="W455" s="6" t="str">
        <f>IFERROR(__xludf.DUMMYFUNCTION("""COMPUTED_VALUE"""),"ink.svetransvof.2288aa@zarabota.nl")</f>
        <v>ink.svetransvof.2288aa@zarabota.nl</v>
      </c>
      <c r="X455" s="6" t="str">
        <f>IFERROR(__xludf.DUMMYFUNCTION("""COMPUTED_VALUE"""),"ver.svetransvof.2288aa@zarabota.nl")</f>
        <v>ver.svetransvof.2288aa@zarabota.nl</v>
      </c>
      <c r="Y455" s="6" t="str">
        <f>IFERROR(__xludf.DUMMYFUNCTION("""COMPUTED_VALUE"""),"Hr.")</f>
        <v>Hr.</v>
      </c>
      <c r="Z455" s="6" t="str">
        <f>IFERROR(__xludf.DUMMYFUNCTION("""COMPUTED_VALUE"""),"Svetoslav Rosenov")</f>
        <v>Svetoslav Rosenov</v>
      </c>
      <c r="AA455" s="6" t="str">
        <f>IFERROR(__xludf.DUMMYFUNCTION("""COMPUTED_VALUE"""),"Kehayov")</f>
        <v>Kehayov</v>
      </c>
      <c r="AB455" s="6" t="str">
        <f>IFERROR(__xludf.DUMMYFUNCTION("""COMPUTED_VALUE"""),"S.R.")</f>
        <v>S.R.</v>
      </c>
      <c r="AC455" s="6">
        <f>IFERROR(__xludf.DUMMYFUNCTION("""COMPUTED_VALUE"""),6.38974744E8)</f>
        <v>638974744</v>
      </c>
      <c r="AD455" s="9">
        <f>IFERROR(__xludf.DUMMYFUNCTION("""COMPUTED_VALUE"""),34471.0)</f>
        <v>34471</v>
      </c>
      <c r="AE455" s="6" t="str">
        <f>IFERROR(__xludf.DUMMYFUNCTION("""COMPUTED_VALUE"""),"bg")</f>
        <v>bg</v>
      </c>
      <c r="AF455" s="6" t="str">
        <f>IFERROR(__xludf.DUMMYFUNCTION("""COMPUTED_VALUE"""),"Madan")</f>
        <v>Madan</v>
      </c>
      <c r="AG455" s="6" t="str">
        <f>IFERROR(__xludf.DUMMYFUNCTION("""COMPUTED_VALUE"""),"Hr. S.R. Kehayov")</f>
        <v>Hr. S.R. Kehayov</v>
      </c>
      <c r="AH455" s="6"/>
      <c r="AI455" s="6"/>
      <c r="AJ455" s="6"/>
      <c r="AK455" s="6"/>
      <c r="AL455" s="6"/>
      <c r="AM455" s="6"/>
      <c r="AN455" s="6" t="str">
        <f>IFERROR(__xludf.DUMMYFUNCTION("""COMPUTED_VALUE"""),"Svetoslav Rosenov Kehayov")</f>
        <v>Svetoslav Rosenov Kehayov</v>
      </c>
      <c r="AO455" s="6"/>
    </row>
    <row r="456">
      <c r="A456" s="6" t="str">
        <f>IFERROR(__xludf.DUMMYFUNCTION("""COMPUTED_VALUE"""),"SVKO Bouw")</f>
        <v>SVKO Bouw</v>
      </c>
      <c r="B456" s="6" t="str">
        <f>IFERROR(__xludf.DUMMYFUNCTION("""COMPUTED_VALUE"""),"SVKO Bouw")</f>
        <v>SVKO Bouw</v>
      </c>
      <c r="C456" s="6">
        <f>IFERROR(__xludf.DUMMYFUNCTION("""COMPUTED_VALUE"""),549.0)</f>
        <v>549</v>
      </c>
      <c r="D456" s="7" t="str">
        <f>IFERROR(__xludf.DUMMYFUNCTION("""COMPUTED_VALUE"""),"Sevdalin Venelinov Kochev")</f>
        <v>Sevdalin Venelinov Kochev</v>
      </c>
      <c r="E456" s="7" t="str">
        <f>IFERROR(__xludf.DUMMYFUNCTION("""COMPUTED_VALUE"""),"SBI-code: 4120 - Algemene burgerlijke en utiliteitsbouw")</f>
        <v>SBI-code: 4120 - Algemene burgerlijke en utiliteitsbouw</v>
      </c>
      <c r="F456" s="7" t="str">
        <f>IFERROR(__xludf.DUMMYFUNCTION("""COMPUTED_VALUE"""),"0645454435")</f>
        <v>0645454435</v>
      </c>
      <c r="G456" s="6" t="str">
        <f>IFERROR(__xludf.DUMMYFUNCTION("""COMPUTED_VALUE"""),"sevdalinkochev21@gmail.com")</f>
        <v>sevdalinkochev21@gmail.com</v>
      </c>
      <c r="H456" s="6" t="str">
        <f>IFERROR(__xludf.DUMMYFUNCTION("""COMPUTED_VALUE"""),"Jan van der Heijdenstraat 4")</f>
        <v>Jan van der Heijdenstraat 4</v>
      </c>
      <c r="I456" s="6" t="str">
        <f>IFERROR(__xludf.DUMMYFUNCTION("""COMPUTED_VALUE"""),"2522EP")</f>
        <v>2522EP</v>
      </c>
      <c r="J456" s="6" t="str">
        <f>IFERROR(__xludf.DUMMYFUNCTION("""COMPUTED_VALUE"""),"s-Gravenhage")</f>
        <v>s-Gravenhage</v>
      </c>
      <c r="K456" s="6" t="str">
        <f>IFERROR(__xludf.DUMMYFUNCTION("""COMPUTED_VALUE"""),"Nederland")</f>
        <v>Nederland</v>
      </c>
      <c r="L456" s="6" t="str">
        <f>IFERROR(__xludf.DUMMYFUNCTION("""COMPUTED_VALUE"""),"Кочев")</f>
        <v>Кочев</v>
      </c>
      <c r="M456" s="8">
        <f>IFERROR(__xludf.DUMMYFUNCTION("""COMPUTED_VALUE"""),43160.0)</f>
        <v>43160</v>
      </c>
      <c r="N456" s="6" t="str">
        <f>IFERROR(__xludf.DUMMYFUNCTION("""COMPUTED_VALUE"""),"NL626100367B01")</f>
        <v>NL626100367B01</v>
      </c>
      <c r="O456" s="6">
        <f>IFERROR(__xludf.DUMMYFUNCTION("""COMPUTED_VALUE"""),7.112254E7)</f>
        <v>71122540</v>
      </c>
      <c r="P456" s="6" t="str">
        <f>IFERROR(__xludf.DUMMYFUNCTION("""COMPUTED_VALUE"""),"NL75INGB0008350661")</f>
        <v>NL75INGB0008350661</v>
      </c>
      <c r="Q456" s="9">
        <f>IFERROR(__xludf.DUMMYFUNCTION("""COMPUTED_VALUE"""),43160.0)</f>
        <v>43160</v>
      </c>
      <c r="R456" s="9">
        <f>IFERROR(__xludf.DUMMYFUNCTION("""COMPUTED_VALUE"""),43831.0)</f>
        <v>43831</v>
      </c>
      <c r="S456" s="6" t="str">
        <f>IFERROR(__xludf.DUMMYFUNCTION("""COMPUTED_VALUE"""),"NL002508876B43")</f>
        <v>NL002508876B43</v>
      </c>
      <c r="T456" s="6">
        <f>IFERROR(__xludf.DUMMYFUNCTION("""COMPUTED_VALUE"""),6.26100367E8)</f>
        <v>626100367</v>
      </c>
      <c r="U456" s="7" t="str">
        <f>IFERROR(__xludf.DUMMYFUNCTION("""COMPUTED_VALUE"""),"Eenmanszaak")</f>
        <v>Eenmanszaak</v>
      </c>
      <c r="V456" s="7" t="str">
        <f>IFERROR(__xludf.DUMMYFUNCTION("""COMPUTED_VALUE"""),"000039334724")</f>
        <v>000039334724</v>
      </c>
      <c r="W456" s="6" t="str">
        <f>IFERROR(__xludf.DUMMYFUNCTION("""COMPUTED_VALUE"""),"ink.svkobouw.2288aa@zarabota.nl")</f>
        <v>ink.svkobouw.2288aa@zarabota.nl</v>
      </c>
      <c r="X456" s="6" t="str">
        <f>IFERROR(__xludf.DUMMYFUNCTION("""COMPUTED_VALUE"""),"ver.svkobouw.2288aa@zarabota.nl")</f>
        <v>ver.svkobouw.2288aa@zarabota.nl</v>
      </c>
      <c r="Y456" s="6" t="str">
        <f>IFERROR(__xludf.DUMMYFUNCTION("""COMPUTED_VALUE"""),"Hr.")</f>
        <v>Hr.</v>
      </c>
      <c r="Z456" s="6" t="str">
        <f>IFERROR(__xludf.DUMMYFUNCTION("""COMPUTED_VALUE"""),"Sevdalin Venelinov")</f>
        <v>Sevdalin Venelinov</v>
      </c>
      <c r="AA456" s="6" t="str">
        <f>IFERROR(__xludf.DUMMYFUNCTION("""COMPUTED_VALUE"""),"Kochev")</f>
        <v>Kochev</v>
      </c>
      <c r="AB456" s="6" t="str">
        <f>IFERROR(__xludf.DUMMYFUNCTION("""COMPUTED_VALUE"""),"S.V.")</f>
        <v>S.V.</v>
      </c>
      <c r="AC456" s="6">
        <f>IFERROR(__xludf.DUMMYFUNCTION("""COMPUTED_VALUE"""),6.26100367E8)</f>
        <v>626100367</v>
      </c>
      <c r="AD456" s="9">
        <f>IFERROR(__xludf.DUMMYFUNCTION("""COMPUTED_VALUE"""),25436.0)</f>
        <v>25436</v>
      </c>
      <c r="AE456" s="6" t="str">
        <f>IFERROR(__xludf.DUMMYFUNCTION("""COMPUTED_VALUE"""),"bg")</f>
        <v>bg</v>
      </c>
      <c r="AF456" s="6" t="str">
        <f>IFERROR(__xludf.DUMMYFUNCTION("""COMPUTED_VALUE"""),"Buynovo")</f>
        <v>Buynovo</v>
      </c>
      <c r="AG456" s="6" t="str">
        <f>IFERROR(__xludf.DUMMYFUNCTION("""COMPUTED_VALUE"""),"Hr. S.V. Kochev")</f>
        <v>Hr. S.V. Kochev</v>
      </c>
      <c r="AH456" s="6"/>
      <c r="AI456" s="6"/>
      <c r="AJ456" s="6"/>
      <c r="AK456" s="6"/>
      <c r="AL456" s="6"/>
      <c r="AM456" s="6"/>
      <c r="AN456" s="6" t="str">
        <f>IFERROR(__xludf.DUMMYFUNCTION("""COMPUTED_VALUE"""),"Sevdalin Venelinov Kochev")</f>
        <v>Sevdalin Venelinov Kochev</v>
      </c>
      <c r="AO456" s="6"/>
    </row>
    <row r="457">
      <c r="A457" s="6" t="str">
        <f>IFERROR(__xludf.DUMMYFUNCTION("""COMPUTED_VALUE"""),"Systematic3 BV")</f>
        <v>Systematic3 BV</v>
      </c>
      <c r="B457" s="6" t="str">
        <f>IFERROR(__xludf.DUMMYFUNCTION("""COMPUTED_VALUE"""),"Systematic3 B.V.")</f>
        <v>Systematic3 B.V.</v>
      </c>
      <c r="C457" s="6">
        <f>IFERROR(__xludf.DUMMYFUNCTION("""COMPUTED_VALUE"""),1724.0)</f>
        <v>1724</v>
      </c>
      <c r="D457" s="7" t="str">
        <f>IFERROR(__xludf.DUMMYFUNCTION("""COMPUTED_VALUE"""),"Todor Todorov Milkov")</f>
        <v>Todor Todorov Milkov</v>
      </c>
      <c r="E457" s="7" t="str">
        <f>IFERROR(__xludf.DUMMYFUNCTION("""COMPUTED_VALUE"""),"SBI-code: 78202 - Uitleenbureaus")</f>
        <v>SBI-code: 78202 - Uitleenbureaus</v>
      </c>
      <c r="F457" s="7" t="str">
        <f>IFERROR(__xludf.DUMMYFUNCTION("""COMPUTED_VALUE"""),"0684506421")</f>
        <v>0684506421</v>
      </c>
      <c r="G457" s="6" t="str">
        <f>IFERROR(__xludf.DUMMYFUNCTION("""COMPUTED_VALUE"""),"todor.milkov@hotmail.com")</f>
        <v>todor.milkov@hotmail.com</v>
      </c>
      <c r="H457" s="6" t="str">
        <f>IFERROR(__xludf.DUMMYFUNCTION("""COMPUTED_VALUE"""),"Boswinde 39")</f>
        <v>Boswinde 39</v>
      </c>
      <c r="I457" s="6" t="str">
        <f>IFERROR(__xludf.DUMMYFUNCTION("""COMPUTED_VALUE"""),"2496WE")</f>
        <v>2496WE</v>
      </c>
      <c r="J457" s="6" t="str">
        <f>IFERROR(__xludf.DUMMYFUNCTION("""COMPUTED_VALUE"""),"s-Gravenhage")</f>
        <v>s-Gravenhage</v>
      </c>
      <c r="K457" s="6" t="str">
        <f>IFERROR(__xludf.DUMMYFUNCTION("""COMPUTED_VALUE"""),"Nederland")</f>
        <v>Nederland</v>
      </c>
      <c r="L457" s="6" t="str">
        <f>IFERROR(__xludf.DUMMYFUNCTION("""COMPUTED_VALUE"""),"Милков")</f>
        <v>Милков</v>
      </c>
      <c r="M457" s="8">
        <f>IFERROR(__xludf.DUMMYFUNCTION("""COMPUTED_VALUE"""),45882.0)</f>
        <v>45882</v>
      </c>
      <c r="N457" s="6" t="str">
        <f>IFERROR(__xludf.DUMMYFUNCTION("""COMPUTED_VALUE"""),"NL868334388B01")</f>
        <v>NL868334388B01</v>
      </c>
      <c r="O457" s="6">
        <f>IFERROR(__xludf.DUMMYFUNCTION("""COMPUTED_VALUE"""),9.8037811E7)</f>
        <v>98037811</v>
      </c>
      <c r="P457" s="6" t="str">
        <f>IFERROR(__xludf.DUMMYFUNCTION("""COMPUTED_VALUE"""),"NL")</f>
        <v>NL</v>
      </c>
      <c r="Q457" s="9">
        <f>IFERROR(__xludf.DUMMYFUNCTION("""COMPUTED_VALUE"""),45882.0)</f>
        <v>45882</v>
      </c>
      <c r="R457" s="6"/>
      <c r="S457" s="6" t="str">
        <f>IFERROR(__xludf.DUMMYFUNCTION("""COMPUTED_VALUE"""),"NL868334388B01")</f>
        <v>NL868334388B01</v>
      </c>
      <c r="T457" s="6">
        <f>IFERROR(__xludf.DUMMYFUNCTION("""COMPUTED_VALUE"""),8.68334388E8)</f>
        <v>868334388</v>
      </c>
      <c r="U457" s="7" t="str">
        <f>IFERROR(__xludf.DUMMYFUNCTION("""COMPUTED_VALUE"""),"Besloten Vennootschap")</f>
        <v>Besloten Vennootschap</v>
      </c>
      <c r="V457" s="7" t="str">
        <f>IFERROR(__xludf.DUMMYFUNCTION("""COMPUTED_VALUE"""),"000063225891")</f>
        <v>000063225891</v>
      </c>
      <c r="W457" s="6" t="str">
        <f>IFERROR(__xludf.DUMMYFUNCTION("""COMPUTED_VALUE"""),"ink.systematic3.2288aa@zarabota.nl")</f>
        <v>ink.systematic3.2288aa@zarabota.nl</v>
      </c>
      <c r="X457" s="6" t="str">
        <f>IFERROR(__xludf.DUMMYFUNCTION("""COMPUTED_VALUE"""),"ver.systematic3.2288aa@zarabota.nl")</f>
        <v>ver.systematic3.2288aa@zarabota.nl</v>
      </c>
      <c r="Y457" s="6" t="str">
        <f>IFERROR(__xludf.DUMMYFUNCTION("""COMPUTED_VALUE"""),"Hr.")</f>
        <v>Hr.</v>
      </c>
      <c r="Z457" s="6" t="str">
        <f>IFERROR(__xludf.DUMMYFUNCTION("""COMPUTED_VALUE"""),"Todor Todorov")</f>
        <v>Todor Todorov</v>
      </c>
      <c r="AA457" s="6" t="str">
        <f>IFERROR(__xludf.DUMMYFUNCTION("""COMPUTED_VALUE"""),"Milkov")</f>
        <v>Milkov</v>
      </c>
      <c r="AB457" s="6" t="str">
        <f>IFERROR(__xludf.DUMMYFUNCTION("""COMPUTED_VALUE"""),"T.T.")</f>
        <v>T.T.</v>
      </c>
      <c r="AC457" s="6">
        <f>IFERROR(__xludf.DUMMYFUNCTION("""COMPUTED_VALUE"""),6.65418097E8)</f>
        <v>665418097</v>
      </c>
      <c r="AD457" s="9">
        <f>IFERROR(__xludf.DUMMYFUNCTION("""COMPUTED_VALUE"""),33281.0)</f>
        <v>33281</v>
      </c>
      <c r="AE457" s="6" t="str">
        <f>IFERROR(__xludf.DUMMYFUNCTION("""COMPUTED_VALUE"""),"bg")</f>
        <v>bg</v>
      </c>
      <c r="AF457" s="6"/>
      <c r="AG457" s="6" t="str">
        <f>IFERROR(__xludf.DUMMYFUNCTION("""COMPUTED_VALUE"""),"Hr. T.T. Milkov")</f>
        <v>Hr. T.T. Milkov</v>
      </c>
      <c r="AH457" s="6"/>
      <c r="AI457" s="6"/>
      <c r="AJ457" s="6"/>
      <c r="AK457" s="6"/>
      <c r="AL457" s="6"/>
      <c r="AM457" s="6"/>
      <c r="AN457" s="6" t="str">
        <f>IFERROR(__xludf.DUMMYFUNCTION("""COMPUTED_VALUE"""),"Todor Todorov Milkov")</f>
        <v>Todor Todorov Milkov</v>
      </c>
      <c r="AO457" s="6">
        <f>IFERROR(__xludf.DUMMYFUNCTION("""COMPUTED_VALUE"""),1722.0)</f>
        <v>1722</v>
      </c>
    </row>
    <row r="458">
      <c r="A458" s="6" t="str">
        <f>IFERROR(__xludf.DUMMYFUNCTION("""COMPUTED_VALUE"""),"Systematic3 Partners B.V")</f>
        <v>Systematic3 Partners B.V</v>
      </c>
      <c r="B458" s="6" t="str">
        <f>IFERROR(__xludf.DUMMYFUNCTION("""COMPUTED_VALUE"""),"Systematic3 Partners B.V.")</f>
        <v>Systematic3 Partners B.V.</v>
      </c>
      <c r="C458" s="6">
        <f>IFERROR(__xludf.DUMMYFUNCTION("""COMPUTED_VALUE"""),1722.0)</f>
        <v>1722</v>
      </c>
      <c r="D458" s="7" t="str">
        <f>IFERROR(__xludf.DUMMYFUNCTION("""COMPUTED_VALUE"""),"Todor Todorov Milkov")</f>
        <v>Todor Todorov Milkov</v>
      </c>
      <c r="E458" s="7" t="str">
        <f>IFERROR(__xludf.DUMMYFUNCTION("""COMPUTED_VALUE"""),"SBI-code: 70102 Holdings (geen financiele")</f>
        <v>SBI-code: 70102 Holdings (geen financiele</v>
      </c>
      <c r="F458" s="7" t="str">
        <f>IFERROR(__xludf.DUMMYFUNCTION("""COMPUTED_VALUE"""),"0031684506421")</f>
        <v>0031684506421</v>
      </c>
      <c r="G458" s="6" t="str">
        <f>IFERROR(__xludf.DUMMYFUNCTION("""COMPUTED_VALUE"""),"syspartners@zzp-nl.nl")</f>
        <v>syspartners@zzp-nl.nl</v>
      </c>
      <c r="H458" s="6" t="str">
        <f>IFERROR(__xludf.DUMMYFUNCTION("""COMPUTED_VALUE"""),"Boswinde 39")</f>
        <v>Boswinde 39</v>
      </c>
      <c r="I458" s="6" t="str">
        <f>IFERROR(__xludf.DUMMYFUNCTION("""COMPUTED_VALUE"""),"2496WE")</f>
        <v>2496WE</v>
      </c>
      <c r="J458" s="6" t="str">
        <f>IFERROR(__xludf.DUMMYFUNCTION("""COMPUTED_VALUE"""),"s-Gravenhage")</f>
        <v>s-Gravenhage</v>
      </c>
      <c r="K458" s="6" t="str">
        <f>IFERROR(__xludf.DUMMYFUNCTION("""COMPUTED_VALUE"""),"Nederland")</f>
        <v>Nederland</v>
      </c>
      <c r="L458" s="6" t="str">
        <f>IFERROR(__xludf.DUMMYFUNCTION("""COMPUTED_VALUE"""),"Милков")</f>
        <v>Милков</v>
      </c>
      <c r="M458" s="8">
        <f>IFERROR(__xludf.DUMMYFUNCTION("""COMPUTED_VALUE"""),45882.0)</f>
        <v>45882</v>
      </c>
      <c r="N458" s="6" t="str">
        <f>IFERROR(__xludf.DUMMYFUNCTION("""COMPUTED_VALUE"""),"NL868333566B01")</f>
        <v>NL868333566B01</v>
      </c>
      <c r="O458" s="6">
        <f>IFERROR(__xludf.DUMMYFUNCTION("""COMPUTED_VALUE"""),9.8035908E7)</f>
        <v>98035908</v>
      </c>
      <c r="P458" s="6" t="str">
        <f>IFERROR(__xludf.DUMMYFUNCTION("""COMPUTED_VALUE"""),"NL")</f>
        <v>NL</v>
      </c>
      <c r="Q458" s="9">
        <f>IFERROR(__xludf.DUMMYFUNCTION("""COMPUTED_VALUE"""),45882.0)</f>
        <v>45882</v>
      </c>
      <c r="R458" s="6"/>
      <c r="S458" s="6" t="str">
        <f>IFERROR(__xludf.DUMMYFUNCTION("""COMPUTED_VALUE"""),"NL868333566B01")</f>
        <v>NL868333566B01</v>
      </c>
      <c r="T458" s="6">
        <f>IFERROR(__xludf.DUMMYFUNCTION("""COMPUTED_VALUE"""),8.68333566E8)</f>
        <v>868333566</v>
      </c>
      <c r="U458" s="7" t="str">
        <f>IFERROR(__xludf.DUMMYFUNCTION("""COMPUTED_VALUE"""),"Besloten Vennootschap")</f>
        <v>Besloten Vennootschap</v>
      </c>
      <c r="V458" s="7" t="str">
        <f>IFERROR(__xludf.DUMMYFUNCTION("""COMPUTED_VALUE"""),"000063224070")</f>
        <v>000063224070</v>
      </c>
      <c r="W458" s="6" t="str">
        <f>IFERROR(__xludf.DUMMYFUNCTION("""COMPUTED_VALUE"""),"ink.syspartners.2288aa@zarabota.nl")</f>
        <v>ink.syspartners.2288aa@zarabota.nl</v>
      </c>
      <c r="X458" s="6" t="str">
        <f>IFERROR(__xludf.DUMMYFUNCTION("""COMPUTED_VALUE"""),"ver.syspartners.2288aa@zarabota.nl")</f>
        <v>ver.syspartners.2288aa@zarabota.nl</v>
      </c>
      <c r="Y458" s="6" t="str">
        <f>IFERROR(__xludf.DUMMYFUNCTION("""COMPUTED_VALUE"""),"Hr.")</f>
        <v>Hr.</v>
      </c>
      <c r="Z458" s="6" t="str">
        <f>IFERROR(__xludf.DUMMYFUNCTION("""COMPUTED_VALUE"""),"Todor Todorov")</f>
        <v>Todor Todorov</v>
      </c>
      <c r="AA458" s="6" t="str">
        <f>IFERROR(__xludf.DUMMYFUNCTION("""COMPUTED_VALUE"""),"Milkov")</f>
        <v>Milkov</v>
      </c>
      <c r="AB458" s="6" t="str">
        <f>IFERROR(__xludf.DUMMYFUNCTION("""COMPUTED_VALUE"""),"T.T.")</f>
        <v>T.T.</v>
      </c>
      <c r="AC458" s="6">
        <f>IFERROR(__xludf.DUMMYFUNCTION("""COMPUTED_VALUE"""),6.65418097E8)</f>
        <v>665418097</v>
      </c>
      <c r="AD458" s="9">
        <f>IFERROR(__xludf.DUMMYFUNCTION("""COMPUTED_VALUE"""),33281.0)</f>
        <v>33281</v>
      </c>
      <c r="AE458" s="6" t="str">
        <f>IFERROR(__xludf.DUMMYFUNCTION("""COMPUTED_VALUE"""),"bg")</f>
        <v>bg</v>
      </c>
      <c r="AF458" s="6"/>
      <c r="AG458" s="6" t="str">
        <f>IFERROR(__xludf.DUMMYFUNCTION("""COMPUTED_VALUE"""),"Hr. T.T. Milkov")</f>
        <v>Hr. T.T. Milkov</v>
      </c>
      <c r="AH458" s="6"/>
      <c r="AI458" s="6"/>
      <c r="AJ458" s="6"/>
      <c r="AK458" s="6"/>
      <c r="AL458" s="6"/>
      <c r="AM458" s="6"/>
      <c r="AN458" s="6" t="str">
        <f>IFERROR(__xludf.DUMMYFUNCTION("""COMPUTED_VALUE"""),"Todor Todorov Milkov")</f>
        <v>Todor Todorov Milkov</v>
      </c>
      <c r="AO458" s="6">
        <f>IFERROR(__xludf.DUMMYFUNCTION("""COMPUTED_VALUE"""),1722.0)</f>
        <v>1722</v>
      </c>
    </row>
    <row r="459">
      <c r="A459" s="6" t="str">
        <f>IFERROR(__xludf.DUMMYFUNCTION("""COMPUTED_VALUE"""),"Takov Bouw")</f>
        <v>Takov Bouw</v>
      </c>
      <c r="B459" s="6" t="str">
        <f>IFERROR(__xludf.DUMMYFUNCTION("""COMPUTED_VALUE"""),"Takov Bouw")</f>
        <v>Takov Bouw</v>
      </c>
      <c r="C459" s="6">
        <f>IFERROR(__xludf.DUMMYFUNCTION("""COMPUTED_VALUE"""),1042.0)</f>
        <v>1042</v>
      </c>
      <c r="D459" s="7" t="str">
        <f>IFERROR(__xludf.DUMMYFUNCTION("""COMPUTED_VALUE"""),"Valentin Dimitrov Takov")</f>
        <v>Valentin Dimitrov Takov</v>
      </c>
      <c r="E459" s="7" t="str">
        <f>IFERROR(__xludf.DUMMYFUNCTION("""COMPUTED_VALUE"""),"SBI-code: 4120 - Algemene burgerlijke en utiliteitsbouw")</f>
        <v>SBI-code: 4120 - Algemene burgerlijke en utiliteitsbouw</v>
      </c>
      <c r="F459" s="7" t="str">
        <f>IFERROR(__xludf.DUMMYFUNCTION("""COMPUTED_VALUE"""),"0615567890")</f>
        <v>0615567890</v>
      </c>
      <c r="G459" s="6" t="str">
        <f>IFERROR(__xludf.DUMMYFUNCTION("""COMPUTED_VALUE"""),"takovvalentin@gmail.com")</f>
        <v>takovvalentin@gmail.com</v>
      </c>
      <c r="H459" s="6" t="str">
        <f>IFERROR(__xludf.DUMMYFUNCTION("""COMPUTED_VALUE"""),"Linnaeusstraat 149")</f>
        <v>Linnaeusstraat 149</v>
      </c>
      <c r="I459" s="6" t="str">
        <f>IFERROR(__xludf.DUMMYFUNCTION("""COMPUTED_VALUE"""),"2522GJ")</f>
        <v>2522GJ</v>
      </c>
      <c r="J459" s="6" t="str">
        <f>IFERROR(__xludf.DUMMYFUNCTION("""COMPUTED_VALUE"""),"s-Gravenhage")</f>
        <v>s-Gravenhage</v>
      </c>
      <c r="K459" s="6" t="str">
        <f>IFERROR(__xludf.DUMMYFUNCTION("""COMPUTED_VALUE"""),"Nederland")</f>
        <v>Nederland</v>
      </c>
      <c r="L459" s="6" t="str">
        <f>IFERROR(__xludf.DUMMYFUNCTION("""COMPUTED_VALUE"""),"Таков")</f>
        <v>Таков</v>
      </c>
      <c r="M459" s="8">
        <f>IFERROR(__xludf.DUMMYFUNCTION("""COMPUTED_VALUE"""),44105.0)</f>
        <v>44105</v>
      </c>
      <c r="N459" s="6" t="str">
        <f>IFERROR(__xludf.DUMMYFUNCTION("""COMPUTED_VALUE"""),"NL286081957B02")</f>
        <v>NL286081957B02</v>
      </c>
      <c r="O459" s="6">
        <f>IFERROR(__xludf.DUMMYFUNCTION("""COMPUTED_VALUE"""),8.0885233E7)</f>
        <v>80885233</v>
      </c>
      <c r="P459" s="6" t="str">
        <f>IFERROR(__xludf.DUMMYFUNCTION("""COMPUTED_VALUE"""),"NL04INGB0007569634")</f>
        <v>NL04INGB0007569634</v>
      </c>
      <c r="Q459" s="9">
        <f>IFERROR(__xludf.DUMMYFUNCTION("""COMPUTED_VALUE"""),44105.0)</f>
        <v>44105</v>
      </c>
      <c r="R459" s="6"/>
      <c r="S459" s="6" t="str">
        <f>IFERROR(__xludf.DUMMYFUNCTION("""COMPUTED_VALUE"""),"NL003501244B06")</f>
        <v>NL003501244B06</v>
      </c>
      <c r="T459" s="6">
        <f>IFERROR(__xludf.DUMMYFUNCTION("""COMPUTED_VALUE"""),2.86081957E8)</f>
        <v>286081957</v>
      </c>
      <c r="U459" s="7" t="str">
        <f>IFERROR(__xludf.DUMMYFUNCTION("""COMPUTED_VALUE"""),"Eenmanszaak")</f>
        <v>Eenmanszaak</v>
      </c>
      <c r="V459" s="7" t="str">
        <f>IFERROR(__xludf.DUMMYFUNCTION("""COMPUTED_VALUE"""),"000035989459")</f>
        <v>000035989459</v>
      </c>
      <c r="W459" s="6" t="str">
        <f>IFERROR(__xludf.DUMMYFUNCTION("""COMPUTED_VALUE"""),"ink.takovbouw.2288aa@zarabota.nl")</f>
        <v>ink.takovbouw.2288aa@zarabota.nl</v>
      </c>
      <c r="X459" s="6" t="str">
        <f>IFERROR(__xludf.DUMMYFUNCTION("""COMPUTED_VALUE"""),"ver.takovbouw.2288aa@zarabota.nl")</f>
        <v>ver.takovbouw.2288aa@zarabota.nl</v>
      </c>
      <c r="Y459" s="6" t="str">
        <f>IFERROR(__xludf.DUMMYFUNCTION("""COMPUTED_VALUE"""),"Hr.")</f>
        <v>Hr.</v>
      </c>
      <c r="Z459" s="6" t="str">
        <f>IFERROR(__xludf.DUMMYFUNCTION("""COMPUTED_VALUE"""),"Valentin Dimitrov")</f>
        <v>Valentin Dimitrov</v>
      </c>
      <c r="AA459" s="6" t="str">
        <f>IFERROR(__xludf.DUMMYFUNCTION("""COMPUTED_VALUE"""),"Takov")</f>
        <v>Takov</v>
      </c>
      <c r="AB459" s="6" t="str">
        <f>IFERROR(__xludf.DUMMYFUNCTION("""COMPUTED_VALUE"""),"V.D.")</f>
        <v>V.D.</v>
      </c>
      <c r="AC459" s="6">
        <f>IFERROR(__xludf.DUMMYFUNCTION("""COMPUTED_VALUE"""),2.86081957E8)</f>
        <v>286081957</v>
      </c>
      <c r="AD459" s="9">
        <f>IFERROR(__xludf.DUMMYFUNCTION("""COMPUTED_VALUE"""),28956.0)</f>
        <v>28956</v>
      </c>
      <c r="AE459" s="6" t="str">
        <f>IFERROR(__xludf.DUMMYFUNCTION("""COMPUTED_VALUE"""),"bg")</f>
        <v>bg</v>
      </c>
      <c r="AF459" s="6"/>
      <c r="AG459" s="6" t="str">
        <f>IFERROR(__xludf.DUMMYFUNCTION("""COMPUTED_VALUE"""),"Hr. V.D. Takov")</f>
        <v>Hr. V.D. Takov</v>
      </c>
      <c r="AH459" s="6"/>
      <c r="AI459" s="6"/>
      <c r="AJ459" s="6"/>
      <c r="AK459" s="6"/>
      <c r="AL459" s="6"/>
      <c r="AM459" s="6"/>
      <c r="AN459" s="6" t="str">
        <f>IFERROR(__xludf.DUMMYFUNCTION("""COMPUTED_VALUE"""),"Valentin Dimitrov Takov")</f>
        <v>Valentin Dimitrov Takov</v>
      </c>
      <c r="AO459" s="6"/>
    </row>
    <row r="460">
      <c r="A460" s="6" t="str">
        <f>IFERROR(__xludf.DUMMYFUNCTION("""COMPUTED_VALUE"""),"Tanjik 2005")</f>
        <v>Tanjik 2005</v>
      </c>
      <c r="B460" s="6" t="str">
        <f>IFERROR(__xludf.DUMMYFUNCTION("""COMPUTED_VALUE"""),"Tanjik 2005")</f>
        <v>Tanjik 2005</v>
      </c>
      <c r="C460" s="6">
        <f>IFERROR(__xludf.DUMMYFUNCTION("""COMPUTED_VALUE"""),300.0)</f>
        <v>300</v>
      </c>
      <c r="D460" s="7" t="str">
        <f>IFERROR(__xludf.DUMMYFUNCTION("""COMPUTED_VALUE"""),"Vasil Syl")</f>
        <v>Vasil Syl</v>
      </c>
      <c r="E460" s="7" t="str">
        <f>IFERROR(__xludf.DUMMYFUNCTION("""COMPUTED_VALUE"""),"SBI-code: 4120 - Algemene burgerlijke en utiliteitsbouw")</f>
        <v>SBI-code: 4120 - Algemene burgerlijke en utiliteitsbouw</v>
      </c>
      <c r="F460" s="7" t="str">
        <f>IFERROR(__xludf.DUMMYFUNCTION("""COMPUTED_VALUE"""),"0624484330")</f>
        <v>0624484330</v>
      </c>
      <c r="G460" s="6" t="str">
        <f>IFERROR(__xludf.DUMMYFUNCTION("""COMPUTED_VALUE"""),"vasil.syl@gmail.com")</f>
        <v>vasil.syl@gmail.com</v>
      </c>
      <c r="H460" s="6" t="str">
        <f>IFERROR(__xludf.DUMMYFUNCTION("""COMPUTED_VALUE"""),"Newtonplein 63 A")</f>
        <v>Newtonplein 63 A</v>
      </c>
      <c r="I460" s="6" t="str">
        <f>IFERROR(__xludf.DUMMYFUNCTION("""COMPUTED_VALUE"""),"2562 JX")</f>
        <v>2562 JX</v>
      </c>
      <c r="J460" s="6" t="str">
        <f>IFERROR(__xludf.DUMMYFUNCTION("""COMPUTED_VALUE"""),"Den Haag")</f>
        <v>Den Haag</v>
      </c>
      <c r="K460" s="6" t="str">
        <f>IFERROR(__xludf.DUMMYFUNCTION("""COMPUTED_VALUE"""),"Nederland")</f>
        <v>Nederland</v>
      </c>
      <c r="L460" s="6" t="str">
        <f>IFERROR(__xludf.DUMMYFUNCTION("""COMPUTED_VALUE"""),"Василь")</f>
        <v>Василь</v>
      </c>
      <c r="M460" s="8">
        <f>IFERROR(__xludf.DUMMYFUNCTION("""COMPUTED_VALUE"""),42438.0)</f>
        <v>42438</v>
      </c>
      <c r="N460" s="6" t="str">
        <f>IFERROR(__xludf.DUMMYFUNCTION("""COMPUTED_VALUE"""),"NL570771468B01")</f>
        <v>NL570771468B01</v>
      </c>
      <c r="O460" s="6">
        <f>IFERROR(__xludf.DUMMYFUNCTION("""COMPUTED_VALUE"""),6.552545E7)</f>
        <v>65525450</v>
      </c>
      <c r="P460" s="6" t="str">
        <f>IFERROR(__xludf.DUMMYFUNCTION("""COMPUTED_VALUE"""),"NL39INGB0007200016")</f>
        <v>NL39INGB0007200016</v>
      </c>
      <c r="Q460" s="9">
        <f>IFERROR(__xludf.DUMMYFUNCTION("""COMPUTED_VALUE"""),42438.0)</f>
        <v>42438</v>
      </c>
      <c r="R460" s="6"/>
      <c r="S460" s="6" t="str">
        <f>IFERROR(__xludf.DUMMYFUNCTION("""COMPUTED_VALUE"""),"NL002501660B94")</f>
        <v>NL002501660B94</v>
      </c>
      <c r="T460" s="6">
        <f>IFERROR(__xludf.DUMMYFUNCTION("""COMPUTED_VALUE"""),5.70771468E8)</f>
        <v>570771468</v>
      </c>
      <c r="U460" s="7" t="str">
        <f>IFERROR(__xludf.DUMMYFUNCTION("""COMPUTED_VALUE"""),"Eenmanszaak")</f>
        <v>Eenmanszaak</v>
      </c>
      <c r="V460" s="7" t="str">
        <f>IFERROR(__xludf.DUMMYFUNCTION("""COMPUTED_VALUE"""),"000034243593")</f>
        <v>000034243593</v>
      </c>
      <c r="W460" s="6" t="str">
        <f>IFERROR(__xludf.DUMMYFUNCTION("""COMPUTED_VALUE"""),"ink.tanjik2005.2288aa@zarabota.nl")</f>
        <v>ink.tanjik2005.2288aa@zarabota.nl</v>
      </c>
      <c r="X460" s="6" t="str">
        <f>IFERROR(__xludf.DUMMYFUNCTION("""COMPUTED_VALUE"""),"ver.tanjik2005.2288aa@zarabota.nl")</f>
        <v>ver.tanjik2005.2288aa@zarabota.nl</v>
      </c>
      <c r="Y460" s="6" t="str">
        <f>IFERROR(__xludf.DUMMYFUNCTION("""COMPUTED_VALUE"""),"Hr.")</f>
        <v>Hr.</v>
      </c>
      <c r="Z460" s="6" t="str">
        <f>IFERROR(__xludf.DUMMYFUNCTION("""COMPUTED_VALUE"""),"Vasil")</f>
        <v>Vasil</v>
      </c>
      <c r="AA460" s="6" t="str">
        <f>IFERROR(__xludf.DUMMYFUNCTION("""COMPUTED_VALUE"""),"Sul")</f>
        <v>Sul</v>
      </c>
      <c r="AB460" s="6" t="str">
        <f>IFERROR(__xludf.DUMMYFUNCTION("""COMPUTED_VALUE"""),"V.")</f>
        <v>V.</v>
      </c>
      <c r="AC460" s="6">
        <f>IFERROR(__xludf.DUMMYFUNCTION("""COMPUTED_VALUE"""),5.70771468E8)</f>
        <v>570771468</v>
      </c>
      <c r="AD460" s="9">
        <f>IFERROR(__xludf.DUMMYFUNCTION("""COMPUTED_VALUE"""),25694.0)</f>
        <v>25694</v>
      </c>
      <c r="AE460" s="6" t="str">
        <f>IFERROR(__xludf.DUMMYFUNCTION("""COMPUTED_VALUE"""),"bg")</f>
        <v>bg</v>
      </c>
      <c r="AF460" s="6"/>
      <c r="AG460" s="6" t="str">
        <f>IFERROR(__xludf.DUMMYFUNCTION("""COMPUTED_VALUE"""),"Hr. V. Sul")</f>
        <v>Hr. V. Sul</v>
      </c>
      <c r="AH460" s="6"/>
      <c r="AI460" s="6"/>
      <c r="AJ460" s="6"/>
      <c r="AK460" s="6"/>
      <c r="AL460" s="6"/>
      <c r="AM460" s="6"/>
      <c r="AN460" s="6" t="str">
        <f>IFERROR(__xludf.DUMMYFUNCTION("""COMPUTED_VALUE"""),"Vasil Sul")</f>
        <v>Vasil Sul</v>
      </c>
      <c r="AO460" s="6"/>
    </row>
    <row r="461">
      <c r="A461" s="6" t="str">
        <f>IFERROR(__xludf.DUMMYFUNCTION("""COMPUTED_VALUE"""),"Tankista 77 VOF")</f>
        <v>Tankista 77 VOF</v>
      </c>
      <c r="B461" s="6" t="str">
        <f>IFERROR(__xludf.DUMMYFUNCTION("""COMPUTED_VALUE"""),"Tankista 77 VOF")</f>
        <v>Tankista 77 VOF</v>
      </c>
      <c r="C461" s="6">
        <f>IFERROR(__xludf.DUMMYFUNCTION("""COMPUTED_VALUE"""),1566.0)</f>
        <v>1566</v>
      </c>
      <c r="D461" s="7" t="str">
        <f>IFERROR(__xludf.DUMMYFUNCTION("""COMPUTED_VALUE"""),"Sevdalin Asenov Yankov")</f>
        <v>Sevdalin Asenov Yankov</v>
      </c>
      <c r="E461" s="7" t="str">
        <f>IFERROR(__xludf.DUMMYFUNCTION("""COMPUTED_VALUE"""),"SBI-code: 4120 - Algemene burgerlijke en utiliteitsbouw")</f>
        <v>SBI-code: 4120 - Algemene burgerlijke en utiliteitsbouw</v>
      </c>
      <c r="F461" s="7" t="str">
        <f>IFERROR(__xludf.DUMMYFUNCTION("""COMPUTED_VALUE"""),"0685428505")</f>
        <v>0685428505</v>
      </c>
      <c r="G461" s="6" t="str">
        <f>IFERROR(__xludf.DUMMYFUNCTION("""COMPUTED_VALUE"""),"tsstankista@gmail.com")</f>
        <v>tsstankista@gmail.com</v>
      </c>
      <c r="H461" s="6" t="str">
        <f>IFERROR(__xludf.DUMMYFUNCTION("""COMPUTED_VALUE"""),"Thomas à Kempisstraat 3")</f>
        <v>Thomas à Kempisstraat 3</v>
      </c>
      <c r="I461" s="6" t="str">
        <f>IFERROR(__xludf.DUMMYFUNCTION("""COMPUTED_VALUE"""),"3117CA")</f>
        <v>3117CA</v>
      </c>
      <c r="J461" s="6" t="str">
        <f>IFERROR(__xludf.DUMMYFUNCTION("""COMPUTED_VALUE"""),"Schiedam")</f>
        <v>Schiedam</v>
      </c>
      <c r="K461" s="6" t="str">
        <f>IFERROR(__xludf.DUMMYFUNCTION("""COMPUTED_VALUE"""),"Nederland")</f>
        <v>Nederland</v>
      </c>
      <c r="L461" s="6" t="str">
        <f>IFERROR(__xludf.DUMMYFUNCTION("""COMPUTED_VALUE"""),"Янков")</f>
        <v>Янков</v>
      </c>
      <c r="M461" s="8">
        <f>IFERROR(__xludf.DUMMYFUNCTION("""COMPUTED_VALUE"""),45292.0)</f>
        <v>45292</v>
      </c>
      <c r="N461" s="6" t="str">
        <f>IFERROR(__xludf.DUMMYFUNCTION("""COMPUTED_VALUE"""),"NL787125593B01")</f>
        <v>NL787125593B01</v>
      </c>
      <c r="O461" s="6">
        <f>IFERROR(__xludf.DUMMYFUNCTION("""COMPUTED_VALUE"""),9.2566138E7)</f>
        <v>92566138</v>
      </c>
      <c r="P461" s="6" t="str">
        <f>IFERROR(__xludf.DUMMYFUNCTION("""COMPUTED_VALUE"""),"NL46INGB0006289448")</f>
        <v>NL46INGB0006289448</v>
      </c>
      <c r="Q461" s="9">
        <f>IFERROR(__xludf.DUMMYFUNCTION("""COMPUTED_VALUE"""),45292.0)</f>
        <v>45292</v>
      </c>
      <c r="R461" s="6"/>
      <c r="S461" s="6" t="str">
        <f>IFERROR(__xludf.DUMMYFUNCTION("""COMPUTED_VALUE"""),"NL866101354B01")</f>
        <v>NL866101354B01</v>
      </c>
      <c r="T461" s="6">
        <f>IFERROR(__xludf.DUMMYFUNCTION("""COMPUTED_VALUE"""),7.87125593E8)</f>
        <v>787125593</v>
      </c>
      <c r="U461" s="7" t="str">
        <f>IFERROR(__xludf.DUMMYFUNCTION("""COMPUTED_VALUE"""),"Vennootschap Onder Firma")</f>
        <v>Vennootschap Onder Firma</v>
      </c>
      <c r="V461" s="7" t="str">
        <f>IFERROR(__xludf.DUMMYFUNCTION("""COMPUTED_VALUE"""),"000027306763")</f>
        <v>000027306763</v>
      </c>
      <c r="W461" s="6" t="str">
        <f>IFERROR(__xludf.DUMMYFUNCTION("""COMPUTED_VALUE"""),"ink.tankista.2288aa@zarabota.nl")</f>
        <v>ink.tankista.2288aa@zarabota.nl</v>
      </c>
      <c r="X461" s="6" t="str">
        <f>IFERROR(__xludf.DUMMYFUNCTION("""COMPUTED_VALUE"""),"ver.tankista.2288aa@zarabota.nl")</f>
        <v>ver.tankista.2288aa@zarabota.nl</v>
      </c>
      <c r="Y461" s="6" t="str">
        <f>IFERROR(__xludf.DUMMYFUNCTION("""COMPUTED_VALUE"""),"Hr.")</f>
        <v>Hr.</v>
      </c>
      <c r="Z461" s="6" t="str">
        <f>IFERROR(__xludf.DUMMYFUNCTION("""COMPUTED_VALUE"""),"Sevdalin Asenov")</f>
        <v>Sevdalin Asenov</v>
      </c>
      <c r="AA461" s="6" t="str">
        <f>IFERROR(__xludf.DUMMYFUNCTION("""COMPUTED_VALUE"""),"Yankov")</f>
        <v>Yankov</v>
      </c>
      <c r="AB461" s="6" t="str">
        <f>IFERROR(__xludf.DUMMYFUNCTION("""COMPUTED_VALUE"""),"S.A.")</f>
        <v>S.A.</v>
      </c>
      <c r="AC461" s="6">
        <f>IFERROR(__xludf.DUMMYFUNCTION("""COMPUTED_VALUE"""),7.87125593E8)</f>
        <v>787125593</v>
      </c>
      <c r="AD461" s="9">
        <f>IFERROR(__xludf.DUMMYFUNCTION("""COMPUTED_VALUE"""),28143.0)</f>
        <v>28143</v>
      </c>
      <c r="AE461" s="6" t="str">
        <f>IFERROR(__xludf.DUMMYFUNCTION("""COMPUTED_VALUE"""),"bg")</f>
        <v>bg</v>
      </c>
      <c r="AF461" s="6" t="str">
        <f>IFERROR(__xludf.DUMMYFUNCTION("""COMPUTED_VALUE"""),"Targovishte")</f>
        <v>Targovishte</v>
      </c>
      <c r="AG461" s="6" t="str">
        <f>IFERROR(__xludf.DUMMYFUNCTION("""COMPUTED_VALUE"""),"Hr. S.A. Yankov")</f>
        <v>Hr. S.A. Yankov</v>
      </c>
      <c r="AH461" s="6"/>
      <c r="AI461" s="6"/>
      <c r="AJ461" s="6" t="str">
        <f>IFERROR(__xludf.DUMMYFUNCTION("""COMPUTED_VALUE"""),"ID Kaart")</f>
        <v>ID Kaart</v>
      </c>
      <c r="AK461" s="6">
        <f>IFERROR(__xludf.DUMMYFUNCTION("""COMPUTED_VALUE"""),6.47776753E8)</f>
        <v>647776753</v>
      </c>
      <c r="AL461" s="9">
        <f>IFERROR(__xludf.DUMMYFUNCTION("""COMPUTED_VALUE"""),46979.0)</f>
        <v>46979</v>
      </c>
      <c r="AM461" s="6" t="str">
        <f>IFERROR(__xludf.DUMMYFUNCTION("""COMPUTED_VALUE"""),"Bulgarije")</f>
        <v>Bulgarije</v>
      </c>
      <c r="AN461" s="6" t="str">
        <f>IFERROR(__xludf.DUMMYFUNCTION("""COMPUTED_VALUE"""),"Sevdalin Asenov Yankov")</f>
        <v>Sevdalin Asenov Yankov</v>
      </c>
      <c r="AO461" s="6">
        <f>IFERROR(__xludf.DUMMYFUNCTION("""COMPUTED_VALUE"""),1566.0)</f>
        <v>1566</v>
      </c>
    </row>
    <row r="462">
      <c r="A462" s="6" t="str">
        <f>IFERROR(__xludf.DUMMYFUNCTION("""COMPUTED_VALUE"""),"Tegelzettersbedrijf F&amp;M")</f>
        <v>Tegelzettersbedrijf F&amp;M</v>
      </c>
      <c r="B462" s="6" t="str">
        <f>IFERROR(__xludf.DUMMYFUNCTION("""COMPUTED_VALUE"""),"Tegelzettersbedrijf F&amp;M")</f>
        <v>Tegelzettersbedrijf F&amp;M</v>
      </c>
      <c r="C462" s="6">
        <f>IFERROR(__xludf.DUMMYFUNCTION("""COMPUTED_VALUE"""),1595.0)</f>
        <v>1595</v>
      </c>
      <c r="D462" s="7" t="str">
        <f>IFERROR(__xludf.DUMMYFUNCTION("""COMPUTED_VALUE"""),"Dimitar Atanasov Kehayov")</f>
        <v>Dimitar Atanasov Kehayov</v>
      </c>
      <c r="E462" s="7" t="str">
        <f>IFERROR(__xludf.DUMMYFUNCTION("""COMPUTED_VALUE"""),"SBI-code: 4120 - Algemene burgerlijke en utiliteitsbouw")</f>
        <v>SBI-code: 4120 - Algemene burgerlijke en utiliteitsbouw</v>
      </c>
      <c r="F462" s="7" t="str">
        <f>IFERROR(__xludf.DUMMYFUNCTION("""COMPUTED_VALUE"""),"06551353390")</f>
        <v>06551353390</v>
      </c>
      <c r="G462" s="6" t="str">
        <f>IFERROR(__xludf.DUMMYFUNCTION("""COMPUTED_VALUE"""),"info@fmtegels.nl")</f>
        <v>info@fmtegels.nl</v>
      </c>
      <c r="H462" s="6" t="str">
        <f>IFERROR(__xludf.DUMMYFUNCTION("""COMPUTED_VALUE"""),"Miamihof 36")</f>
        <v>Miamihof 36</v>
      </c>
      <c r="I462" s="6" t="str">
        <f>IFERROR(__xludf.DUMMYFUNCTION("""COMPUTED_VALUE"""),"2548JB")</f>
        <v>2548JB</v>
      </c>
      <c r="J462" s="6" t="str">
        <f>IFERROR(__xludf.DUMMYFUNCTION("""COMPUTED_VALUE"""),"s-Gravenhage")</f>
        <v>s-Gravenhage</v>
      </c>
      <c r="K462" s="6" t="str">
        <f>IFERROR(__xludf.DUMMYFUNCTION("""COMPUTED_VALUE"""),"Nederland")</f>
        <v>Nederland</v>
      </c>
      <c r="L462" s="6" t="str">
        <f>IFERROR(__xludf.DUMMYFUNCTION("""COMPUTED_VALUE"""),"Кехайов")</f>
        <v>Кехайов</v>
      </c>
      <c r="M462" s="8">
        <f>IFERROR(__xludf.DUMMYFUNCTION("""COMPUTED_VALUE"""),45292.0)</f>
        <v>45292</v>
      </c>
      <c r="N462" s="6" t="str">
        <f>IFERROR(__xludf.DUMMYFUNCTION("""COMPUTED_VALUE"""),"NL866183620B01")</f>
        <v>NL866183620B01</v>
      </c>
      <c r="O462" s="6">
        <f>IFERROR(__xludf.DUMMYFUNCTION("""COMPUTED_VALUE"""),9.2819737E7)</f>
        <v>92819737</v>
      </c>
      <c r="P462" s="6" t="str">
        <f>IFERROR(__xludf.DUMMYFUNCTION("""COMPUTED_VALUE"""),"NL43INGB0105981737")</f>
        <v>NL43INGB0105981737</v>
      </c>
      <c r="Q462" s="9">
        <f>IFERROR(__xludf.DUMMYFUNCTION("""COMPUTED_VALUE"""),45292.0)</f>
        <v>45292</v>
      </c>
      <c r="R462" s="6"/>
      <c r="S462" s="6" t="str">
        <f>IFERROR(__xludf.DUMMYFUNCTION("""COMPUTED_VALUE"""),"NL866183620B01")</f>
        <v>NL866183620B01</v>
      </c>
      <c r="T462" s="6">
        <f>IFERROR(__xludf.DUMMYFUNCTION("""COMPUTED_VALUE"""),8.6618362E8)</f>
        <v>866183620</v>
      </c>
      <c r="U462" s="7" t="str">
        <f>IFERROR(__xludf.DUMMYFUNCTION("""COMPUTED_VALUE"""),"Eenmanszaak")</f>
        <v>Eenmanszaak</v>
      </c>
      <c r="V462" s="7" t="str">
        <f>IFERROR(__xludf.DUMMYFUNCTION("""COMPUTED_VALUE"""),"000058399852")</f>
        <v>000058399852</v>
      </c>
      <c r="W462" s="6" t="str">
        <f>IFERROR(__xludf.DUMMYFUNCTION("""COMPUTED_VALUE"""),"ink.fmtegels.2288aa@zarabota.nl")</f>
        <v>ink.fmtegels.2288aa@zarabota.nl</v>
      </c>
      <c r="X462" s="6" t="str">
        <f>IFERROR(__xludf.DUMMYFUNCTION("""COMPUTED_VALUE"""),"ver.fmtegels.2288aa@zarabota.nl")</f>
        <v>ver.fmtegels.2288aa@zarabota.nl</v>
      </c>
      <c r="Y462" s="6" t="str">
        <f>IFERROR(__xludf.DUMMYFUNCTION("""COMPUTED_VALUE"""),"Hr.")</f>
        <v>Hr.</v>
      </c>
      <c r="Z462" s="6" t="str">
        <f>IFERROR(__xludf.DUMMYFUNCTION("""COMPUTED_VALUE"""),"Dimitar Atanasov")</f>
        <v>Dimitar Atanasov</v>
      </c>
      <c r="AA462" s="6" t="str">
        <f>IFERROR(__xludf.DUMMYFUNCTION("""COMPUTED_VALUE"""),"Kehayov")</f>
        <v>Kehayov</v>
      </c>
      <c r="AB462" s="6" t="str">
        <f>IFERROR(__xludf.DUMMYFUNCTION("""COMPUTED_VALUE"""),"D.A.")</f>
        <v>D.A.</v>
      </c>
      <c r="AC462" s="6">
        <f>IFERROR(__xludf.DUMMYFUNCTION("""COMPUTED_VALUE"""),3.7083116E8)</f>
        <v>370831160</v>
      </c>
      <c r="AD462" s="9">
        <f>IFERROR(__xludf.DUMMYFUNCTION("""COMPUTED_VALUE"""),27866.0)</f>
        <v>27866</v>
      </c>
      <c r="AE462" s="6" t="str">
        <f>IFERROR(__xludf.DUMMYFUNCTION("""COMPUTED_VALUE"""),"bg")</f>
        <v>bg</v>
      </c>
      <c r="AF462" s="6"/>
      <c r="AG462" s="6" t="str">
        <f>IFERROR(__xludf.DUMMYFUNCTION("""COMPUTED_VALUE"""),"Hr. D.A. Kehayov")</f>
        <v>Hr. D.A. Kehayov</v>
      </c>
      <c r="AH462" s="6"/>
      <c r="AI462" s="6"/>
      <c r="AJ462" s="6"/>
      <c r="AK462" s="6"/>
      <c r="AL462" s="6"/>
      <c r="AM462" s="6"/>
      <c r="AN462" s="6" t="str">
        <f>IFERROR(__xludf.DUMMYFUNCTION("""COMPUTED_VALUE"""),"Dimitar Atanasov Kehayov")</f>
        <v>Dimitar Atanasov Kehayov</v>
      </c>
      <c r="AO462" s="6"/>
    </row>
    <row r="463">
      <c r="A463" s="6" t="str">
        <f>IFERROR(__xludf.DUMMYFUNCTION("""COMPUTED_VALUE"""),"TEP Bouw")</f>
        <v>TEP Bouw</v>
      </c>
      <c r="B463" s="6" t="str">
        <f>IFERROR(__xludf.DUMMYFUNCTION("""COMPUTED_VALUE"""),"TEP Bouw")</f>
        <v>TEP Bouw</v>
      </c>
      <c r="C463" s="6">
        <f>IFERROR(__xludf.DUMMYFUNCTION("""COMPUTED_VALUE"""),913.0)</f>
        <v>913</v>
      </c>
      <c r="D463" s="7" t="str">
        <f>IFERROR(__xludf.DUMMYFUNCTION("""COMPUTED_VALUE"""),"Valentin Kostov Valchev")</f>
        <v>Valentin Kostov Valchev</v>
      </c>
      <c r="E463" s="7" t="str">
        <f>IFERROR(__xludf.DUMMYFUNCTION("""COMPUTED_VALUE"""),"SBI-code: 4120 - Algemene burgerlijke en utiliteitsbouw")</f>
        <v>SBI-code: 4120 - Algemene burgerlijke en utiliteitsbouw</v>
      </c>
      <c r="F463" s="7" t="str">
        <f>IFERROR(__xludf.DUMMYFUNCTION("""COMPUTED_VALUE"""),"0687755104")</f>
        <v>0687755104</v>
      </c>
      <c r="G463" s="6" t="str">
        <f>IFERROR(__xludf.DUMMYFUNCTION("""COMPUTED_VALUE"""),"valio771106@gmail.com")</f>
        <v>valio771106@gmail.com</v>
      </c>
      <c r="H463" s="6" t="str">
        <f>IFERROR(__xludf.DUMMYFUNCTION("""COMPUTED_VALUE"""),"Convivastraat 78")</f>
        <v>Convivastraat 78</v>
      </c>
      <c r="I463" s="6" t="str">
        <f>IFERROR(__xludf.DUMMYFUNCTION("""COMPUTED_VALUE"""),"2522XK")</f>
        <v>2522XK</v>
      </c>
      <c r="J463" s="6" t="str">
        <f>IFERROR(__xludf.DUMMYFUNCTION("""COMPUTED_VALUE"""),"s-Gravenhage")</f>
        <v>s-Gravenhage</v>
      </c>
      <c r="K463" s="6" t="str">
        <f>IFERROR(__xludf.DUMMYFUNCTION("""COMPUTED_VALUE"""),"Nederland")</f>
        <v>Nederland</v>
      </c>
      <c r="L463" s="6" t="str">
        <f>IFERROR(__xludf.DUMMYFUNCTION("""COMPUTED_VALUE"""),"Вълчев")</f>
        <v>Вълчев</v>
      </c>
      <c r="M463" s="8">
        <f>IFERROR(__xludf.DUMMYFUNCTION("""COMPUTED_VALUE"""),43871.0)</f>
        <v>43871</v>
      </c>
      <c r="N463" s="6" t="str">
        <f>IFERROR(__xludf.DUMMYFUNCTION("""COMPUTED_VALUE"""),"NL611998051B01")</f>
        <v>NL611998051B01</v>
      </c>
      <c r="O463" s="6">
        <f>IFERROR(__xludf.DUMMYFUNCTION("""COMPUTED_VALUE"""),7.7429311E7)</f>
        <v>77429311</v>
      </c>
      <c r="P463" s="6" t="str">
        <f>IFERROR(__xludf.DUMMYFUNCTION("""COMPUTED_VALUE"""),"NL87INGB0009560811")</f>
        <v>NL87INGB0009560811</v>
      </c>
      <c r="Q463" s="9">
        <f>IFERROR(__xludf.DUMMYFUNCTION("""COMPUTED_VALUE"""),43871.0)</f>
        <v>43871</v>
      </c>
      <c r="R463" s="6"/>
      <c r="S463" s="6" t="str">
        <f>IFERROR(__xludf.DUMMYFUNCTION("""COMPUTED_VALUE"""),"NL003192588B24")</f>
        <v>NL003192588B24</v>
      </c>
      <c r="T463" s="6">
        <f>IFERROR(__xludf.DUMMYFUNCTION("""COMPUTED_VALUE"""),6.11998051E8)</f>
        <v>611998051</v>
      </c>
      <c r="U463" s="7" t="str">
        <f>IFERROR(__xludf.DUMMYFUNCTION("""COMPUTED_VALUE"""),"Eenmanszaak")</f>
        <v>Eenmanszaak</v>
      </c>
      <c r="V463" s="7" t="str">
        <f>IFERROR(__xludf.DUMMYFUNCTION("""COMPUTED_VALUE"""),"000045131325")</f>
        <v>000045131325</v>
      </c>
      <c r="W463" s="6" t="str">
        <f>IFERROR(__xludf.DUMMYFUNCTION("""COMPUTED_VALUE"""),"ink.tepbouw.2288aa@zarabota.nl")</f>
        <v>ink.tepbouw.2288aa@zarabota.nl</v>
      </c>
      <c r="X463" s="6" t="str">
        <f>IFERROR(__xludf.DUMMYFUNCTION("""COMPUTED_VALUE"""),"ver.tepbouw.2288aa@zarabota.nl")</f>
        <v>ver.tepbouw.2288aa@zarabota.nl</v>
      </c>
      <c r="Y463" s="6" t="str">
        <f>IFERROR(__xludf.DUMMYFUNCTION("""COMPUTED_VALUE"""),"Hr.")</f>
        <v>Hr.</v>
      </c>
      <c r="Z463" s="6" t="str">
        <f>IFERROR(__xludf.DUMMYFUNCTION("""COMPUTED_VALUE"""),"Valentin Kostov")</f>
        <v>Valentin Kostov</v>
      </c>
      <c r="AA463" s="6" t="str">
        <f>IFERROR(__xludf.DUMMYFUNCTION("""COMPUTED_VALUE"""),"Valchev")</f>
        <v>Valchev</v>
      </c>
      <c r="AB463" s="6" t="str">
        <f>IFERROR(__xludf.DUMMYFUNCTION("""COMPUTED_VALUE"""),"V.K.")</f>
        <v>V.K.</v>
      </c>
      <c r="AC463" s="6">
        <f>IFERROR(__xludf.DUMMYFUNCTION("""COMPUTED_VALUE"""),6.11998051E8)</f>
        <v>611998051</v>
      </c>
      <c r="AD463" s="9">
        <f>IFERROR(__xludf.DUMMYFUNCTION("""COMPUTED_VALUE"""),28287.0)</f>
        <v>28287</v>
      </c>
      <c r="AE463" s="6" t="str">
        <f>IFERROR(__xludf.DUMMYFUNCTION("""COMPUTED_VALUE"""),"bg")</f>
        <v>bg</v>
      </c>
      <c r="AF463" s="6" t="str">
        <f>IFERROR(__xludf.DUMMYFUNCTION("""COMPUTED_VALUE"""),"Krumovgrad")</f>
        <v>Krumovgrad</v>
      </c>
      <c r="AG463" s="6" t="str">
        <f>IFERROR(__xludf.DUMMYFUNCTION("""COMPUTED_VALUE"""),"Hr. V.K. Valchev")</f>
        <v>Hr. V.K. Valchev</v>
      </c>
      <c r="AH463" s="6" t="str">
        <f>IFERROR(__xludf.DUMMYFUNCTION("""COMPUTED_VALUE"""),"NL60INGB0673255085")</f>
        <v>NL60INGB0673255085</v>
      </c>
      <c r="AI463" s="6"/>
      <c r="AJ463" s="6" t="str">
        <f>IFERROR(__xludf.DUMMYFUNCTION("""COMPUTED_VALUE"""),"ID Kaart")</f>
        <v>ID Kaart</v>
      </c>
      <c r="AK463" s="6">
        <f>IFERROR(__xludf.DUMMYFUNCTION("""COMPUTED_VALUE"""),6.4316775E9)</f>
        <v>6431677500</v>
      </c>
      <c r="AL463" s="9">
        <f>IFERROR(__xludf.DUMMYFUNCTION("""COMPUTED_VALUE"""),44487.0)</f>
        <v>44487</v>
      </c>
      <c r="AM463" s="6" t="str">
        <f>IFERROR(__xludf.DUMMYFUNCTION("""COMPUTED_VALUE"""),"Bulgarije")</f>
        <v>Bulgarije</v>
      </c>
      <c r="AN463" s="6" t="str">
        <f>IFERROR(__xludf.DUMMYFUNCTION("""COMPUTED_VALUE"""),"Valentin Kostov Valchev")</f>
        <v>Valentin Kostov Valchev</v>
      </c>
      <c r="AO463" s="6"/>
    </row>
    <row r="464">
      <c r="A464" s="6" t="str">
        <f>IFERROR(__xludf.DUMMYFUNCTION("""COMPUTED_VALUE"""),"Teres bouw")</f>
        <v>Teres bouw</v>
      </c>
      <c r="B464" s="6" t="str">
        <f>IFERROR(__xludf.DUMMYFUNCTION("""COMPUTED_VALUE"""),"Teres bouw")</f>
        <v>Teres bouw</v>
      </c>
      <c r="C464" s="6">
        <f>IFERROR(__xludf.DUMMYFUNCTION("""COMPUTED_VALUE"""),1347.0)</f>
        <v>1347</v>
      </c>
      <c r="D464" s="7" t="str">
        <f>IFERROR(__xludf.DUMMYFUNCTION("""COMPUTED_VALUE"""),"Mykola Tereshchuk")</f>
        <v>Mykola Tereshchuk</v>
      </c>
      <c r="E464" s="7" t="str">
        <f>IFERROR(__xludf.DUMMYFUNCTION("""COMPUTED_VALUE"""),"SBI-code: 4120 - Algemene burgerlijke en utiliteitsbouw")</f>
        <v>SBI-code: 4120 - Algemene burgerlijke en utiliteitsbouw</v>
      </c>
      <c r="F464" s="7" t="str">
        <f>IFERROR(__xludf.DUMMYFUNCTION("""COMPUTED_VALUE"""),"0644594356")</f>
        <v>0644594356</v>
      </c>
      <c r="G464" s="6" t="str">
        <f>IFERROR(__xludf.DUMMYFUNCTION("""COMPUTED_VALUE"""),"kolyatmm@gmail.com")</f>
        <v>kolyatmm@gmail.com</v>
      </c>
      <c r="H464" s="6" t="str">
        <f>IFERROR(__xludf.DUMMYFUNCTION("""COMPUTED_VALUE"""),"Menno ter Braakstraat 254")</f>
        <v>Menno ter Braakstraat 254</v>
      </c>
      <c r="I464" s="6" t="str">
        <f>IFERROR(__xludf.DUMMYFUNCTION("""COMPUTED_VALUE"""),"2548EC")</f>
        <v>2548EC</v>
      </c>
      <c r="J464" s="6" t="str">
        <f>IFERROR(__xludf.DUMMYFUNCTION("""COMPUTED_VALUE"""),"s-Gravenhage")</f>
        <v>s-Gravenhage</v>
      </c>
      <c r="K464" s="6" t="str">
        <f>IFERROR(__xludf.DUMMYFUNCTION("""COMPUTED_VALUE"""),"Nederland")</f>
        <v>Nederland</v>
      </c>
      <c r="L464" s="6" t="str">
        <f>IFERROR(__xludf.DUMMYFUNCTION("""COMPUTED_VALUE"""),"Терещук")</f>
        <v>Терещук</v>
      </c>
      <c r="M464" s="8">
        <f>IFERROR(__xludf.DUMMYFUNCTION("""COMPUTED_VALUE"""),44652.0)</f>
        <v>44652</v>
      </c>
      <c r="N464" s="6" t="str">
        <f>IFERROR(__xludf.DUMMYFUNCTION("""COMPUTED_VALUE"""),"NL311085829B01")</f>
        <v>NL311085829B01</v>
      </c>
      <c r="O464" s="6">
        <f>IFERROR(__xludf.DUMMYFUNCTION("""COMPUTED_VALUE"""),8.6439375E7)</f>
        <v>86439375</v>
      </c>
      <c r="P464" s="6" t="str">
        <f>IFERROR(__xludf.DUMMYFUNCTION("""COMPUTED_VALUE"""),"NL83INGB0675904129")</f>
        <v>NL83INGB0675904129</v>
      </c>
      <c r="Q464" s="9">
        <f>IFERROR(__xludf.DUMMYFUNCTION("""COMPUTED_VALUE"""),44652.0)</f>
        <v>44652</v>
      </c>
      <c r="R464" s="6"/>
      <c r="S464" s="6" t="str">
        <f>IFERROR(__xludf.DUMMYFUNCTION("""COMPUTED_VALUE"""),"NL004247996B77")</f>
        <v>NL004247996B77</v>
      </c>
      <c r="T464" s="6">
        <f>IFERROR(__xludf.DUMMYFUNCTION("""COMPUTED_VALUE"""),3.11085829E8)</f>
        <v>311085829</v>
      </c>
      <c r="U464" s="7" t="str">
        <f>IFERROR(__xludf.DUMMYFUNCTION("""COMPUTED_VALUE"""),"Eenmanszaak")</f>
        <v>Eenmanszaak</v>
      </c>
      <c r="V464" s="7" t="str">
        <f>IFERROR(__xludf.DUMMYFUNCTION("""COMPUTED_VALUE"""),"000052416143")</f>
        <v>000052416143</v>
      </c>
      <c r="W464" s="6" t="str">
        <f>IFERROR(__xludf.DUMMYFUNCTION("""COMPUTED_VALUE"""),"ink.teresbouw.2288aa@zarabota.nl")</f>
        <v>ink.teresbouw.2288aa@zarabota.nl</v>
      </c>
      <c r="X464" s="6" t="str">
        <f>IFERROR(__xludf.DUMMYFUNCTION("""COMPUTED_VALUE"""),"ver.teresbouw.2288aa@zarabota.nl")</f>
        <v>ver.teresbouw.2288aa@zarabota.nl</v>
      </c>
      <c r="Y464" s="6" t="str">
        <f>IFERROR(__xludf.DUMMYFUNCTION("""COMPUTED_VALUE"""),"Hr.")</f>
        <v>Hr.</v>
      </c>
      <c r="Z464" s="6" t="str">
        <f>IFERROR(__xludf.DUMMYFUNCTION("""COMPUTED_VALUE"""),"Mykola")</f>
        <v>Mykola</v>
      </c>
      <c r="AA464" s="6" t="str">
        <f>IFERROR(__xludf.DUMMYFUNCTION("""COMPUTED_VALUE"""),"Tereshchuk")</f>
        <v>Tereshchuk</v>
      </c>
      <c r="AB464" s="6" t="str">
        <f>IFERROR(__xludf.DUMMYFUNCTION("""COMPUTED_VALUE"""),"M.")</f>
        <v>M.</v>
      </c>
      <c r="AC464" s="6">
        <f>IFERROR(__xludf.DUMMYFUNCTION("""COMPUTED_VALUE"""),3.11085829E8)</f>
        <v>311085829</v>
      </c>
      <c r="AD464" s="9">
        <f>IFERROR(__xludf.DUMMYFUNCTION("""COMPUTED_VALUE"""),29677.0)</f>
        <v>29677</v>
      </c>
      <c r="AE464" s="6" t="str">
        <f>IFERROR(__xludf.DUMMYFUNCTION("""COMPUTED_VALUE"""),"bg")</f>
        <v>bg</v>
      </c>
      <c r="AF464" s="6" t="str">
        <f>IFERROR(__xludf.DUMMYFUNCTION("""COMPUTED_VALUE"""),"Ternopil")</f>
        <v>Ternopil</v>
      </c>
      <c r="AG464" s="6" t="str">
        <f>IFERROR(__xludf.DUMMYFUNCTION("""COMPUTED_VALUE"""),"Hr. M. Tereshchuk")</f>
        <v>Hr. M. Tereshchuk</v>
      </c>
      <c r="AH464" s="6" t="str">
        <f>IFERROR(__xludf.DUMMYFUNCTION("""COMPUTED_VALUE"""),"NL59INGB0390716898")</f>
        <v>NL59INGB0390716898</v>
      </c>
      <c r="AI464" s="6"/>
      <c r="AJ464" s="6" t="str">
        <f>IFERROR(__xludf.DUMMYFUNCTION("""COMPUTED_VALUE"""),"Paspoort")</f>
        <v>Paspoort</v>
      </c>
      <c r="AK464" s="6" t="str">
        <f>IFERROR(__xludf.DUMMYFUNCTION("""COMPUTED_VALUE"""),"FC808197")</f>
        <v>FC808197</v>
      </c>
      <c r="AL464" s="9">
        <f>IFERROR(__xludf.DUMMYFUNCTION("""COMPUTED_VALUE"""),46287.0)</f>
        <v>46287</v>
      </c>
      <c r="AM464" s="6" t="str">
        <f>IFERROR(__xludf.DUMMYFUNCTION("""COMPUTED_VALUE"""),"Oekraïne")</f>
        <v>Oekraïne</v>
      </c>
      <c r="AN464" s="6" t="str">
        <f>IFERROR(__xludf.DUMMYFUNCTION("""COMPUTED_VALUE"""),"Mykola Tereshchuk")</f>
        <v>Mykola Tereshchuk</v>
      </c>
      <c r="AO464" s="6">
        <f>IFERROR(__xludf.DUMMYFUNCTION("""COMPUTED_VALUE"""),1347.0)</f>
        <v>1347</v>
      </c>
    </row>
    <row r="465">
      <c r="A465" s="6" t="str">
        <f>IFERROR(__xludf.DUMMYFUNCTION("""COMPUTED_VALUE"""),"Tesi Styling")</f>
        <v>Tesi Styling</v>
      </c>
      <c r="B465" s="6" t="str">
        <f>IFERROR(__xludf.DUMMYFUNCTION("""COMPUTED_VALUE"""),"Tesi Styling")</f>
        <v>Tesi Styling</v>
      </c>
      <c r="C465" s="6">
        <f>IFERROR(__xludf.DUMMYFUNCTION("""COMPUTED_VALUE"""),6.0)</f>
        <v>6</v>
      </c>
      <c r="D465" s="7" t="str">
        <f>IFERROR(__xludf.DUMMYFUNCTION("""COMPUTED_VALUE"""),"Tesi Marinova")</f>
        <v>Tesi Marinova</v>
      </c>
      <c r="E465" s="7" t="str">
        <f>IFERROR(__xludf.DUMMYFUNCTION("""COMPUTED_VALUE"""),"SBI-code: 4120 - Algemene burgerlijke en utiliteitsbouw")</f>
        <v>SBI-code: 4120 - Algemene burgerlijke en utiliteitsbouw</v>
      </c>
      <c r="F465" s="7" t="str">
        <f>IFERROR(__xludf.DUMMYFUNCTION("""COMPUTED_VALUE"""),"0687226567")</f>
        <v>0687226567</v>
      </c>
      <c r="G465" s="6" t="str">
        <f>IFERROR(__xludf.DUMMYFUNCTION("""COMPUTED_VALUE"""),"tesistyling@gmail.com")</f>
        <v>tesistyling@gmail.com</v>
      </c>
      <c r="H465" s="6" t="str">
        <f>IFERROR(__xludf.DUMMYFUNCTION("""COMPUTED_VALUE"""),"Tuinstraat 2")</f>
        <v>Tuinstraat 2</v>
      </c>
      <c r="I465" s="6" t="str">
        <f>IFERROR(__xludf.DUMMYFUNCTION("""COMPUTED_VALUE"""),"4571EX")</f>
        <v>4571EX</v>
      </c>
      <c r="J465" s="6" t="str">
        <f>IFERROR(__xludf.DUMMYFUNCTION("""COMPUTED_VALUE"""),"Axel")</f>
        <v>Axel</v>
      </c>
      <c r="K465" s="6" t="str">
        <f>IFERROR(__xludf.DUMMYFUNCTION("""COMPUTED_VALUE"""),"Nederland")</f>
        <v>Nederland</v>
      </c>
      <c r="L465" s="6" t="str">
        <f>IFERROR(__xludf.DUMMYFUNCTION("""COMPUTED_VALUE"""),"Тежи")</f>
        <v>Тежи</v>
      </c>
      <c r="M465" s="8">
        <f>IFERROR(__xludf.DUMMYFUNCTION("""COMPUTED_VALUE"""),43175.0)</f>
        <v>43175</v>
      </c>
      <c r="N465" s="6" t="str">
        <f>IFERROR(__xludf.DUMMYFUNCTION("""COMPUTED_VALUE"""),"NL394060982B01")</f>
        <v>NL394060982B01</v>
      </c>
      <c r="O465" s="6">
        <f>IFERROR(__xludf.DUMMYFUNCTION("""COMPUTED_VALUE"""),5.6138423E7)</f>
        <v>56138423</v>
      </c>
      <c r="P465" s="6" t="str">
        <f>IFERROR(__xludf.DUMMYFUNCTION("""COMPUTED_VALUE"""),"NL58INGB0007497755")</f>
        <v>NL58INGB0007497755</v>
      </c>
      <c r="Q465" s="9">
        <f>IFERROR(__xludf.DUMMYFUNCTION("""COMPUTED_VALUE"""),41183.0)</f>
        <v>41183</v>
      </c>
      <c r="R465" s="6"/>
      <c r="S465" s="6" t="str">
        <f>IFERROR(__xludf.DUMMYFUNCTION("""COMPUTED_VALUE"""),"NL002478014B90")</f>
        <v>NL002478014B90</v>
      </c>
      <c r="T465" s="6">
        <f>IFERROR(__xludf.DUMMYFUNCTION("""COMPUTED_VALUE"""),3.94060982E8)</f>
        <v>394060982</v>
      </c>
      <c r="U465" s="7" t="str">
        <f>IFERROR(__xludf.DUMMYFUNCTION("""COMPUTED_VALUE"""),"Eenmanszaak")</f>
        <v>Eenmanszaak</v>
      </c>
      <c r="V465" s="7" t="str">
        <f>IFERROR(__xludf.DUMMYFUNCTION("""COMPUTED_VALUE"""),"000025723197")</f>
        <v>000025723197</v>
      </c>
      <c r="W465" s="6" t="str">
        <f>IFERROR(__xludf.DUMMYFUNCTION("""COMPUTED_VALUE"""),"ink.tesistyling.2288aa@zarabota.nl")</f>
        <v>ink.tesistyling.2288aa@zarabota.nl</v>
      </c>
      <c r="X465" s="6" t="str">
        <f>IFERROR(__xludf.DUMMYFUNCTION("""COMPUTED_VALUE"""),"ver.tesistyling.2288aa@zarabota.nl")</f>
        <v>ver.tesistyling.2288aa@zarabota.nl</v>
      </c>
      <c r="Y465" s="6" t="str">
        <f>IFERROR(__xludf.DUMMYFUNCTION("""COMPUTED_VALUE"""),"Mw.")</f>
        <v>Mw.</v>
      </c>
      <c r="Z465" s="6" t="str">
        <f>IFERROR(__xludf.DUMMYFUNCTION("""COMPUTED_VALUE"""),"Tezdzhan Myumyunova")</f>
        <v>Tezdzhan Myumyunova</v>
      </c>
      <c r="AA465" s="6" t="str">
        <f>IFERROR(__xludf.DUMMYFUNCTION("""COMPUTED_VALUE"""),"Marinova")</f>
        <v>Marinova</v>
      </c>
      <c r="AB465" s="6" t="str">
        <f>IFERROR(__xludf.DUMMYFUNCTION("""COMPUTED_VALUE"""),"T. M.")</f>
        <v>T. M.</v>
      </c>
      <c r="AC465" s="6">
        <f>IFERROR(__xludf.DUMMYFUNCTION("""COMPUTED_VALUE"""),3.94060982E8)</f>
        <v>394060982</v>
      </c>
      <c r="AD465" s="9">
        <f>IFERROR(__xludf.DUMMYFUNCTION("""COMPUTED_VALUE"""),25379.0)</f>
        <v>25379</v>
      </c>
      <c r="AE465" s="6" t="str">
        <f>IFERROR(__xludf.DUMMYFUNCTION("""COMPUTED_VALUE"""),"bg")</f>
        <v>bg</v>
      </c>
      <c r="AF465" s="6"/>
      <c r="AG465" s="6" t="str">
        <f>IFERROR(__xludf.DUMMYFUNCTION("""COMPUTED_VALUE"""),"Mw. T. M. Marinova")</f>
        <v>Mw. T. M. Marinova</v>
      </c>
      <c r="AH465" s="6"/>
      <c r="AI465" s="6"/>
      <c r="AJ465" s="6"/>
      <c r="AK465" s="6"/>
      <c r="AL465" s="6"/>
      <c r="AM465" s="6"/>
      <c r="AN465" s="6" t="str">
        <f>IFERROR(__xludf.DUMMYFUNCTION("""COMPUTED_VALUE"""),"Tezdzhan Myumyunova Marinova")</f>
        <v>Tezdzhan Myumyunova Marinova</v>
      </c>
      <c r="AO465" s="6"/>
    </row>
    <row r="466">
      <c r="A466" s="6" t="str">
        <f>IFERROR(__xludf.DUMMYFUNCTION("""COMPUTED_VALUE"""),"Tetiana Marushchak")</f>
        <v>Tetiana Marushchak</v>
      </c>
      <c r="B466" s="6" t="str">
        <f>IFERROR(__xludf.DUMMYFUNCTION("""COMPUTED_VALUE"""),"Tetiana Marushchak - Veselin Ivanov Bouw")</f>
        <v>Tetiana Marushchak - Veselin Ivanov Bouw</v>
      </c>
      <c r="C466" s="6">
        <f>IFERROR(__xludf.DUMMYFUNCTION("""COMPUTED_VALUE"""),1201.0)</f>
        <v>1201</v>
      </c>
      <c r="D466" s="7" t="str">
        <f>IFERROR(__xludf.DUMMYFUNCTION("""COMPUTED_VALUE"""),"Tetiana Marushchak")</f>
        <v>Tetiana Marushchak</v>
      </c>
      <c r="E466" s="7" t="str">
        <f>IFERROR(__xludf.DUMMYFUNCTION("""COMPUTED_VALUE"""),"SBI-code: 8121 - Interieurreiniging van gebouwen")</f>
        <v>SBI-code: 8121 - Interieurreiniging van gebouwen</v>
      </c>
      <c r="F466" s="7" t="str">
        <f>IFERROR(__xludf.DUMMYFUNCTION("""COMPUTED_VALUE"""),"0630205419")</f>
        <v>0630205419</v>
      </c>
      <c r="G466" s="6" t="str">
        <f>IFERROR(__xludf.DUMMYFUNCTION("""COMPUTED_VALUE"""),"tanamuleskova@gmail.com")</f>
        <v>tanamuleskova@gmail.com</v>
      </c>
      <c r="H466" s="6" t="str">
        <f>IFERROR(__xludf.DUMMYFUNCTION("""COMPUTED_VALUE"""),"Pasteurstraat 76")</f>
        <v>Pasteurstraat 76</v>
      </c>
      <c r="I466" s="6" t="str">
        <f>IFERROR(__xludf.DUMMYFUNCTION("""COMPUTED_VALUE"""),"2522RM")</f>
        <v>2522RM</v>
      </c>
      <c r="J466" s="6" t="str">
        <f>IFERROR(__xludf.DUMMYFUNCTION("""COMPUTED_VALUE"""),"s-Gravenhage")</f>
        <v>s-Gravenhage</v>
      </c>
      <c r="K466" s="6" t="str">
        <f>IFERROR(__xludf.DUMMYFUNCTION("""COMPUTED_VALUE"""),"Nederland")</f>
        <v>Nederland</v>
      </c>
      <c r="L466" s="6" t="str">
        <f>IFERROR(__xludf.DUMMYFUNCTION("""COMPUTED_VALUE"""),"Марушак")</f>
        <v>Марушак</v>
      </c>
      <c r="M466" s="8">
        <f>IFERROR(__xludf.DUMMYFUNCTION("""COMPUTED_VALUE"""),44311.0)</f>
        <v>44311</v>
      </c>
      <c r="N466" s="6" t="str">
        <f>IFERROR(__xludf.DUMMYFUNCTION("""COMPUTED_VALUE"""),"NL519148125B01")</f>
        <v>NL519148125B01</v>
      </c>
      <c r="O466" s="6">
        <f>IFERROR(__xludf.DUMMYFUNCTION("""COMPUTED_VALUE"""),8.3026053E7)</f>
        <v>83026053</v>
      </c>
      <c r="P466" s="6" t="str">
        <f>IFERROR(__xludf.DUMMYFUNCTION("""COMPUTED_VALUE"""),"NL72INGB0007731273")</f>
        <v>NL72INGB0007731273</v>
      </c>
      <c r="Q466" s="9">
        <f>IFERROR(__xludf.DUMMYFUNCTION("""COMPUTED_VALUE"""),44311.0)</f>
        <v>44311</v>
      </c>
      <c r="R466" s="6"/>
      <c r="S466" s="6" t="str">
        <f>IFERROR(__xludf.DUMMYFUNCTION("""COMPUTED_VALUE"""),"NL003765414B43")</f>
        <v>NL003765414B43</v>
      </c>
      <c r="T466" s="6">
        <f>IFERROR(__xludf.DUMMYFUNCTION("""COMPUTED_VALUE"""),5.19148125E8)</f>
        <v>519148125</v>
      </c>
      <c r="U466" s="7" t="str">
        <f>IFERROR(__xludf.DUMMYFUNCTION("""COMPUTED_VALUE"""),"Eenmanszaak")</f>
        <v>Eenmanszaak</v>
      </c>
      <c r="V466" s="7" t="str">
        <f>IFERROR(__xludf.DUMMYFUNCTION("""COMPUTED_VALUE"""),"000036723533")</f>
        <v>000036723533</v>
      </c>
      <c r="W466" s="6" t="str">
        <f>IFERROR(__xludf.DUMMYFUNCTION("""COMPUTED_VALUE"""),"ink.tetianamarushchak.2288aa@zarabota.nl")</f>
        <v>ink.tetianamarushchak.2288aa@zarabota.nl</v>
      </c>
      <c r="X466" s="6" t="str">
        <f>IFERROR(__xludf.DUMMYFUNCTION("""COMPUTED_VALUE"""),"ver.tetianamarushchak.2288aa@zarabota.nl")</f>
        <v>ver.tetianamarushchak.2288aa@zarabota.nl</v>
      </c>
      <c r="Y466" s="6" t="str">
        <f>IFERROR(__xludf.DUMMYFUNCTION("""COMPUTED_VALUE"""),"Mw.")</f>
        <v>Mw.</v>
      </c>
      <c r="Z466" s="6" t="str">
        <f>IFERROR(__xludf.DUMMYFUNCTION("""COMPUTED_VALUE"""),"Tetiana")</f>
        <v>Tetiana</v>
      </c>
      <c r="AA466" s="6" t="str">
        <f>IFERROR(__xludf.DUMMYFUNCTION("""COMPUTED_VALUE"""),"Marushchak")</f>
        <v>Marushchak</v>
      </c>
      <c r="AB466" s="6" t="str">
        <f>IFERROR(__xludf.DUMMYFUNCTION("""COMPUTED_VALUE"""),"T.")</f>
        <v>T.</v>
      </c>
      <c r="AC466" s="6">
        <f>IFERROR(__xludf.DUMMYFUNCTION("""COMPUTED_VALUE"""),5.19148125E8)</f>
        <v>519148125</v>
      </c>
      <c r="AD466" s="9">
        <f>IFERROR(__xludf.DUMMYFUNCTION("""COMPUTED_VALUE"""),26766.0)</f>
        <v>26766</v>
      </c>
      <c r="AE466" s="6" t="str">
        <f>IFERROR(__xludf.DUMMYFUNCTION("""COMPUTED_VALUE"""),"ru")</f>
        <v>ru</v>
      </c>
      <c r="AF466" s="6" t="str">
        <f>IFERROR(__xludf.DUMMYFUNCTION("""COMPUTED_VALUE"""),"Onbekend")</f>
        <v>Onbekend</v>
      </c>
      <c r="AG466" s="6" t="str">
        <f>IFERROR(__xludf.DUMMYFUNCTION("""COMPUTED_VALUE"""),"Mw. T. Marushchak")</f>
        <v>Mw. T. Marushchak</v>
      </c>
      <c r="AH466" s="6"/>
      <c r="AI466" s="6"/>
      <c r="AJ466" s="6" t="str">
        <f>IFERROR(__xludf.DUMMYFUNCTION("""COMPUTED_VALUE"""),"ID Kaart")</f>
        <v>ID Kaart</v>
      </c>
      <c r="AK466" s="6"/>
      <c r="AL466" s="6"/>
      <c r="AM466" s="6" t="str">
        <f>IFERROR(__xludf.DUMMYFUNCTION("""COMPUTED_VALUE"""),"Oekraïne")</f>
        <v>Oekraïne</v>
      </c>
      <c r="AN466" s="6" t="str">
        <f>IFERROR(__xludf.DUMMYFUNCTION("""COMPUTED_VALUE"""),"Tetiana Marushchak")</f>
        <v>Tetiana Marushchak</v>
      </c>
      <c r="AO466" s="6">
        <f>IFERROR(__xludf.DUMMYFUNCTION("""COMPUTED_VALUE"""),1201.0)</f>
        <v>1201</v>
      </c>
    </row>
    <row r="467">
      <c r="A467" s="6" t="str">
        <f>IFERROR(__xludf.DUMMYFUNCTION("""COMPUTED_VALUE"""),"Theo Bouw")</f>
        <v>Theo Bouw</v>
      </c>
      <c r="B467" s="6" t="str">
        <f>IFERROR(__xludf.DUMMYFUNCTION("""COMPUTED_VALUE"""),"Theo Bouw")</f>
        <v>Theo Bouw</v>
      </c>
      <c r="C467" s="6">
        <f>IFERROR(__xludf.DUMMYFUNCTION("""COMPUTED_VALUE"""),490.0)</f>
        <v>490</v>
      </c>
      <c r="D467" s="7" t="str">
        <f>IFERROR(__xludf.DUMMYFUNCTION("""COMPUTED_VALUE"""),"Svetoslav Mitkov Bachkov")</f>
        <v>Svetoslav Mitkov Bachkov</v>
      </c>
      <c r="E467" s="7" t="str">
        <f>IFERROR(__xludf.DUMMYFUNCTION("""COMPUTED_VALUE"""),"SBI-code: 4120 - Algemene burgerlijke en utiliteitsbouw")</f>
        <v>SBI-code: 4120 - Algemene burgerlijke en utiliteitsbouw</v>
      </c>
      <c r="F467" s="7" t="str">
        <f>IFERROR(__xludf.DUMMYFUNCTION("""COMPUTED_VALUE"""),"0685115524")</f>
        <v>0685115524</v>
      </c>
      <c r="G467" s="6" t="str">
        <f>IFERROR(__xludf.DUMMYFUNCTION("""COMPUTED_VALUE"""),"kambi1212@abv.bg")</f>
        <v>kambi1212@abv.bg</v>
      </c>
      <c r="H467" s="6" t="str">
        <f>IFERROR(__xludf.DUMMYFUNCTION("""COMPUTED_VALUE"""),"Goeverneurlaan 153")</f>
        <v>Goeverneurlaan 153</v>
      </c>
      <c r="I467" s="6" t="str">
        <f>IFERROR(__xludf.DUMMYFUNCTION("""COMPUTED_VALUE"""),"2523BD")</f>
        <v>2523BD</v>
      </c>
      <c r="J467" s="6" t="str">
        <f>IFERROR(__xludf.DUMMYFUNCTION("""COMPUTED_VALUE"""),"s-Gravenhage")</f>
        <v>s-Gravenhage</v>
      </c>
      <c r="K467" s="6" t="str">
        <f>IFERROR(__xludf.DUMMYFUNCTION("""COMPUTED_VALUE"""),"Nederland")</f>
        <v>Nederland</v>
      </c>
      <c r="L467" s="6" t="str">
        <f>IFERROR(__xludf.DUMMYFUNCTION("""COMPUTED_VALUE"""),"Бачков")</f>
        <v>Бачков</v>
      </c>
      <c r="M467" s="8">
        <f>IFERROR(__xludf.DUMMYFUNCTION("""COMPUTED_VALUE"""),43175.0)</f>
        <v>43175</v>
      </c>
      <c r="N467" s="6" t="str">
        <f>IFERROR(__xludf.DUMMYFUNCTION("""COMPUTED_VALUE"""),"NL352678264B01")</f>
        <v>NL352678264B01</v>
      </c>
      <c r="O467" s="6">
        <f>IFERROR(__xludf.DUMMYFUNCTION("""COMPUTED_VALUE"""),7.1324208E7)</f>
        <v>71324208</v>
      </c>
      <c r="P467" s="6" t="str">
        <f>IFERROR(__xludf.DUMMYFUNCTION("""COMPUTED_VALUE"""),"NL67INGB0008400663")</f>
        <v>NL67INGB0008400663</v>
      </c>
      <c r="Q467" s="9">
        <f>IFERROR(__xludf.DUMMYFUNCTION("""COMPUTED_VALUE"""),43175.0)</f>
        <v>43175</v>
      </c>
      <c r="R467" s="6"/>
      <c r="S467" s="6" t="str">
        <f>IFERROR(__xludf.DUMMYFUNCTION("""COMPUTED_VALUE"""),"NL002473514B44")</f>
        <v>NL002473514B44</v>
      </c>
      <c r="T467" s="6">
        <f>IFERROR(__xludf.DUMMYFUNCTION("""COMPUTED_VALUE"""),3.52678264E8)</f>
        <v>352678264</v>
      </c>
      <c r="U467" s="7" t="str">
        <f>IFERROR(__xludf.DUMMYFUNCTION("""COMPUTED_VALUE"""),"Eenmanszaak")</f>
        <v>Eenmanszaak</v>
      </c>
      <c r="V467" s="7" t="str">
        <f>IFERROR(__xludf.DUMMYFUNCTION("""COMPUTED_VALUE"""),"000039518639")</f>
        <v>000039518639</v>
      </c>
      <c r="W467" s="6" t="str">
        <f>IFERROR(__xludf.DUMMYFUNCTION("""COMPUTED_VALUE"""),"ink.theobouw.2288aa@zarabota.nl")</f>
        <v>ink.theobouw.2288aa@zarabota.nl</v>
      </c>
      <c r="X467" s="6" t="str">
        <f>IFERROR(__xludf.DUMMYFUNCTION("""COMPUTED_VALUE"""),"ver.theobouw.2288aa@zarabota.nl")</f>
        <v>ver.theobouw.2288aa@zarabota.nl</v>
      </c>
      <c r="Y467" s="6" t="str">
        <f>IFERROR(__xludf.DUMMYFUNCTION("""COMPUTED_VALUE"""),"Hr.")</f>
        <v>Hr.</v>
      </c>
      <c r="Z467" s="6" t="str">
        <f>IFERROR(__xludf.DUMMYFUNCTION("""COMPUTED_VALUE"""),"Svetoslav Mitkov")</f>
        <v>Svetoslav Mitkov</v>
      </c>
      <c r="AA467" s="6" t="str">
        <f>IFERROR(__xludf.DUMMYFUNCTION("""COMPUTED_VALUE"""),"Bachkov")</f>
        <v>Bachkov</v>
      </c>
      <c r="AB467" s="6" t="str">
        <f>IFERROR(__xludf.DUMMYFUNCTION("""COMPUTED_VALUE"""),"S.M.")</f>
        <v>S.M.</v>
      </c>
      <c r="AC467" s="6">
        <f>IFERROR(__xludf.DUMMYFUNCTION("""COMPUTED_VALUE"""),3.52678264E8)</f>
        <v>352678264</v>
      </c>
      <c r="AD467" s="9">
        <f>IFERROR(__xludf.DUMMYFUNCTION("""COMPUTED_VALUE"""),30703.0)</f>
        <v>30703</v>
      </c>
      <c r="AE467" s="6" t="str">
        <f>IFERROR(__xludf.DUMMYFUNCTION("""COMPUTED_VALUE"""),"bg")</f>
        <v>bg</v>
      </c>
      <c r="AF467" s="6" t="str">
        <f>IFERROR(__xludf.DUMMYFUNCTION("""COMPUTED_VALUE"""),"Plovdiv")</f>
        <v>Plovdiv</v>
      </c>
      <c r="AG467" s="6" t="str">
        <f>IFERROR(__xludf.DUMMYFUNCTION("""COMPUTED_VALUE"""),"Hr. S.M. Bachkov")</f>
        <v>Hr. S.M. Bachkov</v>
      </c>
      <c r="AH467" s="6" t="str">
        <f>IFERROR(__xludf.DUMMYFUNCTION("""COMPUTED_VALUE"""),"NL49INGB0657651184")</f>
        <v>NL49INGB0657651184</v>
      </c>
      <c r="AI467" s="9">
        <f>IFERROR(__xludf.DUMMYFUNCTION("""COMPUTED_VALUE"""),43175.0)</f>
        <v>43175</v>
      </c>
      <c r="AJ467" s="6" t="str">
        <f>IFERROR(__xludf.DUMMYFUNCTION("""COMPUTED_VALUE"""),"ID Kaart")</f>
        <v>ID Kaart</v>
      </c>
      <c r="AK467" s="6">
        <f>IFERROR(__xludf.DUMMYFUNCTION("""COMPUTED_VALUE"""),6.47236499E8)</f>
        <v>647236499</v>
      </c>
      <c r="AL467" s="9">
        <f>IFERROR(__xludf.DUMMYFUNCTION("""COMPUTED_VALUE"""),46642.0)</f>
        <v>46642</v>
      </c>
      <c r="AM467" s="6"/>
      <c r="AN467" s="6" t="str">
        <f>IFERROR(__xludf.DUMMYFUNCTION("""COMPUTED_VALUE"""),"Svetoslav Mitkov Bachkov")</f>
        <v>Svetoslav Mitkov Bachkov</v>
      </c>
      <c r="AO467" s="6"/>
    </row>
    <row r="468">
      <c r="A468" s="6" t="str">
        <f>IFERROR(__xludf.DUMMYFUNCTION("""COMPUTED_VALUE"""),"Tisho Bouw")</f>
        <v>Tisho Bouw</v>
      </c>
      <c r="B468" s="6" t="str">
        <f>IFERROR(__xludf.DUMMYFUNCTION("""COMPUTED_VALUE"""),"Tisho Bouw VOF")</f>
        <v>Tisho Bouw VOF</v>
      </c>
      <c r="C468" s="6">
        <f>IFERROR(__xludf.DUMMYFUNCTION("""COMPUTED_VALUE"""),1692.0)</f>
        <v>1692</v>
      </c>
      <c r="D468" s="7" t="str">
        <f>IFERROR(__xludf.DUMMYFUNCTION("""COMPUTED_VALUE"""),"Tihomir  Ivanchev Kaytsanov")</f>
        <v>Tihomir  Ivanchev Kaytsanov</v>
      </c>
      <c r="E468" s="7" t="str">
        <f>IFERROR(__xludf.DUMMYFUNCTION("""COMPUTED_VALUE"""),"SBI-code: 4120 - Algemene burgerlijke en utiliteitsbouw")</f>
        <v>SBI-code: 4120 - Algemene burgerlijke en utiliteitsbouw</v>
      </c>
      <c r="F468" s="7" t="str">
        <f>IFERROR(__xludf.DUMMYFUNCTION("""COMPUTED_VALUE"""),"0643471441")</f>
        <v>0643471441</v>
      </c>
      <c r="G468" s="6" t="str">
        <f>IFERROR(__xludf.DUMMYFUNCTION("""COMPUTED_VALUE"""),"tisho85@gmail.com")</f>
        <v>tisho85@gmail.com</v>
      </c>
      <c r="H468" s="6" t="str">
        <f>IFERROR(__xludf.DUMMYFUNCTION("""COMPUTED_VALUE"""),"Gravendreef 65")</f>
        <v>Gravendreef 65</v>
      </c>
      <c r="I468" s="6" t="str">
        <f>IFERROR(__xludf.DUMMYFUNCTION("""COMPUTED_VALUE"""),"2542NN")</f>
        <v>2542NN</v>
      </c>
      <c r="J468" s="6" t="str">
        <f>IFERROR(__xludf.DUMMYFUNCTION("""COMPUTED_VALUE"""),"s-Gravenhage")</f>
        <v>s-Gravenhage</v>
      </c>
      <c r="K468" s="6" t="str">
        <f>IFERROR(__xludf.DUMMYFUNCTION("""COMPUTED_VALUE"""),"Nederland")</f>
        <v>Nederland</v>
      </c>
      <c r="L468" s="6" t="str">
        <f>IFERROR(__xludf.DUMMYFUNCTION("""COMPUTED_VALUE"""),"Кайцанов")</f>
        <v>Кайцанов</v>
      </c>
      <c r="M468" s="8">
        <f>IFERROR(__xludf.DUMMYFUNCTION("""COMPUTED_VALUE"""),45717.0)</f>
        <v>45717</v>
      </c>
      <c r="N468" s="6" t="str">
        <f>IFERROR(__xludf.DUMMYFUNCTION("""COMPUTED_VALUE"""),"NL867679189B01")</f>
        <v>NL867679189B01</v>
      </c>
      <c r="O468" s="6">
        <f>IFERROR(__xludf.DUMMYFUNCTION("""COMPUTED_VALUE"""),9.6602422E7)</f>
        <v>96602422</v>
      </c>
      <c r="P468" s="6" t="str">
        <f>IFERROR(__xludf.DUMMYFUNCTION("""COMPUTED_VALUE"""),"NL28INGB0674709012")</f>
        <v>NL28INGB0674709012</v>
      </c>
      <c r="Q468" s="9">
        <f>IFERROR(__xludf.DUMMYFUNCTION("""COMPUTED_VALUE"""),44511.0)</f>
        <v>44511</v>
      </c>
      <c r="R468" s="6"/>
      <c r="S468" s="6" t="str">
        <f>IFERROR(__xludf.DUMMYFUNCTION("""COMPUTED_VALUE"""),"NL867679189B01")</f>
        <v>NL867679189B01</v>
      </c>
      <c r="T468" s="6">
        <f>IFERROR(__xludf.DUMMYFUNCTION("""COMPUTED_VALUE"""),8.67679189E8)</f>
        <v>867679189</v>
      </c>
      <c r="U468" s="7" t="str">
        <f>IFERROR(__xludf.DUMMYFUNCTION("""COMPUTED_VALUE"""),"Eenmanszaak")</f>
        <v>Eenmanszaak</v>
      </c>
      <c r="V468" s="7" t="str">
        <f>IFERROR(__xludf.DUMMYFUNCTION("""COMPUTED_VALUE"""),"000050588311")</f>
        <v>000050588311</v>
      </c>
      <c r="W468" s="6" t="str">
        <f>IFERROR(__xludf.DUMMYFUNCTION("""COMPUTED_VALUE"""),"ink.tishobouw.2288aa@zarabota.nl")</f>
        <v>ink.tishobouw.2288aa@zarabota.nl</v>
      </c>
      <c r="X468" s="6" t="str">
        <f>IFERROR(__xludf.DUMMYFUNCTION("""COMPUTED_VALUE"""),"ver.tishobouw.2288aa@zarabota.nl")</f>
        <v>ver.tishobouw.2288aa@zarabota.nl</v>
      </c>
      <c r="Y468" s="6" t="str">
        <f>IFERROR(__xludf.DUMMYFUNCTION("""COMPUTED_VALUE"""),"Hr.")</f>
        <v>Hr.</v>
      </c>
      <c r="Z468" s="6" t="str">
        <f>IFERROR(__xludf.DUMMYFUNCTION("""COMPUTED_VALUE"""),"Tihomir Ivanchev")</f>
        <v>Tihomir Ivanchev</v>
      </c>
      <c r="AA468" s="6" t="str">
        <f>IFERROR(__xludf.DUMMYFUNCTION("""COMPUTED_VALUE"""),"Kaytsanov")</f>
        <v>Kaytsanov</v>
      </c>
      <c r="AB468" s="6" t="str">
        <f>IFERROR(__xludf.DUMMYFUNCTION("""COMPUTED_VALUE"""),"T.I.")</f>
        <v>T.I.</v>
      </c>
      <c r="AC468" s="6">
        <f>IFERROR(__xludf.DUMMYFUNCTION("""COMPUTED_VALUE"""),6.03063494E8)</f>
        <v>603063494</v>
      </c>
      <c r="AD468" s="9">
        <f>IFERROR(__xludf.DUMMYFUNCTION("""COMPUTED_VALUE"""),31082.0)</f>
        <v>31082</v>
      </c>
      <c r="AE468" s="6" t="str">
        <f>IFERROR(__xludf.DUMMYFUNCTION("""COMPUTED_VALUE"""),"bg")</f>
        <v>bg</v>
      </c>
      <c r="AF468" s="6" t="str">
        <f>IFERROR(__xludf.DUMMYFUNCTION("""COMPUTED_VALUE"""),"Montana")</f>
        <v>Montana</v>
      </c>
      <c r="AG468" s="6" t="str">
        <f>IFERROR(__xludf.DUMMYFUNCTION("""COMPUTED_VALUE"""),"Hr. T.I. Kaytsanov")</f>
        <v>Hr. T.I. Kaytsanov</v>
      </c>
      <c r="AH468" s="6"/>
      <c r="AI468" s="9">
        <f>IFERROR(__xludf.DUMMYFUNCTION("""COMPUTED_VALUE"""),44482.0)</f>
        <v>44482</v>
      </c>
      <c r="AJ468" s="6" t="str">
        <f>IFERROR(__xludf.DUMMYFUNCTION("""COMPUTED_VALUE"""),"ID Kaart")</f>
        <v>ID Kaart</v>
      </c>
      <c r="AK468" s="6"/>
      <c r="AL468" s="6"/>
      <c r="AM468" s="6" t="str">
        <f>IFERROR(__xludf.DUMMYFUNCTION("""COMPUTED_VALUE"""),"Bulgarije")</f>
        <v>Bulgarije</v>
      </c>
      <c r="AN468" s="6" t="str">
        <f>IFERROR(__xludf.DUMMYFUNCTION("""COMPUTED_VALUE"""),"Tihomir Ivanchev Kaytsanov")</f>
        <v>Tihomir Ivanchev Kaytsanov</v>
      </c>
      <c r="AO468" s="6">
        <f>IFERROR(__xludf.DUMMYFUNCTION("""COMPUTED_VALUE"""),1285.0)</f>
        <v>1285</v>
      </c>
    </row>
    <row r="469">
      <c r="A469" s="6" t="str">
        <f>IFERROR(__xludf.DUMMYFUNCTION("""COMPUTED_VALUE"""),"Tolidar Design VOF")</f>
        <v>Tolidar Design VOF</v>
      </c>
      <c r="B469" s="6" t="str">
        <f>IFERROR(__xludf.DUMMYFUNCTION("""COMPUTED_VALUE"""),"A1 Maatwerk (Tolidar Design VOF)")</f>
        <v>A1 Maatwerk (Tolidar Design VOF)</v>
      </c>
      <c r="C469" s="6">
        <f>IFERROR(__xludf.DUMMYFUNCTION("""COMPUTED_VALUE"""),698.0)</f>
        <v>698</v>
      </c>
      <c r="D469" s="7" t="str">
        <f>IFERROR(__xludf.DUMMYFUNCTION("""COMPUTED_VALUE"""),"Anatoliy Viktorovich Volyanyuk")</f>
        <v>Anatoliy Viktorovich Volyanyuk</v>
      </c>
      <c r="E469" s="7" t="str">
        <f>IFERROR(__xludf.DUMMYFUNCTION("""COMPUTED_VALUE"""),"SBI-code: 4120 - Algemene burgerlijke en utiliteitsbouw")</f>
        <v>SBI-code: 4120 - Algemene burgerlijke en utiliteitsbouw</v>
      </c>
      <c r="F469" s="7" t="str">
        <f>IFERROR(__xludf.DUMMYFUNCTION("""COMPUTED_VALUE"""),"0612374803")</f>
        <v>0612374803</v>
      </c>
      <c r="G469" s="6" t="str">
        <f>IFERROR(__xludf.DUMMYFUNCTION("""COMPUTED_VALUE"""),"tolidardesign@gmail.com")</f>
        <v>tolidardesign@gmail.com</v>
      </c>
      <c r="H469" s="6" t="str">
        <f>IFERROR(__xludf.DUMMYFUNCTION("""COMPUTED_VALUE"""),"B. Thoenplantsoen 26")</f>
        <v>B. Thoenplantsoen 26</v>
      </c>
      <c r="I469" s="6" t="str">
        <f>IFERROR(__xludf.DUMMYFUNCTION("""COMPUTED_VALUE"""),"2552JK")</f>
        <v>2552JK</v>
      </c>
      <c r="J469" s="6" t="str">
        <f>IFERROR(__xludf.DUMMYFUNCTION("""COMPUTED_VALUE"""),"s-Gravenhage")</f>
        <v>s-Gravenhage</v>
      </c>
      <c r="K469" s="6" t="str">
        <f>IFERROR(__xludf.DUMMYFUNCTION("""COMPUTED_VALUE"""),"Nederland")</f>
        <v>Nederland</v>
      </c>
      <c r="L469" s="6" t="str">
        <f>IFERROR(__xludf.DUMMYFUNCTION("""COMPUTED_VALUE"""),"Волянук")</f>
        <v>Волянук</v>
      </c>
      <c r="M469" s="8">
        <f>IFERROR(__xludf.DUMMYFUNCTION("""COMPUTED_VALUE"""),42736.0)</f>
        <v>42736</v>
      </c>
      <c r="N469" s="6" t="str">
        <f>IFERROR(__xludf.DUMMYFUNCTION("""COMPUTED_VALUE"""),"NL859680484B01")</f>
        <v>NL859680484B01</v>
      </c>
      <c r="O469" s="6">
        <f>IFERROR(__xludf.DUMMYFUNCTION("""COMPUTED_VALUE"""),7.383511E7)</f>
        <v>73835110</v>
      </c>
      <c r="P469" s="6" t="str">
        <f>IFERROR(__xludf.DUMMYFUNCTION("""COMPUTED_VALUE"""),"NL61INGB0006019712")</f>
        <v>NL61INGB0006019712</v>
      </c>
      <c r="Q469" s="9">
        <f>IFERROR(__xludf.DUMMYFUNCTION("""COMPUTED_VALUE"""),43466.0)</f>
        <v>43466</v>
      </c>
      <c r="R469" s="6"/>
      <c r="S469" s="6" t="str">
        <f>IFERROR(__xludf.DUMMYFUNCTION("""COMPUTED_VALUE"""),"NL859680484B01")</f>
        <v>NL859680484B01</v>
      </c>
      <c r="T469" s="6">
        <f>IFERROR(__xludf.DUMMYFUNCTION("""COMPUTED_VALUE"""),8.59680484E8)</f>
        <v>859680484</v>
      </c>
      <c r="U469" s="7" t="str">
        <f>IFERROR(__xludf.DUMMYFUNCTION("""COMPUTED_VALUE"""),"Vennootschap Onder Firma")</f>
        <v>Vennootschap Onder Firma</v>
      </c>
      <c r="V469" s="7" t="str">
        <f>IFERROR(__xludf.DUMMYFUNCTION("""COMPUTED_VALUE"""),"000022243585")</f>
        <v>000022243585</v>
      </c>
      <c r="W469" s="6" t="str">
        <f>IFERROR(__xludf.DUMMYFUNCTION("""COMPUTED_VALUE"""),"ink.tolidardesignvof.2288aa@zarabota.nl")</f>
        <v>ink.tolidardesignvof.2288aa@zarabota.nl</v>
      </c>
      <c r="X469" s="6" t="str">
        <f>IFERROR(__xludf.DUMMYFUNCTION("""COMPUTED_VALUE"""),"ver.tolidardesignvof.2288aa@zarabota.nl")</f>
        <v>ver.tolidardesignvof.2288aa@zarabota.nl</v>
      </c>
      <c r="Y469" s="6" t="str">
        <f>IFERROR(__xludf.DUMMYFUNCTION("""COMPUTED_VALUE"""),"Hr.")</f>
        <v>Hr.</v>
      </c>
      <c r="Z469" s="6" t="str">
        <f>IFERROR(__xludf.DUMMYFUNCTION("""COMPUTED_VALUE"""),"Anatoliy Viktorovich")</f>
        <v>Anatoliy Viktorovich</v>
      </c>
      <c r="AA469" s="6" t="str">
        <f>IFERROR(__xludf.DUMMYFUNCTION("""COMPUTED_VALUE"""),"Volyanyuk")</f>
        <v>Volyanyuk</v>
      </c>
      <c r="AB469" s="6" t="str">
        <f>IFERROR(__xludf.DUMMYFUNCTION("""COMPUTED_VALUE"""),"A.V.")</f>
        <v>A.V.</v>
      </c>
      <c r="AC469" s="6">
        <f>IFERROR(__xludf.DUMMYFUNCTION("""COMPUTED_VALUE"""),5.65284769E8)</f>
        <v>565284769</v>
      </c>
      <c r="AD469" s="9">
        <f>IFERROR(__xludf.DUMMYFUNCTION("""COMPUTED_VALUE"""),29473.0)</f>
        <v>29473</v>
      </c>
      <c r="AE469" s="6" t="str">
        <f>IFERROR(__xludf.DUMMYFUNCTION("""COMPUTED_VALUE"""),"bg")</f>
        <v>bg</v>
      </c>
      <c r="AF469" s="6" t="str">
        <f>IFERROR(__xludf.DUMMYFUNCTION("""COMPUTED_VALUE"""),"Zalozhtsi")</f>
        <v>Zalozhtsi</v>
      </c>
      <c r="AG469" s="6" t="str">
        <f>IFERROR(__xludf.DUMMYFUNCTION("""COMPUTED_VALUE"""),"Hr. A.V. Volyanyuk")</f>
        <v>Hr. A.V. Volyanyuk</v>
      </c>
      <c r="AH469" s="6"/>
      <c r="AI469" s="6"/>
      <c r="AJ469" s="6"/>
      <c r="AK469" s="6"/>
      <c r="AL469" s="6"/>
      <c r="AM469" s="6"/>
      <c r="AN469" s="6" t="str">
        <f>IFERROR(__xludf.DUMMYFUNCTION("""COMPUTED_VALUE"""),"Anatoliy Viktorovich Volyanyuk")</f>
        <v>Anatoliy Viktorovich Volyanyuk</v>
      </c>
      <c r="AO469" s="6">
        <f>IFERROR(__xludf.DUMMYFUNCTION("""COMPUTED_VALUE"""),698.0)</f>
        <v>698</v>
      </c>
    </row>
    <row r="470">
      <c r="A470" s="6" t="str">
        <f>IFERROR(__xludf.DUMMYFUNCTION("""COMPUTED_VALUE"""),"Toronto 98")</f>
        <v>Toronto 98</v>
      </c>
      <c r="B470" s="6" t="str">
        <f>IFERROR(__xludf.DUMMYFUNCTION("""COMPUTED_VALUE"""),"Toronto 98")</f>
        <v>Toronto 98</v>
      </c>
      <c r="C470" s="6">
        <f>IFERROR(__xludf.DUMMYFUNCTION("""COMPUTED_VALUE"""),586.0)</f>
        <v>586</v>
      </c>
      <c r="D470" s="7" t="str">
        <f>IFERROR(__xludf.DUMMYFUNCTION("""COMPUTED_VALUE"""),"Shaban Ahmedov Ahmedov")</f>
        <v>Shaban Ahmedov Ahmedov</v>
      </c>
      <c r="E470" s="7" t="str">
        <f>IFERROR(__xludf.DUMMYFUNCTION("""COMPUTED_VALUE"""),"SBI-code: 4120 - Algemene burgerlijke en utiliteitsbouw")</f>
        <v>SBI-code: 4120 - Algemene burgerlijke en utiliteitsbouw</v>
      </c>
      <c r="F470" s="7" t="str">
        <f>IFERROR(__xludf.DUMMYFUNCTION("""COMPUTED_VALUE"""),"0687218838")</f>
        <v>0687218838</v>
      </c>
      <c r="G470" s="6" t="str">
        <f>IFERROR(__xludf.DUMMYFUNCTION("""COMPUTED_VALUE"""),"shabanahmedov552@gmail.com")</f>
        <v>shabanahmedov552@gmail.com</v>
      </c>
      <c r="H470" s="6" t="str">
        <f>IFERROR(__xludf.DUMMYFUNCTION("""COMPUTED_VALUE"""),"Driebergenstraat 267")</f>
        <v>Driebergenstraat 267</v>
      </c>
      <c r="I470" s="6" t="str">
        <f>IFERROR(__xludf.DUMMYFUNCTION("""COMPUTED_VALUE"""),"2546BG")</f>
        <v>2546BG</v>
      </c>
      <c r="J470" s="6" t="str">
        <f>IFERROR(__xludf.DUMMYFUNCTION("""COMPUTED_VALUE"""),"s-Gravenhage")</f>
        <v>s-Gravenhage</v>
      </c>
      <c r="K470" s="6" t="str">
        <f>IFERROR(__xludf.DUMMYFUNCTION("""COMPUTED_VALUE"""),"Nederland")</f>
        <v>Nederland</v>
      </c>
      <c r="L470" s="6" t="str">
        <f>IFERROR(__xludf.DUMMYFUNCTION("""COMPUTED_VALUE"""),"Ахмедов")</f>
        <v>Ахмедов</v>
      </c>
      <c r="M470" s="8">
        <f>IFERROR(__xludf.DUMMYFUNCTION("""COMPUTED_VALUE"""),43101.0)</f>
        <v>43101</v>
      </c>
      <c r="N470" s="6" t="str">
        <f>IFERROR(__xludf.DUMMYFUNCTION("""COMPUTED_VALUE"""),"NL682811737B01")</f>
        <v>NL682811737B01</v>
      </c>
      <c r="O470" s="6">
        <f>IFERROR(__xludf.DUMMYFUNCTION("""COMPUTED_VALUE"""),6.971401E7)</f>
        <v>69714010</v>
      </c>
      <c r="P470" s="6" t="str">
        <f>IFERROR(__xludf.DUMMYFUNCTION("""COMPUTED_VALUE"""),"NL87INGB0007923839")</f>
        <v>NL87INGB0007923839</v>
      </c>
      <c r="Q470" s="9">
        <f>IFERROR(__xludf.DUMMYFUNCTION("""COMPUTED_VALUE"""),43010.0)</f>
        <v>43010</v>
      </c>
      <c r="R470" s="6"/>
      <c r="S470" s="6" t="str">
        <f>IFERROR(__xludf.DUMMYFUNCTION("""COMPUTED_VALUE"""),"NL682811737B01")</f>
        <v>NL682811737B01</v>
      </c>
      <c r="T470" s="6">
        <f>IFERROR(__xludf.DUMMYFUNCTION("""COMPUTED_VALUE"""),6.82811737E8)</f>
        <v>682811737</v>
      </c>
      <c r="U470" s="7" t="str">
        <f>IFERROR(__xludf.DUMMYFUNCTION("""COMPUTED_VALUE"""),"Eenmanszaak")</f>
        <v>Eenmanszaak</v>
      </c>
      <c r="V470" s="7" t="str">
        <f>IFERROR(__xludf.DUMMYFUNCTION("""COMPUTED_VALUE"""),"000038047667")</f>
        <v>000038047667</v>
      </c>
      <c r="W470" s="6" t="str">
        <f>IFERROR(__xludf.DUMMYFUNCTION("""COMPUTED_VALUE"""),"ink.toronto98.2288aa@zarabota.nl")</f>
        <v>ink.toronto98.2288aa@zarabota.nl</v>
      </c>
      <c r="X470" s="6" t="str">
        <f>IFERROR(__xludf.DUMMYFUNCTION("""COMPUTED_VALUE"""),"ver.toronto98.2288aa@zarabota.nl")</f>
        <v>ver.toronto98.2288aa@zarabota.nl</v>
      </c>
      <c r="Y470" s="6" t="str">
        <f>IFERROR(__xludf.DUMMYFUNCTION("""COMPUTED_VALUE"""),"Hr.")</f>
        <v>Hr.</v>
      </c>
      <c r="Z470" s="6" t="str">
        <f>IFERROR(__xludf.DUMMYFUNCTION("""COMPUTED_VALUE"""),"Shaban Ahmedov")</f>
        <v>Shaban Ahmedov</v>
      </c>
      <c r="AA470" s="6" t="str">
        <f>IFERROR(__xludf.DUMMYFUNCTION("""COMPUTED_VALUE"""),"Ahmedov")</f>
        <v>Ahmedov</v>
      </c>
      <c r="AB470" s="6" t="str">
        <f>IFERROR(__xludf.DUMMYFUNCTION("""COMPUTED_VALUE"""),"S.A.")</f>
        <v>S.A.</v>
      </c>
      <c r="AC470" s="6">
        <f>IFERROR(__xludf.DUMMYFUNCTION("""COMPUTED_VALUE"""),6.82811737E8)</f>
        <v>682811737</v>
      </c>
      <c r="AD470" s="9">
        <f>IFERROR(__xludf.DUMMYFUNCTION("""COMPUTED_VALUE"""),36002.0)</f>
        <v>36002</v>
      </c>
      <c r="AE470" s="6" t="str">
        <f>IFERROR(__xludf.DUMMYFUNCTION("""COMPUTED_VALUE"""),"bg")</f>
        <v>bg</v>
      </c>
      <c r="AF470" s="6"/>
      <c r="AG470" s="6" t="str">
        <f>IFERROR(__xludf.DUMMYFUNCTION("""COMPUTED_VALUE"""),"Hr. S.A. Ahmedov")</f>
        <v>Hr. S.A. Ahmedov</v>
      </c>
      <c r="AH470" s="6"/>
      <c r="AI470" s="6"/>
      <c r="AJ470" s="6"/>
      <c r="AK470" s="6"/>
      <c r="AL470" s="6"/>
      <c r="AM470" s="6"/>
      <c r="AN470" s="6" t="str">
        <f>IFERROR(__xludf.DUMMYFUNCTION("""COMPUTED_VALUE"""),"Shaban Ahmedov Ahmedov")</f>
        <v>Shaban Ahmedov Ahmedov</v>
      </c>
      <c r="AO470" s="6"/>
    </row>
    <row r="471">
      <c r="A471" s="6" t="str">
        <f>IFERROR(__xludf.DUMMYFUNCTION("""COMPUTED_VALUE"""),"Trocha")</f>
        <v>Trocha</v>
      </c>
      <c r="B471" s="6" t="str">
        <f>IFERROR(__xludf.DUMMYFUNCTION("""COMPUTED_VALUE"""),"Trocha")</f>
        <v>Trocha</v>
      </c>
      <c r="C471" s="6">
        <f>IFERROR(__xludf.DUMMYFUNCTION("""COMPUTED_VALUE"""),1052.0)</f>
        <v>1052</v>
      </c>
      <c r="D471" s="7" t="str">
        <f>IFERROR(__xludf.DUMMYFUNCTION("""COMPUTED_VALUE"""),"Krum Mihaylov Andonov")</f>
        <v>Krum Mihaylov Andonov</v>
      </c>
      <c r="E471" s="7" t="str">
        <f>IFERROR(__xludf.DUMMYFUNCTION("""COMPUTED_VALUE"""),"SBI-code: 4120 - Algemene burgerlijke en utiliteitsbouw")</f>
        <v>SBI-code: 4120 - Algemene burgerlijke en utiliteitsbouw</v>
      </c>
      <c r="F471" s="7" t="str">
        <f>IFERROR(__xludf.DUMMYFUNCTION("""COMPUTED_VALUE"""),"0684741162")</f>
        <v>0684741162</v>
      </c>
      <c r="G471" s="6" t="str">
        <f>IFERROR(__xludf.DUMMYFUNCTION("""COMPUTED_VALUE"""),"andonovkrum8@gmail.com")</f>
        <v>andonovkrum8@gmail.com</v>
      </c>
      <c r="H471" s="6" t="str">
        <f>IFERROR(__xludf.DUMMYFUNCTION("""COMPUTED_VALUE"""),"Dedemsvaartweg 1044")</f>
        <v>Dedemsvaartweg 1044</v>
      </c>
      <c r="I471" s="6" t="str">
        <f>IFERROR(__xludf.DUMMYFUNCTION("""COMPUTED_VALUE"""),"2545BG")</f>
        <v>2545BG</v>
      </c>
      <c r="J471" s="6" t="str">
        <f>IFERROR(__xludf.DUMMYFUNCTION("""COMPUTED_VALUE"""),"`s-Gravenhage")</f>
        <v>`s-Gravenhage</v>
      </c>
      <c r="K471" s="6" t="str">
        <f>IFERROR(__xludf.DUMMYFUNCTION("""COMPUTED_VALUE"""),"Nederland")</f>
        <v>Nederland</v>
      </c>
      <c r="L471" s="6" t="str">
        <f>IFERROR(__xludf.DUMMYFUNCTION("""COMPUTED_VALUE"""),"Андонов")</f>
        <v>Андонов</v>
      </c>
      <c r="M471" s="8">
        <f>IFERROR(__xludf.DUMMYFUNCTION("""COMPUTED_VALUE"""),44197.0)</f>
        <v>44197</v>
      </c>
      <c r="N471" s="6" t="str">
        <f>IFERROR(__xludf.DUMMYFUNCTION("""COMPUTED_VALUE"""),"NL389624561B02")</f>
        <v>NL389624561B02</v>
      </c>
      <c r="O471" s="6">
        <f>IFERROR(__xludf.DUMMYFUNCTION("""COMPUTED_VALUE"""),8.1373732E7)</f>
        <v>81373732</v>
      </c>
      <c r="P471" s="6" t="str">
        <f>IFERROR(__xludf.DUMMYFUNCTION("""COMPUTED_VALUE"""),"NL85INGB0391409786")</f>
        <v>NL85INGB0391409786</v>
      </c>
      <c r="Q471" s="9">
        <f>IFERROR(__xludf.DUMMYFUNCTION("""COMPUTED_VALUE"""),44197.0)</f>
        <v>44197</v>
      </c>
      <c r="R471" s="6"/>
      <c r="S471" s="6" t="str">
        <f>IFERROR(__xludf.DUMMYFUNCTION("""COMPUTED_VALUE"""),"NL003553386B14")</f>
        <v>NL003553386B14</v>
      </c>
      <c r="T471" s="6">
        <f>IFERROR(__xludf.DUMMYFUNCTION("""COMPUTED_VALUE"""),3.89624561E8)</f>
        <v>389624561</v>
      </c>
      <c r="U471" s="7" t="str">
        <f>IFERROR(__xludf.DUMMYFUNCTION("""COMPUTED_VALUE"""),"Eenmanszaak")</f>
        <v>Eenmanszaak</v>
      </c>
      <c r="V471" s="7" t="str">
        <f>IFERROR(__xludf.DUMMYFUNCTION("""COMPUTED_VALUE"""),"000047674822")</f>
        <v>000047674822</v>
      </c>
      <c r="W471" s="6" t="str">
        <f>IFERROR(__xludf.DUMMYFUNCTION("""COMPUTED_VALUE"""),"ink.trocha.2288aa@zarabota.nl")</f>
        <v>ink.trocha.2288aa@zarabota.nl</v>
      </c>
      <c r="X471" s="6" t="str">
        <f>IFERROR(__xludf.DUMMYFUNCTION("""COMPUTED_VALUE"""),"ver.trocha.2288aa@zarabota.nl")</f>
        <v>ver.trocha.2288aa@zarabota.nl</v>
      </c>
      <c r="Y471" s="6" t="str">
        <f>IFERROR(__xludf.DUMMYFUNCTION("""COMPUTED_VALUE"""),"Hr.")</f>
        <v>Hr.</v>
      </c>
      <c r="Z471" s="6" t="str">
        <f>IFERROR(__xludf.DUMMYFUNCTION("""COMPUTED_VALUE"""),"Krum Mihaylov")</f>
        <v>Krum Mihaylov</v>
      </c>
      <c r="AA471" s="6" t="str">
        <f>IFERROR(__xludf.DUMMYFUNCTION("""COMPUTED_VALUE"""),"Andonov")</f>
        <v>Andonov</v>
      </c>
      <c r="AB471" s="6" t="str">
        <f>IFERROR(__xludf.DUMMYFUNCTION("""COMPUTED_VALUE"""),"K.M.")</f>
        <v>K.M.</v>
      </c>
      <c r="AC471" s="6">
        <f>IFERROR(__xludf.DUMMYFUNCTION("""COMPUTED_VALUE"""),3.89624561E8)</f>
        <v>389624561</v>
      </c>
      <c r="AD471" s="9">
        <f>IFERROR(__xludf.DUMMYFUNCTION("""COMPUTED_VALUE"""),23572.0)</f>
        <v>23572</v>
      </c>
      <c r="AE471" s="6" t="str">
        <f>IFERROR(__xludf.DUMMYFUNCTION("""COMPUTED_VALUE"""),"bg")</f>
        <v>bg</v>
      </c>
      <c r="AF471" s="6" t="str">
        <f>IFERROR(__xludf.DUMMYFUNCTION("""COMPUTED_VALUE"""),"Skobelevo")</f>
        <v>Skobelevo</v>
      </c>
      <c r="AG471" s="6" t="str">
        <f>IFERROR(__xludf.DUMMYFUNCTION("""COMPUTED_VALUE"""),"Hr. K.M. Andonov")</f>
        <v>Hr. K.M. Andonov</v>
      </c>
      <c r="AH471" s="6"/>
      <c r="AI471" s="6"/>
      <c r="AJ471" s="6"/>
      <c r="AK471" s="6"/>
      <c r="AL471" s="6"/>
      <c r="AM471" s="6"/>
      <c r="AN471" s="6" t="str">
        <f>IFERROR(__xludf.DUMMYFUNCTION("""COMPUTED_VALUE"""),"Krum Mihaylov Andonov")</f>
        <v>Krum Mihaylov Andonov</v>
      </c>
      <c r="AO471" s="6">
        <f>IFERROR(__xludf.DUMMYFUNCTION("""COMPUTED_VALUE"""),1052.0)</f>
        <v>1052</v>
      </c>
    </row>
    <row r="472">
      <c r="A472" s="6" t="str">
        <f>IFERROR(__xludf.DUMMYFUNCTION("""COMPUTED_VALUE"""),"Tunay2018")</f>
        <v>Tunay2018</v>
      </c>
      <c r="B472" s="6" t="str">
        <f>IFERROR(__xludf.DUMMYFUNCTION("""COMPUTED_VALUE"""),"Tunay2018")</f>
        <v>Tunay2018</v>
      </c>
      <c r="C472" s="6">
        <f>IFERROR(__xludf.DUMMYFUNCTION("""COMPUTED_VALUE"""),985.0)</f>
        <v>985</v>
      </c>
      <c r="D472" s="7" t="str">
        <f>IFERROR(__xludf.DUMMYFUNCTION("""COMPUTED_VALUE"""),"Tunay Fikretov Mehmedov")</f>
        <v>Tunay Fikretov Mehmedov</v>
      </c>
      <c r="E472" s="7" t="str">
        <f>IFERROR(__xludf.DUMMYFUNCTION("""COMPUTED_VALUE"""),"SBI-code: 4120 - Algemene burgerlijke en utiliteitsbouw")</f>
        <v>SBI-code: 4120 - Algemene burgerlijke en utiliteitsbouw</v>
      </c>
      <c r="F472" s="7" t="str">
        <f>IFERROR(__xludf.DUMMYFUNCTION("""COMPUTED_VALUE"""),"0687961247")</f>
        <v>0687961247</v>
      </c>
      <c r="G472" s="6" t="str">
        <f>IFERROR(__xludf.DUMMYFUNCTION("""COMPUTED_VALUE"""),"tunayfikretov@gmail.com")</f>
        <v>tunayfikretov@gmail.com</v>
      </c>
      <c r="H472" s="6" t="str">
        <f>IFERROR(__xludf.DUMMYFUNCTION("""COMPUTED_VALUE"""),"Escamplaan 154")</f>
        <v>Escamplaan 154</v>
      </c>
      <c r="I472" s="6" t="str">
        <f>IFERROR(__xludf.DUMMYFUNCTION("""COMPUTED_VALUE"""),"2547GL")</f>
        <v>2547GL</v>
      </c>
      <c r="J472" s="6" t="str">
        <f>IFERROR(__xludf.DUMMYFUNCTION("""COMPUTED_VALUE"""),"s-Gravenhage")</f>
        <v>s-Gravenhage</v>
      </c>
      <c r="K472" s="6" t="str">
        <f>IFERROR(__xludf.DUMMYFUNCTION("""COMPUTED_VALUE"""),"Nederland")</f>
        <v>Nederland</v>
      </c>
      <c r="L472" s="6" t="str">
        <f>IFERROR(__xludf.DUMMYFUNCTION("""COMPUTED_VALUE"""),"Мехмедов")</f>
        <v>Мехмедов</v>
      </c>
      <c r="M472" s="8">
        <f>IFERROR(__xludf.DUMMYFUNCTION("""COMPUTED_VALUE"""),43991.0)</f>
        <v>43991</v>
      </c>
      <c r="N472" s="6" t="str">
        <f>IFERROR(__xludf.DUMMYFUNCTION("""COMPUTED_VALUE"""),"NL401429374B02")</f>
        <v>NL401429374B02</v>
      </c>
      <c r="O472" s="6">
        <f>IFERROR(__xludf.DUMMYFUNCTION("""COMPUTED_VALUE"""),8.9969472E7)</f>
        <v>89969472</v>
      </c>
      <c r="P472" s="6" t="str">
        <f>IFERROR(__xludf.DUMMYFUNCTION("""COMPUTED_VALUE"""),"NL49INGB0008423394")</f>
        <v>NL49INGB0008423394</v>
      </c>
      <c r="Q472" s="9">
        <f>IFERROR(__xludf.DUMMYFUNCTION("""COMPUTED_VALUE"""),44927.0)</f>
        <v>44927</v>
      </c>
      <c r="R472" s="6"/>
      <c r="S472" s="6" t="str">
        <f>IFERROR(__xludf.DUMMYFUNCTION("""COMPUTED_VALUE"""),"NL004775473B61")</f>
        <v>NL004775473B61</v>
      </c>
      <c r="T472" s="6"/>
      <c r="U472" s="7" t="str">
        <f>IFERROR(__xludf.DUMMYFUNCTION("""COMPUTED_VALUE"""),"Vennootschap Onder Firma")</f>
        <v>Vennootschap Onder Firma</v>
      </c>
      <c r="V472" s="7" t="str">
        <f>IFERROR(__xludf.DUMMYFUNCTION("""COMPUTED_VALUE"""),"000039966992")</f>
        <v>000039966992</v>
      </c>
      <c r="W472" s="6" t="str">
        <f>IFERROR(__xludf.DUMMYFUNCTION("""COMPUTED_VALUE"""),"ink.tunay2018vof.2288aa@zarabota.nl")</f>
        <v>ink.tunay2018vof.2288aa@zarabota.nl</v>
      </c>
      <c r="X472" s="6" t="str">
        <f>IFERROR(__xludf.DUMMYFUNCTION("""COMPUTED_VALUE"""),"ver.tunay2018vof.2288aa@zarabota.nl")</f>
        <v>ver.tunay2018vof.2288aa@zarabota.nl</v>
      </c>
      <c r="Y472" s="6" t="str">
        <f>IFERROR(__xludf.DUMMYFUNCTION("""COMPUTED_VALUE"""),"Hr.")</f>
        <v>Hr.</v>
      </c>
      <c r="Z472" s="6" t="str">
        <f>IFERROR(__xludf.DUMMYFUNCTION("""COMPUTED_VALUE"""),"Tunay Fikretov")</f>
        <v>Tunay Fikretov</v>
      </c>
      <c r="AA472" s="6" t="str">
        <f>IFERROR(__xludf.DUMMYFUNCTION("""COMPUTED_VALUE"""),"Mehmedov")</f>
        <v>Mehmedov</v>
      </c>
      <c r="AB472" s="6" t="str">
        <f>IFERROR(__xludf.DUMMYFUNCTION("""COMPUTED_VALUE"""),"T.F.")</f>
        <v>T.F.</v>
      </c>
      <c r="AC472" s="6" t="str">
        <f>IFERROR(__xludf.DUMMYFUNCTION("""COMPUTED_VALUE"""),"NL401429374B02")</f>
        <v>NL401429374B02</v>
      </c>
      <c r="AD472" s="9">
        <f>IFERROR(__xludf.DUMMYFUNCTION("""COMPUTED_VALUE"""),35516.0)</f>
        <v>35516</v>
      </c>
      <c r="AE472" s="6" t="str">
        <f>IFERROR(__xludf.DUMMYFUNCTION("""COMPUTED_VALUE"""),"bg")</f>
        <v>bg</v>
      </c>
      <c r="AF472" s="6" t="str">
        <f>IFERROR(__xludf.DUMMYFUNCTION("""COMPUTED_VALUE"""),"Kubrat")</f>
        <v>Kubrat</v>
      </c>
      <c r="AG472" s="6" t="str">
        <f>IFERROR(__xludf.DUMMYFUNCTION("""COMPUTED_VALUE"""),"Hr. T.F. Mehmedov")</f>
        <v>Hr. T.F. Mehmedov</v>
      </c>
      <c r="AH472" s="6"/>
      <c r="AI472" s="6"/>
      <c r="AJ472" s="6"/>
      <c r="AK472" s="6"/>
      <c r="AL472" s="6"/>
      <c r="AM472" s="6"/>
      <c r="AN472" s="6" t="str">
        <f>IFERROR(__xludf.DUMMYFUNCTION("""COMPUTED_VALUE"""),"Tunay Fikretov Mehmedov")</f>
        <v>Tunay Fikretov Mehmedov</v>
      </c>
      <c r="AO472" s="6"/>
    </row>
    <row r="473">
      <c r="A473" s="6" t="str">
        <f>IFERROR(__xludf.DUMMYFUNCTION("""COMPUTED_VALUE"""),"UBO Bouw")</f>
        <v>UBO Bouw</v>
      </c>
      <c r="B473" s="6" t="str">
        <f>IFERROR(__xludf.DUMMYFUNCTION("""COMPUTED_VALUE"""),"UBO Bouw")</f>
        <v>UBO Bouw</v>
      </c>
      <c r="C473" s="6">
        <f>IFERROR(__xludf.DUMMYFUNCTION("""COMPUTED_VALUE"""),1569.0)</f>
        <v>1569</v>
      </c>
      <c r="D473" s="7" t="str">
        <f>IFERROR(__xludf.DUMMYFUNCTION("""COMPUTED_VALUE"""),"Volodimir Bohdanovich Ubohyi")</f>
        <v>Volodimir Bohdanovich Ubohyi</v>
      </c>
      <c r="E473" s="7" t="str">
        <f>IFERROR(__xludf.DUMMYFUNCTION("""COMPUTED_VALUE"""),"SBI-code: 4120 - Algemene burgerlijke en utiliteitsbouw")</f>
        <v>SBI-code: 4120 - Algemene burgerlijke en utiliteitsbouw</v>
      </c>
      <c r="F473" s="7" t="str">
        <f>IFERROR(__xludf.DUMMYFUNCTION("""COMPUTED_VALUE"""),"+31682606877")</f>
        <v>+31682606877</v>
      </c>
      <c r="G473" s="6" t="str">
        <f>IFERROR(__xludf.DUMMYFUNCTION("""COMPUTED_VALUE"""),"volodumur2205@gmail.com")</f>
        <v>volodumur2205@gmail.com</v>
      </c>
      <c r="H473" s="6" t="str">
        <f>IFERROR(__xludf.DUMMYFUNCTION("""COMPUTED_VALUE"""),"Zandvoortselaan 148")</f>
        <v>Zandvoortselaan 148</v>
      </c>
      <c r="I473" s="6" t="str">
        <f>IFERROR(__xludf.DUMMYFUNCTION("""COMPUTED_VALUE"""),"2554EM")</f>
        <v>2554EM</v>
      </c>
      <c r="J473" s="6" t="str">
        <f>IFERROR(__xludf.DUMMYFUNCTION("""COMPUTED_VALUE"""),"s-Gravenhage")</f>
        <v>s-Gravenhage</v>
      </c>
      <c r="K473" s="6" t="str">
        <f>IFERROR(__xludf.DUMMYFUNCTION("""COMPUTED_VALUE"""),"Nederland")</f>
        <v>Nederland</v>
      </c>
      <c r="L473" s="6" t="str">
        <f>IFERROR(__xludf.DUMMYFUNCTION("""COMPUTED_VALUE"""),"Убогий")</f>
        <v>Убогий</v>
      </c>
      <c r="M473" s="8">
        <f>IFERROR(__xludf.DUMMYFUNCTION("""COMPUTED_VALUE"""),45301.0)</f>
        <v>45301</v>
      </c>
      <c r="N473" s="6" t="str">
        <f>IFERROR(__xludf.DUMMYFUNCTION("""COMPUTED_VALUE"""),"NL284885770B01")</f>
        <v>NL284885770B01</v>
      </c>
      <c r="O473" s="6">
        <f>IFERROR(__xludf.DUMMYFUNCTION("""COMPUTED_VALUE"""),9.2713483E7)</f>
        <v>92713483</v>
      </c>
      <c r="P473" s="6" t="str">
        <f>IFERROR(__xludf.DUMMYFUNCTION("""COMPUTED_VALUE"""),"NL92INGB0104817437")</f>
        <v>NL92INGB0104817437</v>
      </c>
      <c r="Q473" s="9">
        <f>IFERROR(__xludf.DUMMYFUNCTION("""COMPUTED_VALUE"""),45117.0)</f>
        <v>45117</v>
      </c>
      <c r="R473" s="6"/>
      <c r="S473" s="6" t="str">
        <f>IFERROR(__xludf.DUMMYFUNCTION("""COMPUTED_VALUE"""),"NL004972792B66")</f>
        <v>NL004972792B66</v>
      </c>
      <c r="T473" s="6">
        <f>IFERROR(__xludf.DUMMYFUNCTION("""COMPUTED_VALUE"""),2.8488577E8)</f>
        <v>284885770</v>
      </c>
      <c r="U473" s="7" t="str">
        <f>IFERROR(__xludf.DUMMYFUNCTION("""COMPUTED_VALUE"""),"Eenmanszaak")</f>
        <v>Eenmanszaak</v>
      </c>
      <c r="V473" s="7" t="str">
        <f>IFERROR(__xludf.DUMMYFUNCTION("""COMPUTED_VALUE"""),"000058299467")</f>
        <v>000058299467</v>
      </c>
      <c r="W473" s="6" t="str">
        <f>IFERROR(__xludf.DUMMYFUNCTION("""COMPUTED_VALUE"""),"ink.ubobouw.2288aa@zarabota.nl")</f>
        <v>ink.ubobouw.2288aa@zarabota.nl</v>
      </c>
      <c r="X473" s="6" t="str">
        <f>IFERROR(__xludf.DUMMYFUNCTION("""COMPUTED_VALUE"""),"ver.ubobouw.2288aa@zarabota.nl")</f>
        <v>ver.ubobouw.2288aa@zarabota.nl</v>
      </c>
      <c r="Y473" s="6" t="str">
        <f>IFERROR(__xludf.DUMMYFUNCTION("""COMPUTED_VALUE"""),"Hr.")</f>
        <v>Hr.</v>
      </c>
      <c r="Z473" s="6" t="str">
        <f>IFERROR(__xludf.DUMMYFUNCTION("""COMPUTED_VALUE"""),"Volodimir Bohdanovich")</f>
        <v>Volodimir Bohdanovich</v>
      </c>
      <c r="AA473" s="6" t="str">
        <f>IFERROR(__xludf.DUMMYFUNCTION("""COMPUTED_VALUE"""),"Ubohyi")</f>
        <v>Ubohyi</v>
      </c>
      <c r="AB473" s="6" t="str">
        <f>IFERROR(__xludf.DUMMYFUNCTION("""COMPUTED_VALUE"""),"V.B.")</f>
        <v>V.B.</v>
      </c>
      <c r="AC473" s="6">
        <f>IFERROR(__xludf.DUMMYFUNCTION("""COMPUTED_VALUE"""),2.8488577E8)</f>
        <v>284885770</v>
      </c>
      <c r="AD473" s="9">
        <f>IFERROR(__xludf.DUMMYFUNCTION("""COMPUTED_VALUE"""),28997.0)</f>
        <v>28997</v>
      </c>
      <c r="AE473" s="6" t="str">
        <f>IFERROR(__xludf.DUMMYFUNCTION("""COMPUTED_VALUE"""),"bg")</f>
        <v>bg</v>
      </c>
      <c r="AF473" s="6" t="str">
        <f>IFERROR(__xludf.DUMMYFUNCTION("""COMPUTED_VALUE"""),"Zhydachiv")</f>
        <v>Zhydachiv</v>
      </c>
      <c r="AG473" s="6" t="str">
        <f>IFERROR(__xludf.DUMMYFUNCTION("""COMPUTED_VALUE"""),"Hr. V.B. Ubohyi")</f>
        <v>Hr. V.B. Ubohyi</v>
      </c>
      <c r="AH473" s="6" t="str">
        <f>IFERROR(__xludf.DUMMYFUNCTION("""COMPUTED_VALUE"""),"NL54RABO0199153760")</f>
        <v>NL54RABO0199153760</v>
      </c>
      <c r="AI473" s="6"/>
      <c r="AJ473" s="6" t="str">
        <f>IFERROR(__xludf.DUMMYFUNCTION("""COMPUTED_VALUE"""),"Paspoort")</f>
        <v>Paspoort</v>
      </c>
      <c r="AK473" s="6" t="str">
        <f>IFERROR(__xludf.DUMMYFUNCTION("""COMPUTED_VALUE"""),"FT828591")</f>
        <v>FT828591</v>
      </c>
      <c r="AL473" s="6"/>
      <c r="AM473" s="6" t="str">
        <f>IFERROR(__xludf.DUMMYFUNCTION("""COMPUTED_VALUE"""),"Oekraïne")</f>
        <v>Oekraïne</v>
      </c>
      <c r="AN473" s="6" t="str">
        <f>IFERROR(__xludf.DUMMYFUNCTION("""COMPUTED_VALUE"""),"Volodimir Bohdanovich Ubohyi")</f>
        <v>Volodimir Bohdanovich Ubohyi</v>
      </c>
      <c r="AO473" s="6">
        <f>IFERROR(__xludf.DUMMYFUNCTION("""COMPUTED_VALUE"""),1569.0)</f>
        <v>1569</v>
      </c>
    </row>
    <row r="474">
      <c r="A474" s="6" t="str">
        <f>IFERROR(__xludf.DUMMYFUNCTION("""COMPUTED_VALUE"""),"UFC Transport")</f>
        <v>UFC Transport</v>
      </c>
      <c r="B474" s="6" t="str">
        <f>IFERROR(__xludf.DUMMYFUNCTION("""COMPUTED_VALUE"""),"UFC Transport VOF")</f>
        <v>UFC Transport VOF</v>
      </c>
      <c r="C474" s="6">
        <f>IFERROR(__xludf.DUMMYFUNCTION("""COMPUTED_VALUE"""),1705.0)</f>
        <v>1705</v>
      </c>
      <c r="D474" s="7" t="str">
        <f>IFERROR(__xludf.DUMMYFUNCTION("""COMPUTED_VALUE"""),"Ismail Fikretov Ismailov")</f>
        <v>Ismail Fikretov Ismailov</v>
      </c>
      <c r="E474" s="7" t="str">
        <f>IFERROR(__xludf.DUMMYFUNCTION("""COMPUTED_VALUE"""),"SBI-code: 4120 - Algemene burgerlijke en utiliteitsbouw")</f>
        <v>SBI-code: 4120 - Algemene burgerlijke en utiliteitsbouw</v>
      </c>
      <c r="F474" s="7" t="str">
        <f>IFERROR(__xludf.DUMMYFUNCTION("""COMPUTED_VALUE"""),"0682397974")</f>
        <v>0682397974</v>
      </c>
      <c r="G474" s="6" t="str">
        <f>IFERROR(__xludf.DUMMYFUNCTION("""COMPUTED_VALUE"""),"iziismailov4@gmail.com")</f>
        <v>iziismailov4@gmail.com</v>
      </c>
      <c r="H474" s="6" t="str">
        <f>IFERROR(__xludf.DUMMYFUNCTION("""COMPUTED_VALUE"""),"Edisonstraat 32 B")</f>
        <v>Edisonstraat 32 B</v>
      </c>
      <c r="I474" s="6" t="str">
        <f>IFERROR(__xludf.DUMMYFUNCTION("""COMPUTED_VALUE"""),"3112 LW")</f>
        <v>3112 LW</v>
      </c>
      <c r="J474" s="6" t="str">
        <f>IFERROR(__xludf.DUMMYFUNCTION("""COMPUTED_VALUE"""),"Schiedam")</f>
        <v>Schiedam</v>
      </c>
      <c r="K474" s="6" t="str">
        <f>IFERROR(__xludf.DUMMYFUNCTION("""COMPUTED_VALUE"""),"Nederland")</f>
        <v>Nederland</v>
      </c>
      <c r="L474" s="6" t="str">
        <f>IFERROR(__xludf.DUMMYFUNCTION("""COMPUTED_VALUE"""),"Исмаилов")</f>
        <v>Исмаилов</v>
      </c>
      <c r="M474" s="8">
        <f>IFERROR(__xludf.DUMMYFUNCTION("""COMPUTED_VALUE"""),45748.0)</f>
        <v>45748</v>
      </c>
      <c r="N474" s="6" t="str">
        <f>IFERROR(__xludf.DUMMYFUNCTION("""COMPUTED_VALUE"""),"NL867925553B01")</f>
        <v>NL867925553B01</v>
      </c>
      <c r="O474" s="6">
        <f>IFERROR(__xludf.DUMMYFUNCTION("""COMPUTED_VALUE"""),9.7137898E7)</f>
        <v>97137898</v>
      </c>
      <c r="P474" s="6" t="str">
        <f>IFERROR(__xludf.DUMMYFUNCTION("""COMPUTED_VALUE"""),"NL02INGB0007303017")</f>
        <v>NL02INGB0007303017</v>
      </c>
      <c r="Q474" s="9">
        <f>IFERROR(__xludf.DUMMYFUNCTION("""COMPUTED_VALUE"""),43647.0)</f>
        <v>43647</v>
      </c>
      <c r="R474" s="6"/>
      <c r="S474" s="6" t="str">
        <f>IFERROR(__xludf.DUMMYFUNCTION("""COMPUTED_VALUE"""),"NL867925553B01")</f>
        <v>NL867925553B01</v>
      </c>
      <c r="T474" s="6">
        <f>IFERROR(__xludf.DUMMYFUNCTION("""COMPUTED_VALUE"""),8.67925553E8)</f>
        <v>867925553</v>
      </c>
      <c r="U474" s="7" t="str">
        <f>IFERROR(__xludf.DUMMYFUNCTION("""COMPUTED_VALUE"""),"Eenmanszaak")</f>
        <v>Eenmanszaak</v>
      </c>
      <c r="V474" s="7" t="str">
        <f>IFERROR(__xludf.DUMMYFUNCTION("""COMPUTED_VALUE"""),"000043090575")</f>
        <v>000043090575</v>
      </c>
      <c r="W474" s="6" t="str">
        <f>IFERROR(__xludf.DUMMYFUNCTION("""COMPUTED_VALUE"""),"ink.ufctransport.2288aa@zarabota.nl")</f>
        <v>ink.ufctransport.2288aa@zarabota.nl</v>
      </c>
      <c r="X474" s="6" t="str">
        <f>IFERROR(__xludf.DUMMYFUNCTION("""COMPUTED_VALUE"""),"ver.ufctransport.2288aa@zarabota.nl")</f>
        <v>ver.ufctransport.2288aa@zarabota.nl</v>
      </c>
      <c r="Y474" s="6" t="str">
        <f>IFERROR(__xludf.DUMMYFUNCTION("""COMPUTED_VALUE"""),"Hr.")</f>
        <v>Hr.</v>
      </c>
      <c r="Z474" s="6" t="str">
        <f>IFERROR(__xludf.DUMMYFUNCTION("""COMPUTED_VALUE"""),"Ismail Fikretov")</f>
        <v>Ismail Fikretov</v>
      </c>
      <c r="AA474" s="6" t="str">
        <f>IFERROR(__xludf.DUMMYFUNCTION("""COMPUTED_VALUE"""),"Ismailov")</f>
        <v>Ismailov</v>
      </c>
      <c r="AB474" s="6" t="str">
        <f>IFERROR(__xludf.DUMMYFUNCTION("""COMPUTED_VALUE"""),"I.F.")</f>
        <v>I.F.</v>
      </c>
      <c r="AC474" s="6">
        <f>IFERROR(__xludf.DUMMYFUNCTION("""COMPUTED_VALUE"""),5.15867214E8)</f>
        <v>515867214</v>
      </c>
      <c r="AD474" s="9">
        <f>IFERROR(__xludf.DUMMYFUNCTION("""COMPUTED_VALUE"""),34034.0)</f>
        <v>34034</v>
      </c>
      <c r="AE474" s="6" t="str">
        <f>IFERROR(__xludf.DUMMYFUNCTION("""COMPUTED_VALUE"""),"bg")</f>
        <v>bg</v>
      </c>
      <c r="AF474" s="6" t="str">
        <f>IFERROR(__xludf.DUMMYFUNCTION("""COMPUTED_VALUE"""),"Targovishte")</f>
        <v>Targovishte</v>
      </c>
      <c r="AG474" s="6" t="str">
        <f>IFERROR(__xludf.DUMMYFUNCTION("""COMPUTED_VALUE"""),"Hr. I.F. Ismailov")</f>
        <v>Hr. I.F. Ismailov</v>
      </c>
      <c r="AH474" s="6" t="str">
        <f>IFERROR(__xludf.DUMMYFUNCTION("""COMPUTED_VALUE"""),"NL14INGB0661242463")</f>
        <v>NL14INGB0661242463</v>
      </c>
      <c r="AI474" s="6"/>
      <c r="AJ474" s="6" t="str">
        <f>IFERROR(__xludf.DUMMYFUNCTION("""COMPUTED_VALUE"""),"ID Kaart")</f>
        <v>ID Kaart</v>
      </c>
      <c r="AK474" s="6">
        <f>IFERROR(__xludf.DUMMYFUNCTION("""COMPUTED_VALUE"""),6.42558857E8)</f>
        <v>642558857</v>
      </c>
      <c r="AL474" s="9">
        <f>IFERROR(__xludf.DUMMYFUNCTION("""COMPUTED_VALUE"""),44399.0)</f>
        <v>44399</v>
      </c>
      <c r="AM474" s="6" t="str">
        <f>IFERROR(__xludf.DUMMYFUNCTION("""COMPUTED_VALUE"""),"Bulgarije")</f>
        <v>Bulgarije</v>
      </c>
      <c r="AN474" s="6" t="str">
        <f>IFERROR(__xludf.DUMMYFUNCTION("""COMPUTED_VALUE"""),"Ismail Fikretov Ismailov")</f>
        <v>Ismail Fikretov Ismailov</v>
      </c>
      <c r="AO474" s="6">
        <f>IFERROR(__xludf.DUMMYFUNCTION("""COMPUTED_VALUE"""),1705.0)</f>
        <v>1705</v>
      </c>
    </row>
    <row r="475">
      <c r="A475" s="6" t="str">
        <f>IFERROR(__xludf.DUMMYFUNCTION("""COMPUTED_VALUE"""),"V.D.V. Walhalla")</f>
        <v>V.D.V. Walhalla</v>
      </c>
      <c r="B475" s="6" t="str">
        <f>IFERROR(__xludf.DUMMYFUNCTION("""COMPUTED_VALUE"""),"V.D.V. Walhalla")</f>
        <v>V.D.V. Walhalla</v>
      </c>
      <c r="C475" s="6">
        <f>IFERROR(__xludf.DUMMYFUNCTION("""COMPUTED_VALUE"""),1651.0)</f>
        <v>1651</v>
      </c>
      <c r="D475" s="7" t="str">
        <f>IFERROR(__xludf.DUMMYFUNCTION("""COMPUTED_VALUE"""),"Vasil Dimitrov Vasilev")</f>
        <v>Vasil Dimitrov Vasilev</v>
      </c>
      <c r="E475" s="7" t="str">
        <f>IFERROR(__xludf.DUMMYFUNCTION("""COMPUTED_VALUE"""),"SBI-code: 4120 - Algemene burgerlijke en utiliteitsbouw")</f>
        <v>SBI-code: 4120 - Algemene burgerlijke en utiliteitsbouw</v>
      </c>
      <c r="F475" s="7" t="str">
        <f>IFERROR(__xludf.DUMMYFUNCTION("""COMPUTED_VALUE"""),"0633205705")</f>
        <v>0633205705</v>
      </c>
      <c r="G475" s="6" t="str">
        <f>IFERROR(__xludf.DUMMYFUNCTION("""COMPUTED_VALUE"""),"vasko0443015060@gmail.com")</f>
        <v>vasko0443015060@gmail.com</v>
      </c>
      <c r="H475" s="6" t="str">
        <f>IFERROR(__xludf.DUMMYFUNCTION("""COMPUTED_VALUE"""),"Kaapseplein 137")</f>
        <v>Kaapseplein 137</v>
      </c>
      <c r="I475" s="6" t="str">
        <f>IFERROR(__xludf.DUMMYFUNCTION("""COMPUTED_VALUE"""),"2572NH")</f>
        <v>2572NH</v>
      </c>
      <c r="J475" s="6" t="str">
        <f>IFERROR(__xludf.DUMMYFUNCTION("""COMPUTED_VALUE"""),"s-Gravenhage")</f>
        <v>s-Gravenhage</v>
      </c>
      <c r="K475" s="6" t="str">
        <f>IFERROR(__xludf.DUMMYFUNCTION("""COMPUTED_VALUE"""),"Nederland")</f>
        <v>Nederland</v>
      </c>
      <c r="L475" s="6" t="str">
        <f>IFERROR(__xludf.DUMMYFUNCTION("""COMPUTED_VALUE"""),"Василев")</f>
        <v>Василев</v>
      </c>
      <c r="M475" s="8">
        <f>IFERROR(__xludf.DUMMYFUNCTION("""COMPUTED_VALUE"""),45511.0)</f>
        <v>45511</v>
      </c>
      <c r="N475" s="6" t="str">
        <f>IFERROR(__xludf.DUMMYFUNCTION("""COMPUTED_VALUE"""),"NL380902114B01")</f>
        <v>NL380902114B01</v>
      </c>
      <c r="O475" s="6">
        <f>IFERROR(__xludf.DUMMYFUNCTION("""COMPUTED_VALUE"""),9.4650551E7)</f>
        <v>94650551</v>
      </c>
      <c r="P475" s="6" t="str">
        <f>IFERROR(__xludf.DUMMYFUNCTION("""COMPUTED_VALUE"""),"NL77INGB0107521970")</f>
        <v>NL77INGB0107521970</v>
      </c>
      <c r="Q475" s="9">
        <f>IFERROR(__xludf.DUMMYFUNCTION("""COMPUTED_VALUE"""),45511.0)</f>
        <v>45511</v>
      </c>
      <c r="R475" s="6"/>
      <c r="S475" s="6" t="str">
        <f>IFERROR(__xludf.DUMMYFUNCTION("""COMPUTED_VALUE"""),"NL005099885B53")</f>
        <v>NL005099885B53</v>
      </c>
      <c r="T475" s="6">
        <f>IFERROR(__xludf.DUMMYFUNCTION("""COMPUTED_VALUE"""),3.80902114E8)</f>
        <v>380902114</v>
      </c>
      <c r="U475" s="7" t="str">
        <f>IFERROR(__xludf.DUMMYFUNCTION("""COMPUTED_VALUE"""),"Eenmanszaak")</f>
        <v>Eenmanszaak</v>
      </c>
      <c r="V475" s="7" t="str">
        <f>IFERROR(__xludf.DUMMYFUNCTION("""COMPUTED_VALUE"""),"000060106573")</f>
        <v>000060106573</v>
      </c>
      <c r="W475" s="6" t="str">
        <f>IFERROR(__xludf.DUMMYFUNCTION("""COMPUTED_VALUE"""),"ink.vdvwalhalla.2288aa@zarabota.nl")</f>
        <v>ink.vdvwalhalla.2288aa@zarabota.nl</v>
      </c>
      <c r="X475" s="6" t="str">
        <f>IFERROR(__xludf.DUMMYFUNCTION("""COMPUTED_VALUE"""),"ver.vdvwalhalla.2288aa@zarabota.nl")</f>
        <v>ver.vdvwalhalla.2288aa@zarabota.nl</v>
      </c>
      <c r="Y475" s="6" t="str">
        <f>IFERROR(__xludf.DUMMYFUNCTION("""COMPUTED_VALUE"""),"Hr.")</f>
        <v>Hr.</v>
      </c>
      <c r="Z475" s="6" t="str">
        <f>IFERROR(__xludf.DUMMYFUNCTION("""COMPUTED_VALUE"""),"Vasil Dimitrov")</f>
        <v>Vasil Dimitrov</v>
      </c>
      <c r="AA475" s="6" t="str">
        <f>IFERROR(__xludf.DUMMYFUNCTION("""COMPUTED_VALUE"""),"Vasilev")</f>
        <v>Vasilev</v>
      </c>
      <c r="AB475" s="6" t="str">
        <f>IFERROR(__xludf.DUMMYFUNCTION("""COMPUTED_VALUE"""),"V.D.")</f>
        <v>V.D.</v>
      </c>
      <c r="AC475" s="6">
        <f>IFERROR(__xludf.DUMMYFUNCTION("""COMPUTED_VALUE"""),3.80902114E8)</f>
        <v>380902114</v>
      </c>
      <c r="AD475" s="9">
        <f>IFERROR(__xludf.DUMMYFUNCTION("""COMPUTED_VALUE"""),38047.0)</f>
        <v>38047</v>
      </c>
      <c r="AE475" s="6" t="str">
        <f>IFERROR(__xludf.DUMMYFUNCTION("""COMPUTED_VALUE"""),"bg")</f>
        <v>bg</v>
      </c>
      <c r="AF475" s="6"/>
      <c r="AG475" s="6" t="str">
        <f>IFERROR(__xludf.DUMMYFUNCTION("""COMPUTED_VALUE"""),"Hr. V.D. Vasilev")</f>
        <v>Hr. V.D. Vasilev</v>
      </c>
      <c r="AH475" s="6" t="str">
        <f>IFERROR(__xludf.DUMMYFUNCTION("""COMPUTED_VALUE"""),"NL18INGB0630470596")</f>
        <v>NL18INGB0630470596</v>
      </c>
      <c r="AI475" s="6"/>
      <c r="AJ475" s="6" t="str">
        <f>IFERROR(__xludf.DUMMYFUNCTION("""COMPUTED_VALUE"""),"ID Kaart")</f>
        <v>ID Kaart</v>
      </c>
      <c r="AK475" s="6">
        <f>IFERROR(__xludf.DUMMYFUNCTION("""COMPUTED_VALUE"""),6.52119127E8)</f>
        <v>652119127</v>
      </c>
      <c r="AL475" s="9">
        <f>IFERROR(__xludf.DUMMYFUNCTION("""COMPUTED_VALUE"""),48427.0)</f>
        <v>48427</v>
      </c>
      <c r="AM475" s="6" t="str">
        <f>IFERROR(__xludf.DUMMYFUNCTION("""COMPUTED_VALUE"""),"Bulgarije")</f>
        <v>Bulgarije</v>
      </c>
      <c r="AN475" s="6" t="str">
        <f>IFERROR(__xludf.DUMMYFUNCTION("""COMPUTED_VALUE"""),"Vasil Dimitrov Vasilev")</f>
        <v>Vasil Dimitrov Vasilev</v>
      </c>
      <c r="AO475" s="6">
        <f>IFERROR(__xludf.DUMMYFUNCTION("""COMPUTED_VALUE"""),1651.0)</f>
        <v>1651</v>
      </c>
    </row>
    <row r="476">
      <c r="A476" s="6" t="str">
        <f>IFERROR(__xludf.DUMMYFUNCTION("""COMPUTED_VALUE"""),"V.Sandev 81 VOF")</f>
        <v>V.Sandev 81 VOF</v>
      </c>
      <c r="B476" s="6" t="str">
        <f>IFERROR(__xludf.DUMMYFUNCTION("""COMPUTED_VALUE"""),"V.Sandev 81 VOF")</f>
        <v>V.Sandev 81 VOF</v>
      </c>
      <c r="C476" s="6">
        <f>IFERROR(__xludf.DUMMYFUNCTION("""COMPUTED_VALUE"""),1266.0)</f>
        <v>1266</v>
      </c>
      <c r="D476" s="7" t="str">
        <f>IFERROR(__xludf.DUMMYFUNCTION("""COMPUTED_VALUE"""),"Venstislav Asenov Sandev")</f>
        <v>Venstislav Asenov Sandev</v>
      </c>
      <c r="E476" s="7" t="str">
        <f>IFERROR(__xludf.DUMMYFUNCTION("""COMPUTED_VALUE"""),"SBI-code: 4120 - Algemene burgerlijke en utiliteitsbouw")</f>
        <v>SBI-code: 4120 - Algemene burgerlijke en utiliteitsbouw</v>
      </c>
      <c r="F476" s="7" t="str">
        <f>IFERROR(__xludf.DUMMYFUNCTION("""COMPUTED_VALUE"""),"0682525507")</f>
        <v>0682525507</v>
      </c>
      <c r="G476" s="6" t="str">
        <f>IFERROR(__xludf.DUMMYFUNCTION("""COMPUTED_VALUE"""),"sandev.venci@gmail.com")</f>
        <v>sandev.venci@gmail.com</v>
      </c>
      <c r="H476" s="6" t="str">
        <f>IFERROR(__xludf.DUMMYFUNCTION("""COMPUTED_VALUE"""),"Kortenhoefsestraat 11")</f>
        <v>Kortenhoefsestraat 11</v>
      </c>
      <c r="I476" s="6" t="str">
        <f>IFERROR(__xludf.DUMMYFUNCTION("""COMPUTED_VALUE"""),"2574TN")</f>
        <v>2574TN</v>
      </c>
      <c r="J476" s="6" t="str">
        <f>IFERROR(__xludf.DUMMYFUNCTION("""COMPUTED_VALUE"""),"s-Gravenhage")</f>
        <v>s-Gravenhage</v>
      </c>
      <c r="K476" s="6" t="str">
        <f>IFERROR(__xludf.DUMMYFUNCTION("""COMPUTED_VALUE"""),"Nederland")</f>
        <v>Nederland</v>
      </c>
      <c r="L476" s="6" t="str">
        <f>IFERROR(__xludf.DUMMYFUNCTION("""COMPUTED_VALUE"""),"Сандев")</f>
        <v>Сандев</v>
      </c>
      <c r="M476" s="8">
        <f>IFERROR(__xludf.DUMMYFUNCTION("""COMPUTED_VALUE"""),44562.0)</f>
        <v>44562</v>
      </c>
      <c r="N476" s="6" t="str">
        <f>IFERROR(__xludf.DUMMYFUNCTION("""COMPUTED_VALUE"""),"NL863633523B01")</f>
        <v>NL863633523B01</v>
      </c>
      <c r="O476" s="6">
        <f>IFERROR(__xludf.DUMMYFUNCTION("""COMPUTED_VALUE"""),8.5467359E7)</f>
        <v>85467359</v>
      </c>
      <c r="P476" s="6" t="str">
        <f>IFERROR(__xludf.DUMMYFUNCTION("""COMPUTED_VALUE"""),"NL02INGB0008649086")</f>
        <v>NL02INGB0008649086</v>
      </c>
      <c r="Q476" s="9">
        <f>IFERROR(__xludf.DUMMYFUNCTION("""COMPUTED_VALUE"""),44562.0)</f>
        <v>44562</v>
      </c>
      <c r="R476" s="6"/>
      <c r="S476" s="6" t="str">
        <f>IFERROR(__xludf.DUMMYFUNCTION("""COMPUTED_VALUE"""),"NL863633523B01")</f>
        <v>NL863633523B01</v>
      </c>
      <c r="T476" s="6">
        <f>IFERROR(__xludf.DUMMYFUNCTION("""COMPUTED_VALUE"""),8.63633523E8)</f>
        <v>863633523</v>
      </c>
      <c r="U476" s="7" t="str">
        <f>IFERROR(__xludf.DUMMYFUNCTION("""COMPUTED_VALUE"""),"Vennootschap Onder Firma")</f>
        <v>Vennootschap Onder Firma</v>
      </c>
      <c r="V476" s="7" t="str">
        <f>IFERROR(__xludf.DUMMYFUNCTION("""COMPUTED_VALUE"""),"000040959031")</f>
        <v>000040959031</v>
      </c>
      <c r="W476" s="6" t="str">
        <f>IFERROR(__xludf.DUMMYFUNCTION("""COMPUTED_VALUE"""),"ink.v.sandev81.2288aa@zarabota.nl")</f>
        <v>ink.v.sandev81.2288aa@zarabota.nl</v>
      </c>
      <c r="X476" s="6" t="str">
        <f>IFERROR(__xludf.DUMMYFUNCTION("""COMPUTED_VALUE"""),"ver.v.sandev81.2288aa@zarabota.nl")</f>
        <v>ver.v.sandev81.2288aa@zarabota.nl</v>
      </c>
      <c r="Y476" s="6" t="str">
        <f>IFERROR(__xludf.DUMMYFUNCTION("""COMPUTED_VALUE"""),"Hr.")</f>
        <v>Hr.</v>
      </c>
      <c r="Z476" s="6" t="str">
        <f>IFERROR(__xludf.DUMMYFUNCTION("""COMPUTED_VALUE"""),"Ventsislav Asenov")</f>
        <v>Ventsislav Asenov</v>
      </c>
      <c r="AA476" s="6" t="str">
        <f>IFERROR(__xludf.DUMMYFUNCTION("""COMPUTED_VALUE"""),"Sandev")</f>
        <v>Sandev</v>
      </c>
      <c r="AB476" s="6" t="str">
        <f>IFERROR(__xludf.DUMMYFUNCTION("""COMPUTED_VALUE"""),"V.A.")</f>
        <v>V.A.</v>
      </c>
      <c r="AC476" s="6">
        <f>IFERROR(__xludf.DUMMYFUNCTION("""COMPUTED_VALUE"""),3.83125583E8)</f>
        <v>383125583</v>
      </c>
      <c r="AD476" s="9">
        <f>IFERROR(__xludf.DUMMYFUNCTION("""COMPUTED_VALUE"""),29878.0)</f>
        <v>29878</v>
      </c>
      <c r="AE476" s="6" t="str">
        <f>IFERROR(__xludf.DUMMYFUNCTION("""COMPUTED_VALUE"""),"bg")</f>
        <v>bg</v>
      </c>
      <c r="AF476" s="6" t="str">
        <f>IFERROR(__xludf.DUMMYFUNCTION("""COMPUTED_VALUE"""),"Smolyan")</f>
        <v>Smolyan</v>
      </c>
      <c r="AG476" s="6" t="str">
        <f>IFERROR(__xludf.DUMMYFUNCTION("""COMPUTED_VALUE"""),"Hr. V.A. Sandev")</f>
        <v>Hr. V.A. Sandev</v>
      </c>
      <c r="AH476" s="6" t="str">
        <f>IFERROR(__xludf.DUMMYFUNCTION("""COMPUTED_VALUE"""),"NL57INGB0794430449")</f>
        <v>NL57INGB0794430449</v>
      </c>
      <c r="AI476" s="9">
        <f>IFERROR(__xludf.DUMMYFUNCTION("""COMPUTED_VALUE"""),43369.0)</f>
        <v>43369</v>
      </c>
      <c r="AJ476" s="6" t="str">
        <f>IFERROR(__xludf.DUMMYFUNCTION("""COMPUTED_VALUE"""),"ID Kaart")</f>
        <v>ID Kaart</v>
      </c>
      <c r="AK476" s="6">
        <f>IFERROR(__xludf.DUMMYFUNCTION("""COMPUTED_VALUE"""),6.40776596E8)</f>
        <v>640776596</v>
      </c>
      <c r="AL476" s="9">
        <f>IFERROR(__xludf.DUMMYFUNCTION("""COMPUTED_VALUE"""),44061.0)</f>
        <v>44061</v>
      </c>
      <c r="AM476" s="6" t="str">
        <f>IFERROR(__xludf.DUMMYFUNCTION("""COMPUTED_VALUE"""),"Bulgarije")</f>
        <v>Bulgarije</v>
      </c>
      <c r="AN476" s="6" t="str">
        <f>IFERROR(__xludf.DUMMYFUNCTION("""COMPUTED_VALUE"""),"Ventsislav Asenov Sandev")</f>
        <v>Ventsislav Asenov Sandev</v>
      </c>
      <c r="AO476" s="6"/>
    </row>
    <row r="477">
      <c r="A477" s="6" t="str">
        <f>IFERROR(__xludf.DUMMYFUNCTION("""COMPUTED_VALUE"""),"Valentin 1201 Bouw")</f>
        <v>Valentin 1201 Bouw</v>
      </c>
      <c r="B477" s="6" t="str">
        <f>IFERROR(__xludf.DUMMYFUNCTION("""COMPUTED_VALUE"""),"Valentin 1201 Bouw")</f>
        <v>Valentin 1201 Bouw</v>
      </c>
      <c r="C477" s="6">
        <f>IFERROR(__xludf.DUMMYFUNCTION("""COMPUTED_VALUE"""),1446.0)</f>
        <v>1446</v>
      </c>
      <c r="D477" s="7" t="str">
        <f>IFERROR(__xludf.DUMMYFUNCTION("""COMPUTED_VALUE"""),"Borislav Valentinov Sulakov")</f>
        <v>Borislav Valentinov Sulakov</v>
      </c>
      <c r="E477" s="7" t="str">
        <f>IFERROR(__xludf.DUMMYFUNCTION("""COMPUTED_VALUE"""),"SBI-code: 4120 - Algemene burgerlijke en utiliteitsbouw")</f>
        <v>SBI-code: 4120 - Algemene burgerlijke en utiliteitsbouw</v>
      </c>
      <c r="F477" s="7" t="str">
        <f>IFERROR(__xludf.DUMMYFUNCTION("""COMPUTED_VALUE"""),"0687408442")</f>
        <v>0687408442</v>
      </c>
      <c r="G477" s="6" t="str">
        <f>IFERROR(__xludf.DUMMYFUNCTION("""COMPUTED_VALUE"""),"sulakovvalentin4@gmail.com")</f>
        <v>sulakovvalentin4@gmail.com</v>
      </c>
      <c r="H477" s="6" t="str">
        <f>IFERROR(__xludf.DUMMYFUNCTION("""COMPUTED_VALUE"""),"Capadosestraat 242")</f>
        <v>Capadosestraat 242</v>
      </c>
      <c r="I477" s="6" t="str">
        <f>IFERROR(__xludf.DUMMYFUNCTION("""COMPUTED_VALUE"""),"2523AK")</f>
        <v>2523AK</v>
      </c>
      <c r="J477" s="6" t="str">
        <f>IFERROR(__xludf.DUMMYFUNCTION("""COMPUTED_VALUE"""),"s-Gravenhage")</f>
        <v>s-Gravenhage</v>
      </c>
      <c r="K477" s="6" t="str">
        <f>IFERROR(__xludf.DUMMYFUNCTION("""COMPUTED_VALUE"""),"Nederland")</f>
        <v>Nederland</v>
      </c>
      <c r="L477" s="6" t="str">
        <f>IFERROR(__xludf.DUMMYFUNCTION("""COMPUTED_VALUE"""),"Сулаков")</f>
        <v>Сулаков</v>
      </c>
      <c r="M477" s="8">
        <f>IFERROR(__xludf.DUMMYFUNCTION("""COMPUTED_VALUE"""),44593.0)</f>
        <v>44593</v>
      </c>
      <c r="N477" s="6" t="str">
        <f>IFERROR(__xludf.DUMMYFUNCTION("""COMPUTED_VALUE"""),"NL628895331B01")</f>
        <v>NL628895331B01</v>
      </c>
      <c r="O477" s="6">
        <f>IFERROR(__xludf.DUMMYFUNCTION("""COMPUTED_VALUE"""),8.2333211E7)</f>
        <v>82333211</v>
      </c>
      <c r="P477" s="6" t="str">
        <f>IFERROR(__xludf.DUMMYFUNCTION("""COMPUTED_VALUE"""),"NL41ABNA0108882322")</f>
        <v>NL41ABNA0108882322</v>
      </c>
      <c r="Q477" s="9">
        <f>IFERROR(__xludf.DUMMYFUNCTION("""COMPUTED_VALUE"""),44716.0)</f>
        <v>44716</v>
      </c>
      <c r="R477" s="6"/>
      <c r="S477" s="6" t="str">
        <f>IFERROR(__xludf.DUMMYFUNCTION("""COMPUTED_VALUE"""),"NL003667407B85")</f>
        <v>NL003667407B85</v>
      </c>
      <c r="T477" s="6">
        <f>IFERROR(__xludf.DUMMYFUNCTION("""COMPUTED_VALUE"""),6.28895331E8)</f>
        <v>628895331</v>
      </c>
      <c r="U477" s="7" t="str">
        <f>IFERROR(__xludf.DUMMYFUNCTION("""COMPUTED_VALUE"""),"Eenmanszaak")</f>
        <v>Eenmanszaak</v>
      </c>
      <c r="V477" s="7" t="str">
        <f>IFERROR(__xludf.DUMMYFUNCTION("""COMPUTED_VALUE"""),"000048576689")</f>
        <v>000048576689</v>
      </c>
      <c r="W477" s="6" t="str">
        <f>IFERROR(__xludf.DUMMYFUNCTION("""COMPUTED_VALUE"""),"ink.valentin1201.2288aa@zarabota.nl")</f>
        <v>ink.valentin1201.2288aa@zarabota.nl</v>
      </c>
      <c r="X477" s="6" t="str">
        <f>IFERROR(__xludf.DUMMYFUNCTION("""COMPUTED_VALUE"""),"ver.valentin1201.2288aa@zarabota.nl")</f>
        <v>ver.valentin1201.2288aa@zarabota.nl</v>
      </c>
      <c r="Y477" s="6" t="str">
        <f>IFERROR(__xludf.DUMMYFUNCTION("""COMPUTED_VALUE"""),"Hr.")</f>
        <v>Hr.</v>
      </c>
      <c r="Z477" s="6" t="str">
        <f>IFERROR(__xludf.DUMMYFUNCTION("""COMPUTED_VALUE"""),"Borislav Valentinov")</f>
        <v>Borislav Valentinov</v>
      </c>
      <c r="AA477" s="6" t="str">
        <f>IFERROR(__xludf.DUMMYFUNCTION("""COMPUTED_VALUE"""),"Sulakov")</f>
        <v>Sulakov</v>
      </c>
      <c r="AB477" s="6" t="str">
        <f>IFERROR(__xludf.DUMMYFUNCTION("""COMPUTED_VALUE"""),"B.V.")</f>
        <v>B.V.</v>
      </c>
      <c r="AC477" s="6">
        <f>IFERROR(__xludf.DUMMYFUNCTION("""COMPUTED_VALUE"""),6.28895331E8)</f>
        <v>628895331</v>
      </c>
      <c r="AD477" s="9">
        <f>IFERROR(__xludf.DUMMYFUNCTION("""COMPUTED_VALUE"""),34136.0)</f>
        <v>34136</v>
      </c>
      <c r="AE477" s="6" t="str">
        <f>IFERROR(__xludf.DUMMYFUNCTION("""COMPUTED_VALUE"""),"bg")</f>
        <v>bg</v>
      </c>
      <c r="AF477" s="6" t="str">
        <f>IFERROR(__xludf.DUMMYFUNCTION("""COMPUTED_VALUE"""),"Plovdiv")</f>
        <v>Plovdiv</v>
      </c>
      <c r="AG477" s="6" t="str">
        <f>IFERROR(__xludf.DUMMYFUNCTION("""COMPUTED_VALUE"""),"Hr. B.V. Sulakov")</f>
        <v>Hr. B.V. Sulakov</v>
      </c>
      <c r="AH477" s="6" t="str">
        <f>IFERROR(__xludf.DUMMYFUNCTION("""COMPUTED_VALUE"""),"NL36ABNA0110931246")</f>
        <v>NL36ABNA0110931246</v>
      </c>
      <c r="AI477" s="6"/>
      <c r="AJ477" s="6" t="str">
        <f>IFERROR(__xludf.DUMMYFUNCTION("""COMPUTED_VALUE"""),"ID Kaart")</f>
        <v>ID Kaart</v>
      </c>
      <c r="AK477" s="6">
        <f>IFERROR(__xludf.DUMMYFUNCTION("""COMPUTED_VALUE"""),6.46814597E8)</f>
        <v>646814597</v>
      </c>
      <c r="AL477" s="9">
        <f>IFERROR(__xludf.DUMMYFUNCTION("""COMPUTED_VALUE"""),46371.0)</f>
        <v>46371</v>
      </c>
      <c r="AM477" s="6" t="str">
        <f>IFERROR(__xludf.DUMMYFUNCTION("""COMPUTED_VALUE"""),"Bulgarije")</f>
        <v>Bulgarije</v>
      </c>
      <c r="AN477" s="6" t="str">
        <f>IFERROR(__xludf.DUMMYFUNCTION("""COMPUTED_VALUE"""),"Borislav Valentinov Sulakov")</f>
        <v>Borislav Valentinov Sulakov</v>
      </c>
      <c r="AO477" s="6"/>
    </row>
    <row r="478">
      <c r="A478" s="6" t="str">
        <f>IFERROR(__xludf.DUMMYFUNCTION("""COMPUTED_VALUE"""),"Valentin Vaklinov")</f>
        <v>Valentin Vaklinov</v>
      </c>
      <c r="B478" s="6" t="str">
        <f>IFERROR(__xludf.DUMMYFUNCTION("""COMPUTED_VALUE"""),"Valentin Vaklinov")</f>
        <v>Valentin Vaklinov</v>
      </c>
      <c r="C478" s="6">
        <f>IFERROR(__xludf.DUMMYFUNCTION("""COMPUTED_VALUE"""),1767.0)</f>
        <v>1767</v>
      </c>
      <c r="D478" s="7" t="str">
        <f>IFERROR(__xludf.DUMMYFUNCTION("""COMPUTED_VALUE"""),"Valentin Svetoslavov Vaklinov")</f>
        <v>Valentin Svetoslavov Vaklinov</v>
      </c>
      <c r="E478" s="7" t="str">
        <f>IFERROR(__xludf.DUMMYFUNCTION("""COMPUTED_VALUE"""),"SBI-code: 4312 - Grondverzet")</f>
        <v>SBI-code: 4312 - Grondverzet</v>
      </c>
      <c r="F478" s="7" t="str">
        <f>IFERROR(__xludf.DUMMYFUNCTION("""COMPUTED_VALUE"""),"0642384418")</f>
        <v>0642384418</v>
      </c>
      <c r="G478" s="6" t="str">
        <f>IFERROR(__xludf.DUMMYFUNCTION("""COMPUTED_VALUE"""),"vaklinov77@gmail.com")</f>
        <v>vaklinov77@gmail.com</v>
      </c>
      <c r="H478" s="6" t="str">
        <f>IFERROR(__xludf.DUMMYFUNCTION("""COMPUTED_VALUE"""),"Goeverneurlaan 247")</f>
        <v>Goeverneurlaan 247</v>
      </c>
      <c r="I478" s="6" t="str">
        <f>IFERROR(__xludf.DUMMYFUNCTION("""COMPUTED_VALUE"""),"2523BE")</f>
        <v>2523BE</v>
      </c>
      <c r="J478" s="6" t="str">
        <f>IFERROR(__xludf.DUMMYFUNCTION("""COMPUTED_VALUE"""),"s-Gravenhage")</f>
        <v>s-Gravenhage</v>
      </c>
      <c r="K478" s="6" t="str">
        <f>IFERROR(__xludf.DUMMYFUNCTION("""COMPUTED_VALUE"""),"Nederland")</f>
        <v>Nederland</v>
      </c>
      <c r="L478" s="6" t="str">
        <f>IFERROR(__xludf.DUMMYFUNCTION("""COMPUTED_VALUE"""),"Валкинов")</f>
        <v>Валкинов</v>
      </c>
      <c r="M478" s="8">
        <f>IFERROR(__xludf.DUMMYFUNCTION("""COMPUTED_VALUE"""),46023.0)</f>
        <v>46023</v>
      </c>
      <c r="N478" s="6" t="str">
        <f>IFERROR(__xludf.DUMMYFUNCTION("""COMPUTED_VALUE"""),"NL496356367B01")</f>
        <v>NL496356367B01</v>
      </c>
      <c r="O478" s="6">
        <f>IFERROR(__xludf.DUMMYFUNCTION("""COMPUTED_VALUE"""),9.1579112E7)</f>
        <v>91579112</v>
      </c>
      <c r="P478" s="6" t="str">
        <f>IFERROR(__xludf.DUMMYFUNCTION("""COMPUTED_VALUE"""),"NL76INGB0103025359")</f>
        <v>NL76INGB0103025359</v>
      </c>
      <c r="Q478" s="9">
        <f>IFERROR(__xludf.DUMMYFUNCTION("""COMPUTED_VALUE"""),45201.0)</f>
        <v>45201</v>
      </c>
      <c r="R478" s="6"/>
      <c r="S478" s="6" t="str">
        <f>IFERROR(__xludf.DUMMYFUNCTION("""COMPUTED_VALUE"""),"NL004900933B98")</f>
        <v>NL004900933B98</v>
      </c>
      <c r="T478" s="6">
        <f>IFERROR(__xludf.DUMMYFUNCTION("""COMPUTED_VALUE"""),4.96356367E8)</f>
        <v>496356367</v>
      </c>
      <c r="U478" s="7" t="str">
        <f>IFERROR(__xludf.DUMMYFUNCTION("""COMPUTED_VALUE"""),"Eenmanszaak")</f>
        <v>Eenmanszaak</v>
      </c>
      <c r="V478" s="7" t="str">
        <f>IFERROR(__xludf.DUMMYFUNCTION("""COMPUTED_VALUE"""),"000057247714")</f>
        <v>000057247714</v>
      </c>
      <c r="W478" s="6" t="str">
        <f>IFERROR(__xludf.DUMMYFUNCTION("""COMPUTED_VALUE"""),"ink.valkinov.2288aa@zarabota.nl")</f>
        <v>ink.valkinov.2288aa@zarabota.nl</v>
      </c>
      <c r="X478" s="6" t="str">
        <f>IFERROR(__xludf.DUMMYFUNCTION("""COMPUTED_VALUE"""),"ver.valkinov.2288aa@zarabota.nl")</f>
        <v>ver.valkinov.2288aa@zarabota.nl</v>
      </c>
      <c r="Y478" s="6" t="str">
        <f>IFERROR(__xludf.DUMMYFUNCTION("""COMPUTED_VALUE"""),"Hr.")</f>
        <v>Hr.</v>
      </c>
      <c r="Z478" s="6" t="str">
        <f>IFERROR(__xludf.DUMMYFUNCTION("""COMPUTED_VALUE"""),"Valentin Svetoslavov")</f>
        <v>Valentin Svetoslavov</v>
      </c>
      <c r="AA478" s="6" t="str">
        <f>IFERROR(__xludf.DUMMYFUNCTION("""COMPUTED_VALUE"""),"Vaklinov")</f>
        <v>Vaklinov</v>
      </c>
      <c r="AB478" s="6" t="str">
        <f>IFERROR(__xludf.DUMMYFUNCTION("""COMPUTED_VALUE"""),"V.S.")</f>
        <v>V.S.</v>
      </c>
      <c r="AC478" s="6">
        <f>IFERROR(__xludf.DUMMYFUNCTION("""COMPUTED_VALUE"""),4.96356367E8)</f>
        <v>496356367</v>
      </c>
      <c r="AD478" s="9">
        <f>IFERROR(__xludf.DUMMYFUNCTION("""COMPUTED_VALUE"""),38514.0)</f>
        <v>38514</v>
      </c>
      <c r="AE478" s="6" t="str">
        <f>IFERROR(__xludf.DUMMYFUNCTION("""COMPUTED_VALUE"""),"bg")</f>
        <v>bg</v>
      </c>
      <c r="AF478" s="6" t="str">
        <f>IFERROR(__xludf.DUMMYFUNCTION("""COMPUTED_VALUE"""),"Smolyan")</f>
        <v>Smolyan</v>
      </c>
      <c r="AG478" s="6" t="str">
        <f>IFERROR(__xludf.DUMMYFUNCTION("""COMPUTED_VALUE"""),"Hr. V.S. Vaklinov")</f>
        <v>Hr. V.S. Vaklinov</v>
      </c>
      <c r="AH478" s="6"/>
      <c r="AI478" s="6"/>
      <c r="AJ478" s="6" t="str">
        <f>IFERROR(__xludf.DUMMYFUNCTION("""COMPUTED_VALUE"""),"ID Kaart")</f>
        <v>ID Kaart</v>
      </c>
      <c r="AK478" s="6">
        <f>IFERROR(__xludf.DUMMYFUNCTION("""COMPUTED_VALUE"""),6.52689294E8)</f>
        <v>652689294</v>
      </c>
      <c r="AL478" s="9">
        <f>IFERROR(__xludf.DUMMYFUNCTION("""COMPUTED_VALUE"""),48745.0)</f>
        <v>48745</v>
      </c>
      <c r="AM478" s="6" t="str">
        <f>IFERROR(__xludf.DUMMYFUNCTION("""COMPUTED_VALUE"""),"Bulgarije")</f>
        <v>Bulgarije</v>
      </c>
      <c r="AN478" s="6" t="str">
        <f>IFERROR(__xludf.DUMMYFUNCTION("""COMPUTED_VALUE"""),"Valentin Svetoslavov Vaklinov")</f>
        <v>Valentin Svetoslavov Vaklinov</v>
      </c>
      <c r="AO478" s="6">
        <f>IFERROR(__xludf.DUMMYFUNCTION("""COMPUTED_VALUE"""),1767.0)</f>
        <v>1767</v>
      </c>
    </row>
    <row r="479">
      <c r="A479" s="6" t="str">
        <f>IFERROR(__xludf.DUMMYFUNCTION("""COMPUTED_VALUE"""),"Valkov Bouw VOF")</f>
        <v>Valkov Bouw VOF</v>
      </c>
      <c r="B479" s="6" t="str">
        <f>IFERROR(__xludf.DUMMYFUNCTION("""COMPUTED_VALUE"""),"Valkov Bouw VOF")</f>
        <v>Valkov Bouw VOF</v>
      </c>
      <c r="C479" s="6">
        <f>IFERROR(__xludf.DUMMYFUNCTION("""COMPUTED_VALUE"""),887.0)</f>
        <v>887</v>
      </c>
      <c r="D479" s="7" t="str">
        <f>IFERROR(__xludf.DUMMYFUNCTION("""COMPUTED_VALUE"""),"Krasimir Danchev Valkov")</f>
        <v>Krasimir Danchev Valkov</v>
      </c>
      <c r="E479" s="7" t="str">
        <f>IFERROR(__xludf.DUMMYFUNCTION("""COMPUTED_VALUE"""),"SBI-code: 4120 - Algemene burgerlijke en utiliteitsbouw")</f>
        <v>SBI-code: 4120 - Algemene burgerlijke en utiliteitsbouw</v>
      </c>
      <c r="F479" s="7" t="str">
        <f>IFERROR(__xludf.DUMMYFUNCTION("""COMPUTED_VALUE"""),"0685411101")</f>
        <v>0685411101</v>
      </c>
      <c r="G479" s="6" t="str">
        <f>IFERROR(__xludf.DUMMYFUNCTION("""COMPUTED_VALUE"""),"kv1447411@gmail.com")</f>
        <v>kv1447411@gmail.com</v>
      </c>
      <c r="H479" s="6" t="str">
        <f>IFERROR(__xludf.DUMMYFUNCTION("""COMPUTED_VALUE"""),"Gerard Kellerstraat 64 A")</f>
        <v>Gerard Kellerstraat 64 A</v>
      </c>
      <c r="I479" s="6" t="str">
        <f>IFERROR(__xludf.DUMMYFUNCTION("""COMPUTED_VALUE"""),"2522ZX")</f>
        <v>2522ZX</v>
      </c>
      <c r="J479" s="6" t="str">
        <f>IFERROR(__xludf.DUMMYFUNCTION("""COMPUTED_VALUE"""),"s-Gravenhage")</f>
        <v>s-Gravenhage</v>
      </c>
      <c r="K479" s="6" t="str">
        <f>IFERROR(__xludf.DUMMYFUNCTION("""COMPUTED_VALUE"""),"Nederland")</f>
        <v>Nederland</v>
      </c>
      <c r="L479" s="6" t="str">
        <f>IFERROR(__xludf.DUMMYFUNCTION("""COMPUTED_VALUE"""),"Вълков")</f>
        <v>Вълков</v>
      </c>
      <c r="M479" s="8">
        <f>IFERROR(__xludf.DUMMYFUNCTION("""COMPUTED_VALUE"""),43831.0)</f>
        <v>43831</v>
      </c>
      <c r="N479" s="6" t="str">
        <f>IFERROR(__xludf.DUMMYFUNCTION("""COMPUTED_VALUE"""),"NL865142348B01")</f>
        <v>NL865142348B01</v>
      </c>
      <c r="O479" s="6">
        <f>IFERROR(__xludf.DUMMYFUNCTION("""COMPUTED_VALUE"""),8.9885619E7)</f>
        <v>89885619</v>
      </c>
      <c r="P479" s="6" t="str">
        <f>IFERROR(__xludf.DUMMYFUNCTION("""COMPUTED_VALUE"""),"NL60INGB0008823709")</f>
        <v>NL60INGB0008823709</v>
      </c>
      <c r="Q479" s="9">
        <f>IFERROR(__xludf.DUMMYFUNCTION("""COMPUTED_VALUE"""),43831.0)</f>
        <v>43831</v>
      </c>
      <c r="R479" s="6"/>
      <c r="S479" s="6" t="str">
        <f>IFERROR(__xludf.DUMMYFUNCTION("""COMPUTED_VALUE"""),"NL865142348B01")</f>
        <v>NL865142348B01</v>
      </c>
      <c r="T479" s="6">
        <f>IFERROR(__xludf.DUMMYFUNCTION("""COMPUTED_VALUE"""),8.65142348E8)</f>
        <v>865142348</v>
      </c>
      <c r="U479" s="7" t="str">
        <f>IFERROR(__xludf.DUMMYFUNCTION("""COMPUTED_VALUE"""),"Eenmanszaak")</f>
        <v>Eenmanszaak</v>
      </c>
      <c r="V479" s="7" t="str">
        <f>IFERROR(__xludf.DUMMYFUNCTION("""COMPUTED_VALUE"""),"000044742789")</f>
        <v>000044742789</v>
      </c>
      <c r="W479" s="6" t="str">
        <f>IFERROR(__xludf.DUMMYFUNCTION("""COMPUTED_VALUE"""),"ink.valkovbouw.2288aa@zarabota.nl")</f>
        <v>ink.valkovbouw.2288aa@zarabota.nl</v>
      </c>
      <c r="X479" s="6" t="str">
        <f>IFERROR(__xludf.DUMMYFUNCTION("""COMPUTED_VALUE"""),"ver.valkovbouw.2288aa@zarabota.nl")</f>
        <v>ver.valkovbouw.2288aa@zarabota.nl</v>
      </c>
      <c r="Y479" s="6" t="str">
        <f>IFERROR(__xludf.DUMMYFUNCTION("""COMPUTED_VALUE"""),"Hr.")</f>
        <v>Hr.</v>
      </c>
      <c r="Z479" s="6" t="str">
        <f>IFERROR(__xludf.DUMMYFUNCTION("""COMPUTED_VALUE"""),"Krasimir Danchev")</f>
        <v>Krasimir Danchev</v>
      </c>
      <c r="AA479" s="6" t="str">
        <f>IFERROR(__xludf.DUMMYFUNCTION("""COMPUTED_VALUE"""),"Valkov")</f>
        <v>Valkov</v>
      </c>
      <c r="AB479" s="6" t="str">
        <f>IFERROR(__xludf.DUMMYFUNCTION("""COMPUTED_VALUE"""),"K.D.")</f>
        <v>K.D.</v>
      </c>
      <c r="AC479" s="6">
        <f>IFERROR(__xludf.DUMMYFUNCTION("""COMPUTED_VALUE"""),4.04107588E8)</f>
        <v>404107588</v>
      </c>
      <c r="AD479" s="9">
        <f>IFERROR(__xludf.DUMMYFUNCTION("""COMPUTED_VALUE"""),32864.0)</f>
        <v>32864</v>
      </c>
      <c r="AE479" s="6" t="str">
        <f>IFERROR(__xludf.DUMMYFUNCTION("""COMPUTED_VALUE"""),"bg")</f>
        <v>bg</v>
      </c>
      <c r="AF479" s="6" t="str">
        <f>IFERROR(__xludf.DUMMYFUNCTION("""COMPUTED_VALUE"""),"Haskovo")</f>
        <v>Haskovo</v>
      </c>
      <c r="AG479" s="6" t="str">
        <f>IFERROR(__xludf.DUMMYFUNCTION("""COMPUTED_VALUE"""),"Hr. K.D. Valkov")</f>
        <v>Hr. K.D. Valkov</v>
      </c>
      <c r="AH479" s="6" t="str">
        <f>IFERROR(__xludf.DUMMYFUNCTION("""COMPUTED_VALUE"""),"NL37INGB0672928124")</f>
        <v>NL37INGB0672928124</v>
      </c>
      <c r="AI479" s="6"/>
      <c r="AJ479" s="6" t="str">
        <f>IFERROR(__xludf.DUMMYFUNCTION("""COMPUTED_VALUE"""),"ID Kaart")</f>
        <v>ID Kaart</v>
      </c>
      <c r="AK479" s="6">
        <f>IFERROR(__xludf.DUMMYFUNCTION("""COMPUTED_VALUE"""),6.47661261E8)</f>
        <v>647661261</v>
      </c>
      <c r="AL479" s="9">
        <f>IFERROR(__xludf.DUMMYFUNCTION("""COMPUTED_VALUE"""),46925.0)</f>
        <v>46925</v>
      </c>
      <c r="AM479" s="6"/>
      <c r="AN479" s="6" t="str">
        <f>IFERROR(__xludf.DUMMYFUNCTION("""COMPUTED_VALUE"""),"Krasimir Danchev Valkov")</f>
        <v>Krasimir Danchev Valkov</v>
      </c>
      <c r="AO479" s="6"/>
    </row>
    <row r="480">
      <c r="A480" s="6" t="str">
        <f>IFERROR(__xludf.DUMMYFUNCTION("""COMPUTED_VALUE"""),"VAMTECH Beheer B.V.")</f>
        <v>VAMTECH Beheer B.V.</v>
      </c>
      <c r="B480" s="6" t="str">
        <f>IFERROR(__xludf.DUMMYFUNCTION("""COMPUTED_VALUE"""),"VAMTECH Beheer B.V.")</f>
        <v>VAMTECH Beheer B.V.</v>
      </c>
      <c r="C480" s="6">
        <f>IFERROR(__xludf.DUMMYFUNCTION("""COMPUTED_VALUE"""),982.0)</f>
        <v>982</v>
      </c>
      <c r="D480" s="7" t="str">
        <f>IFERROR(__xludf.DUMMYFUNCTION("""COMPUTED_VALUE"""),"Vladimir Plamenov Kehayov")</f>
        <v>Vladimir Plamenov Kehayov</v>
      </c>
      <c r="E480" s="7" t="str">
        <f>IFERROR(__xludf.DUMMYFUNCTION("""COMPUTED_VALUE"""),"SBI-code: 4120 - Algemene burgerlijke en utiliteitsbouw")</f>
        <v>SBI-code: 4120 - Algemene burgerlijke en utiliteitsbouw</v>
      </c>
      <c r="F480" s="7" t="str">
        <f>IFERROR(__xludf.DUMMYFUNCTION("""COMPUTED_VALUE"""),"0644335525")</f>
        <v>0644335525</v>
      </c>
      <c r="G480" s="6" t="str">
        <f>IFERROR(__xludf.DUMMYFUNCTION("""COMPUTED_VALUE"""),"vamtechbeheerbv@zzp-nl.nl")</f>
        <v>vamtechbeheerbv@zzp-nl.nl</v>
      </c>
      <c r="H480" s="6" t="str">
        <f>IFERROR(__xludf.DUMMYFUNCTION("""COMPUTED_VALUE"""),"Spakenburgsestraat 32")</f>
        <v>Spakenburgsestraat 32</v>
      </c>
      <c r="I480" s="6" t="str">
        <f>IFERROR(__xludf.DUMMYFUNCTION("""COMPUTED_VALUE"""),"2574JW")</f>
        <v>2574JW</v>
      </c>
      <c r="J480" s="6" t="str">
        <f>IFERROR(__xludf.DUMMYFUNCTION("""COMPUTED_VALUE"""),"Den Haag")</f>
        <v>Den Haag</v>
      </c>
      <c r="K480" s="6" t="str">
        <f>IFERROR(__xludf.DUMMYFUNCTION("""COMPUTED_VALUE"""),"Nederland")</f>
        <v>Nederland</v>
      </c>
      <c r="L480" s="6" t="str">
        <f>IFERROR(__xludf.DUMMYFUNCTION("""COMPUTED_VALUE"""),"Кехайов")</f>
        <v>Кехайов</v>
      </c>
      <c r="M480" s="8">
        <f>IFERROR(__xludf.DUMMYFUNCTION("""COMPUTED_VALUE"""),43986.0)</f>
        <v>43986</v>
      </c>
      <c r="N480" s="6" t="str">
        <f>IFERROR(__xludf.DUMMYFUNCTION("""COMPUTED_VALUE"""),"NL861302680B01")</f>
        <v>NL861302680B01</v>
      </c>
      <c r="O480" s="6">
        <f>IFERROR(__xludf.DUMMYFUNCTION("""COMPUTED_VALUE"""),7.8207622E7)</f>
        <v>78207622</v>
      </c>
      <c r="P480" s="6" t="str">
        <f>IFERROR(__xludf.DUMMYFUNCTION("""COMPUTED_VALUE"""),"NL65INGB0006766055")</f>
        <v>NL65INGB0006766055</v>
      </c>
      <c r="Q480" s="9">
        <f>IFERROR(__xludf.DUMMYFUNCTION("""COMPUTED_VALUE"""),43986.0)</f>
        <v>43986</v>
      </c>
      <c r="R480" s="6"/>
      <c r="S480" s="6" t="str">
        <f>IFERROR(__xludf.DUMMYFUNCTION("""COMPUTED_VALUE"""),"NL861302680B01")</f>
        <v>NL861302680B01</v>
      </c>
      <c r="T480" s="6">
        <f>IFERROR(__xludf.DUMMYFUNCTION("""COMPUTED_VALUE"""),8.6130268E8)</f>
        <v>861302680</v>
      </c>
      <c r="U480" s="7" t="str">
        <f>IFERROR(__xludf.DUMMYFUNCTION("""COMPUTED_VALUE"""),"Besloten Vennootschap")</f>
        <v>Besloten Vennootschap</v>
      </c>
      <c r="V480" s="7" t="str">
        <f>IFERROR(__xludf.DUMMYFUNCTION("""COMPUTED_VALUE"""),"000045852812")</f>
        <v>000045852812</v>
      </c>
      <c r="W480" s="6" t="str">
        <f>IFERROR(__xludf.DUMMYFUNCTION("""COMPUTED_VALUE"""),"ink.vamtechbeheerbv.2288aa@zarabota.nl")</f>
        <v>ink.vamtechbeheerbv.2288aa@zarabota.nl</v>
      </c>
      <c r="X480" s="6" t="str">
        <f>IFERROR(__xludf.DUMMYFUNCTION("""COMPUTED_VALUE"""),"ver.vamtechbeheerbv.2288aa@zarabota.nl")</f>
        <v>ver.vamtechbeheerbv.2288aa@zarabota.nl</v>
      </c>
      <c r="Y480" s="6" t="str">
        <f>IFERROR(__xludf.DUMMYFUNCTION("""COMPUTED_VALUE"""),"Hr.")</f>
        <v>Hr.</v>
      </c>
      <c r="Z480" s="6" t="str">
        <f>IFERROR(__xludf.DUMMYFUNCTION("""COMPUTED_VALUE"""),"Vladimir Plamenov")</f>
        <v>Vladimir Plamenov</v>
      </c>
      <c r="AA480" s="6" t="str">
        <f>IFERROR(__xludf.DUMMYFUNCTION("""COMPUTED_VALUE"""),"Kehayov")</f>
        <v>Kehayov</v>
      </c>
      <c r="AB480" s="6" t="str">
        <f>IFERROR(__xludf.DUMMYFUNCTION("""COMPUTED_VALUE"""),"V.P.")</f>
        <v>V.P.</v>
      </c>
      <c r="AC480" s="6">
        <f>IFERROR(__xludf.DUMMYFUNCTION("""COMPUTED_VALUE"""),2.50920761E8)</f>
        <v>250920761</v>
      </c>
      <c r="AD480" s="9">
        <f>IFERROR(__xludf.DUMMYFUNCTION("""COMPUTED_VALUE"""),31864.0)</f>
        <v>31864</v>
      </c>
      <c r="AE480" s="6" t="str">
        <f>IFERROR(__xludf.DUMMYFUNCTION("""COMPUTED_VALUE"""),"bg")</f>
        <v>bg</v>
      </c>
      <c r="AF480" s="6" t="str">
        <f>IFERROR(__xludf.DUMMYFUNCTION("""COMPUTED_VALUE"""),"Rudozem")</f>
        <v>Rudozem</v>
      </c>
      <c r="AG480" s="6" t="str">
        <f>IFERROR(__xludf.DUMMYFUNCTION("""COMPUTED_VALUE"""),"Hr. V.P. Kehayov")</f>
        <v>Hr. V.P. Kehayov</v>
      </c>
      <c r="AH480" s="6"/>
      <c r="AI480" s="6"/>
      <c r="AJ480" s="6" t="str">
        <f>IFERROR(__xludf.DUMMYFUNCTION("""COMPUTED_VALUE"""),"ID Kaart")</f>
        <v>ID Kaart</v>
      </c>
      <c r="AK480" s="6">
        <f>IFERROR(__xludf.DUMMYFUNCTION("""COMPUTED_VALUE"""),6.42546456E8)</f>
        <v>642546456</v>
      </c>
      <c r="AL480" s="9">
        <f>IFERROR(__xludf.DUMMYFUNCTION("""COMPUTED_VALUE"""),44403.0)</f>
        <v>44403</v>
      </c>
      <c r="AM480" s="6"/>
      <c r="AN480" s="6" t="str">
        <f>IFERROR(__xludf.DUMMYFUNCTION("""COMPUTED_VALUE"""),"Vladimir Plamenov Kehayov")</f>
        <v>Vladimir Plamenov Kehayov</v>
      </c>
      <c r="AO480" s="6"/>
    </row>
    <row r="481">
      <c r="A481" s="6" t="str">
        <f>IFERROR(__xludf.DUMMYFUNCTION("""COMPUTED_VALUE"""),"Vanko85")</f>
        <v>Vanko85</v>
      </c>
      <c r="B481" s="6" t="str">
        <f>IFERROR(__xludf.DUMMYFUNCTION("""COMPUTED_VALUE"""),"Vanko85")</f>
        <v>Vanko85</v>
      </c>
      <c r="C481" s="6">
        <f>IFERROR(__xludf.DUMMYFUNCTION("""COMPUTED_VALUE"""),794.0)</f>
        <v>794</v>
      </c>
      <c r="D481" s="7" t="str">
        <f>IFERROR(__xludf.DUMMYFUNCTION("""COMPUTED_VALUE"""),"Ivan Vladimirov Boyanov")</f>
        <v>Ivan Vladimirov Boyanov</v>
      </c>
      <c r="E481" s="7" t="str">
        <f>IFERROR(__xludf.DUMMYFUNCTION("""COMPUTED_VALUE"""),"SBI-code: 4120 - Algemene burgerlijke en utiliteitsbouw")</f>
        <v>SBI-code: 4120 - Algemene burgerlijke en utiliteitsbouw</v>
      </c>
      <c r="F481" s="7" t="str">
        <f>IFERROR(__xludf.DUMMYFUNCTION("""COMPUTED_VALUE"""),"0624767609")</f>
        <v>0624767609</v>
      </c>
      <c r="G481" s="6" t="str">
        <f>IFERROR(__xludf.DUMMYFUNCTION("""COMPUTED_VALUE"""),"dancei6w8@gmail.com")</f>
        <v>dancei6w8@gmail.com</v>
      </c>
      <c r="H481" s="6" t="str">
        <f>IFERROR(__xludf.DUMMYFUNCTION("""COMPUTED_VALUE"""),"Doorwerthstraat 64")</f>
        <v>Doorwerthstraat 64</v>
      </c>
      <c r="I481" s="6" t="str">
        <f>IFERROR(__xludf.DUMMYFUNCTION("""COMPUTED_VALUE"""),"2573AZ")</f>
        <v>2573AZ</v>
      </c>
      <c r="J481" s="6" t="str">
        <f>IFERROR(__xludf.DUMMYFUNCTION("""COMPUTED_VALUE"""),"s-Gravenhage")</f>
        <v>s-Gravenhage</v>
      </c>
      <c r="K481" s="6" t="str">
        <f>IFERROR(__xludf.DUMMYFUNCTION("""COMPUTED_VALUE"""),"Nederland")</f>
        <v>Nederland</v>
      </c>
      <c r="L481" s="6" t="str">
        <f>IFERROR(__xludf.DUMMYFUNCTION("""COMPUTED_VALUE"""),"Боянов")</f>
        <v>Боянов</v>
      </c>
      <c r="M481" s="8">
        <f>IFERROR(__xludf.DUMMYFUNCTION("""COMPUTED_VALUE"""),43591.0)</f>
        <v>43591</v>
      </c>
      <c r="N481" s="6" t="str">
        <f>IFERROR(__xludf.DUMMYFUNCTION("""COMPUTED_VALUE"""),"NL311632294B01")</f>
        <v>NL311632294B01</v>
      </c>
      <c r="O481" s="6">
        <f>IFERROR(__xludf.DUMMYFUNCTION("""COMPUTED_VALUE"""),7.4749617E7)</f>
        <v>74749617</v>
      </c>
      <c r="P481" s="6" t="str">
        <f>IFERROR(__xludf.DUMMYFUNCTION("""COMPUTED_VALUE"""),"NL39INGB0008761522")</f>
        <v>NL39INGB0008761522</v>
      </c>
      <c r="Q481" s="9">
        <f>IFERROR(__xludf.DUMMYFUNCTION("""COMPUTED_VALUE"""),43591.0)</f>
        <v>43591</v>
      </c>
      <c r="R481" s="6"/>
      <c r="S481" s="6" t="str">
        <f>IFERROR(__xludf.DUMMYFUNCTION("""COMPUTED_VALUE"""),"NL002466499B32")</f>
        <v>NL002466499B32</v>
      </c>
      <c r="T481" s="6">
        <f>IFERROR(__xludf.DUMMYFUNCTION("""COMPUTED_VALUE"""),3.11632294E8)</f>
        <v>311632294</v>
      </c>
      <c r="U481" s="7" t="str">
        <f>IFERROR(__xludf.DUMMYFUNCTION("""COMPUTED_VALUE"""),"Eenmanszaak")</f>
        <v>Eenmanszaak</v>
      </c>
      <c r="V481" s="7" t="str">
        <f>IFERROR(__xludf.DUMMYFUNCTION("""COMPUTED_VALUE"""),"000042684749")</f>
        <v>000042684749</v>
      </c>
      <c r="W481" s="6" t="str">
        <f>IFERROR(__xludf.DUMMYFUNCTION("""COMPUTED_VALUE"""),"ink.vanko85.2288aa@zarabota.nl")</f>
        <v>ink.vanko85.2288aa@zarabota.nl</v>
      </c>
      <c r="X481" s="6" t="str">
        <f>IFERROR(__xludf.DUMMYFUNCTION("""COMPUTED_VALUE"""),"ver.vanko85.2288aa@zarabota.nl")</f>
        <v>ver.vanko85.2288aa@zarabota.nl</v>
      </c>
      <c r="Y481" s="6" t="str">
        <f>IFERROR(__xludf.DUMMYFUNCTION("""COMPUTED_VALUE"""),"Hr.")</f>
        <v>Hr.</v>
      </c>
      <c r="Z481" s="6" t="str">
        <f>IFERROR(__xludf.DUMMYFUNCTION("""COMPUTED_VALUE"""),"Ivan Vladimirov")</f>
        <v>Ivan Vladimirov</v>
      </c>
      <c r="AA481" s="6" t="str">
        <f>IFERROR(__xludf.DUMMYFUNCTION("""COMPUTED_VALUE"""),"Boyanov")</f>
        <v>Boyanov</v>
      </c>
      <c r="AB481" s="6" t="str">
        <f>IFERROR(__xludf.DUMMYFUNCTION("""COMPUTED_VALUE"""),"I.V.")</f>
        <v>I.V.</v>
      </c>
      <c r="AC481" s="6">
        <f>IFERROR(__xludf.DUMMYFUNCTION("""COMPUTED_VALUE"""),3.11632294E8)</f>
        <v>311632294</v>
      </c>
      <c r="AD481" s="9">
        <f>IFERROR(__xludf.DUMMYFUNCTION("""COMPUTED_VALUE"""),31256.0)</f>
        <v>31256</v>
      </c>
      <c r="AE481" s="6" t="str">
        <f>IFERROR(__xludf.DUMMYFUNCTION("""COMPUTED_VALUE"""),"bg")</f>
        <v>bg</v>
      </c>
      <c r="AF481" s="6" t="str">
        <f>IFERROR(__xludf.DUMMYFUNCTION("""COMPUTED_VALUE"""),"Haskovo")</f>
        <v>Haskovo</v>
      </c>
      <c r="AG481" s="6" t="str">
        <f>IFERROR(__xludf.DUMMYFUNCTION("""COMPUTED_VALUE"""),"Hr. I.V. Boyanov")</f>
        <v>Hr. I.V. Boyanov</v>
      </c>
      <c r="AH481" s="6" t="str">
        <f>IFERROR(__xludf.DUMMYFUNCTION("""COMPUTED_VALUE"""),"NL36INGB0667139958")</f>
        <v>NL36INGB0667139958</v>
      </c>
      <c r="AI481" s="9">
        <f>IFERROR(__xludf.DUMMYFUNCTION("""COMPUTED_VALUE"""),43563.0)</f>
        <v>43563</v>
      </c>
      <c r="AJ481" s="6" t="str">
        <f>IFERROR(__xludf.DUMMYFUNCTION("""COMPUTED_VALUE"""),"ID Kaart")</f>
        <v>ID Kaart</v>
      </c>
      <c r="AK481" s="6"/>
      <c r="AL481" s="6"/>
      <c r="AM481" s="6"/>
      <c r="AN481" s="6" t="str">
        <f>IFERROR(__xludf.DUMMYFUNCTION("""COMPUTED_VALUE"""),"Ivan Vladimirov Boyanov")</f>
        <v>Ivan Vladimirov Boyanov</v>
      </c>
      <c r="AO481" s="6"/>
    </row>
    <row r="482">
      <c r="A482" s="6" t="str">
        <f>IFERROR(__xludf.DUMMYFUNCTION("""COMPUTED_VALUE"""),"Varko Bouw")</f>
        <v>Varko Bouw</v>
      </c>
      <c r="B482" s="6" t="str">
        <f>IFERROR(__xludf.DUMMYFUNCTION("""COMPUTED_VALUE"""),"Varko Bouw")</f>
        <v>Varko Bouw</v>
      </c>
      <c r="C482" s="6">
        <f>IFERROR(__xludf.DUMMYFUNCTION("""COMPUTED_VALUE"""),903.0)</f>
        <v>903</v>
      </c>
      <c r="D482" s="7" t="str">
        <f>IFERROR(__xludf.DUMMYFUNCTION("""COMPUTED_VALUE"""),"Kostadin Ivanov Paysamov")</f>
        <v>Kostadin Ivanov Paysamov</v>
      </c>
      <c r="E482" s="7" t="str">
        <f>IFERROR(__xludf.DUMMYFUNCTION("""COMPUTED_VALUE"""),"SBI-code: 4120 - Algemene burgerlijke en utiliteitsbouw")</f>
        <v>SBI-code: 4120 - Algemene burgerlijke en utiliteitsbouw</v>
      </c>
      <c r="F482" s="7" t="str">
        <f>IFERROR(__xludf.DUMMYFUNCTION("""COMPUTED_VALUE"""),"0685501741")</f>
        <v>0685501741</v>
      </c>
      <c r="G482" s="6" t="str">
        <f>IFERROR(__xludf.DUMMYFUNCTION("""COMPUTED_VALUE"""),"kpaisamov@gmail.com")</f>
        <v>kpaisamov@gmail.com</v>
      </c>
      <c r="H482" s="6" t="str">
        <f>IFERROR(__xludf.DUMMYFUNCTION("""COMPUTED_VALUE"""),"Bazuinlaan 145")</f>
        <v>Bazuinlaan 145</v>
      </c>
      <c r="I482" s="6" t="str">
        <f>IFERROR(__xludf.DUMMYFUNCTION("""COMPUTED_VALUE"""),"2287ED")</f>
        <v>2287ED</v>
      </c>
      <c r="J482" s="6" t="str">
        <f>IFERROR(__xludf.DUMMYFUNCTION("""COMPUTED_VALUE"""),"Rijswijk")</f>
        <v>Rijswijk</v>
      </c>
      <c r="K482" s="6" t="str">
        <f>IFERROR(__xludf.DUMMYFUNCTION("""COMPUTED_VALUE"""),"Nederland")</f>
        <v>Nederland</v>
      </c>
      <c r="L482" s="6" t="str">
        <f>IFERROR(__xludf.DUMMYFUNCTION("""COMPUTED_VALUE"""),"Пайсамов")</f>
        <v>Пайсамов</v>
      </c>
      <c r="M482" s="8">
        <f>IFERROR(__xludf.DUMMYFUNCTION("""COMPUTED_VALUE"""),43844.0)</f>
        <v>43844</v>
      </c>
      <c r="N482" s="6" t="str">
        <f>IFERROR(__xludf.DUMMYFUNCTION("""COMPUTED_VALUE"""),"NL647669237B01")</f>
        <v>NL647669237B01</v>
      </c>
      <c r="O482" s="6">
        <f>IFERROR(__xludf.DUMMYFUNCTION("""COMPUTED_VALUE"""),7.7009223E7)</f>
        <v>77009223</v>
      </c>
      <c r="P482" s="6" t="str">
        <f>IFERROR(__xludf.DUMMYFUNCTION("""COMPUTED_VALUE"""),"NL94INGB0008833961")</f>
        <v>NL94INGB0008833961</v>
      </c>
      <c r="Q482" s="9">
        <f>IFERROR(__xludf.DUMMYFUNCTION("""COMPUTED_VALUE"""),43844.0)</f>
        <v>43844</v>
      </c>
      <c r="R482" s="6"/>
      <c r="S482" s="6" t="str">
        <f>IFERROR(__xludf.DUMMYFUNCTION("""COMPUTED_VALUE"""),"NL003151035B66")</f>
        <v>NL003151035B66</v>
      </c>
      <c r="T482" s="6">
        <f>IFERROR(__xludf.DUMMYFUNCTION("""COMPUTED_VALUE"""),6.47669237E8)</f>
        <v>647669237</v>
      </c>
      <c r="U482" s="7" t="str">
        <f>IFERROR(__xludf.DUMMYFUNCTION("""COMPUTED_VALUE"""),"Eenmanszaak")</f>
        <v>Eenmanszaak</v>
      </c>
      <c r="V482" s="7" t="str">
        <f>IFERROR(__xludf.DUMMYFUNCTION("""COMPUTED_VALUE"""),"000044736789")</f>
        <v>000044736789</v>
      </c>
      <c r="W482" s="6" t="str">
        <f>IFERROR(__xludf.DUMMYFUNCTION("""COMPUTED_VALUE"""),"ink.varkobouw.2288aa@zarabota.nl")</f>
        <v>ink.varkobouw.2288aa@zarabota.nl</v>
      </c>
      <c r="X482" s="6" t="str">
        <f>IFERROR(__xludf.DUMMYFUNCTION("""COMPUTED_VALUE"""),"ver.varkobouw.2288aa@zarabota.nl")</f>
        <v>ver.varkobouw.2288aa@zarabota.nl</v>
      </c>
      <c r="Y482" s="6" t="str">
        <f>IFERROR(__xludf.DUMMYFUNCTION("""COMPUTED_VALUE"""),"Hr.")</f>
        <v>Hr.</v>
      </c>
      <c r="Z482" s="6" t="str">
        <f>IFERROR(__xludf.DUMMYFUNCTION("""COMPUTED_VALUE"""),"Kostadin Ivanov")</f>
        <v>Kostadin Ivanov</v>
      </c>
      <c r="AA482" s="6" t="str">
        <f>IFERROR(__xludf.DUMMYFUNCTION("""COMPUTED_VALUE"""),"Paysamov")</f>
        <v>Paysamov</v>
      </c>
      <c r="AB482" s="6" t="str">
        <f>IFERROR(__xludf.DUMMYFUNCTION("""COMPUTED_VALUE"""),"K.I.")</f>
        <v>K.I.</v>
      </c>
      <c r="AC482" s="6">
        <f>IFERROR(__xludf.DUMMYFUNCTION("""COMPUTED_VALUE"""),6.47669237E8)</f>
        <v>647669237</v>
      </c>
      <c r="AD482" s="9">
        <f>IFERROR(__xludf.DUMMYFUNCTION("""COMPUTED_VALUE"""),28902.0)</f>
        <v>28902</v>
      </c>
      <c r="AE482" s="6" t="str">
        <f>IFERROR(__xludf.DUMMYFUNCTION("""COMPUTED_VALUE"""),"bg")</f>
        <v>bg</v>
      </c>
      <c r="AF482" s="6" t="str">
        <f>IFERROR(__xludf.DUMMYFUNCTION("""COMPUTED_VALUE"""),"Dimitrovgrad")</f>
        <v>Dimitrovgrad</v>
      </c>
      <c r="AG482" s="6" t="str">
        <f>IFERROR(__xludf.DUMMYFUNCTION("""COMPUTED_VALUE"""),"Hr. K.I. Paysamov")</f>
        <v>Hr. K.I. Paysamov</v>
      </c>
      <c r="AH482" s="6" t="str">
        <f>IFERROR(__xludf.DUMMYFUNCTION("""COMPUTED_VALUE"""),"NL48INGB0672665832")</f>
        <v>NL48INGB0672665832</v>
      </c>
      <c r="AI482" s="6"/>
      <c r="AJ482" s="6" t="str">
        <f>IFERROR(__xludf.DUMMYFUNCTION("""COMPUTED_VALUE"""),"ID Kaart")</f>
        <v>ID Kaart</v>
      </c>
      <c r="AK482" s="6">
        <f>IFERROR(__xludf.DUMMYFUNCTION("""COMPUTED_VALUE"""),6.44393672E8)</f>
        <v>644393672</v>
      </c>
      <c r="AL482" s="9">
        <f>IFERROR(__xludf.DUMMYFUNCTION("""COMPUTED_VALUE"""),44870.0)</f>
        <v>44870</v>
      </c>
      <c r="AM482" s="6"/>
      <c r="AN482" s="6" t="str">
        <f>IFERROR(__xludf.DUMMYFUNCTION("""COMPUTED_VALUE"""),"Kostadin Ivanov Paysamov")</f>
        <v>Kostadin Ivanov Paysamov</v>
      </c>
      <c r="AO482" s="6"/>
    </row>
    <row r="483">
      <c r="A483" s="6" t="str">
        <f>IFERROR(__xludf.DUMMYFUNCTION("""COMPUTED_VALUE"""),"Vasil Nikolov VOF")</f>
        <v>Vasil Nikolov VOF</v>
      </c>
      <c r="B483" s="6" t="str">
        <f>IFERROR(__xludf.DUMMYFUNCTION("""COMPUTED_VALUE"""),"Vasil Nikolov VOF")</f>
        <v>Vasil Nikolov VOF</v>
      </c>
      <c r="C483" s="6">
        <f>IFERROR(__xludf.DUMMYFUNCTION("""COMPUTED_VALUE"""),1306.0)</f>
        <v>1306</v>
      </c>
      <c r="D483" s="7" t="str">
        <f>IFERROR(__xludf.DUMMYFUNCTION("""COMPUTED_VALUE"""),"Vasil Rusev Nikolov")</f>
        <v>Vasil Rusev Nikolov</v>
      </c>
      <c r="E483" s="7" t="str">
        <f>IFERROR(__xludf.DUMMYFUNCTION("""COMPUTED_VALUE"""),"SBI-code: 4120 - Algemene burgerlijke en utiliteitsbouw")</f>
        <v>SBI-code: 4120 - Algemene burgerlijke en utiliteitsbouw</v>
      </c>
      <c r="F483" s="7" t="str">
        <f>IFERROR(__xludf.DUMMYFUNCTION("""COMPUTED_VALUE"""),"0611421434")</f>
        <v>0611421434</v>
      </c>
      <c r="G483" s="6" t="str">
        <f>IFERROR(__xludf.DUMMYFUNCTION("""COMPUTED_VALUE"""),"nikolovvasik@gmail.com")</f>
        <v>nikolovvasik@gmail.com</v>
      </c>
      <c r="H483" s="6" t="str">
        <f>IFERROR(__xludf.DUMMYFUNCTION("""COMPUTED_VALUE"""),"Pasteurstraat 143")</f>
        <v>Pasteurstraat 143</v>
      </c>
      <c r="I483" s="6" t="str">
        <f>IFERROR(__xludf.DUMMYFUNCTION("""COMPUTED_VALUE"""),"2522RH")</f>
        <v>2522RH</v>
      </c>
      <c r="J483" s="6" t="str">
        <f>IFERROR(__xludf.DUMMYFUNCTION("""COMPUTED_VALUE"""),"s-Gravenhage")</f>
        <v>s-Gravenhage</v>
      </c>
      <c r="K483" s="6" t="str">
        <f>IFERROR(__xludf.DUMMYFUNCTION("""COMPUTED_VALUE"""),"Nederland")</f>
        <v>Nederland</v>
      </c>
      <c r="L483" s="6" t="str">
        <f>IFERROR(__xludf.DUMMYFUNCTION("""COMPUTED_VALUE"""),"Николов")</f>
        <v>Николов</v>
      </c>
      <c r="M483" s="8">
        <f>IFERROR(__xludf.DUMMYFUNCTION("""COMPUTED_VALUE"""),43073.0)</f>
        <v>43073</v>
      </c>
      <c r="N483" s="6" t="str">
        <f>IFERROR(__xludf.DUMMYFUNCTION("""COMPUTED_VALUE"""),"NL863717287B01")</f>
        <v>NL863717287B01</v>
      </c>
      <c r="O483" s="6">
        <f>IFERROR(__xludf.DUMMYFUNCTION("""COMPUTED_VALUE"""),8.5717428E7)</f>
        <v>85717428</v>
      </c>
      <c r="P483" s="6" t="str">
        <f>IFERROR(__xludf.DUMMYFUNCTION("""COMPUTED_VALUE"""),"NL05INGB0008105541")</f>
        <v>NL05INGB0008105541</v>
      </c>
      <c r="Q483" s="9">
        <f>IFERROR(__xludf.DUMMYFUNCTION("""COMPUTED_VALUE"""),44562.0)</f>
        <v>44562</v>
      </c>
      <c r="R483" s="6"/>
      <c r="S483" s="6" t="str">
        <f>IFERROR(__xludf.DUMMYFUNCTION("""COMPUTED_VALUE"""),"NL863717287B01")</f>
        <v>NL863717287B01</v>
      </c>
      <c r="T483" s="6">
        <f>IFERROR(__xludf.DUMMYFUNCTION("""COMPUTED_VALUE"""),8.63717287E8)</f>
        <v>863717287</v>
      </c>
      <c r="U483" s="7" t="str">
        <f>IFERROR(__xludf.DUMMYFUNCTION("""COMPUTED_VALUE"""),"Vennootschap Onder Firma")</f>
        <v>Vennootschap Onder Firma</v>
      </c>
      <c r="V483" s="7" t="str">
        <f>IFERROR(__xludf.DUMMYFUNCTION("""COMPUTED_VALUE"""),"000038643731")</f>
        <v>000038643731</v>
      </c>
      <c r="W483" s="6" t="str">
        <f>IFERROR(__xludf.DUMMYFUNCTION("""COMPUTED_VALUE"""),"ink.vasilnikolov.2288aa@zarabota.nl")</f>
        <v>ink.vasilnikolov.2288aa@zarabota.nl</v>
      </c>
      <c r="X483" s="6" t="str">
        <f>IFERROR(__xludf.DUMMYFUNCTION("""COMPUTED_VALUE"""),"ver.vasilnikolov.2288aa@zarabota.nl")</f>
        <v>ver.vasilnikolov.2288aa@zarabota.nl</v>
      </c>
      <c r="Y483" s="6" t="str">
        <f>IFERROR(__xludf.DUMMYFUNCTION("""COMPUTED_VALUE"""),"Hr.")</f>
        <v>Hr.</v>
      </c>
      <c r="Z483" s="6" t="str">
        <f>IFERROR(__xludf.DUMMYFUNCTION("""COMPUTED_VALUE"""),"Vasil Rusev")</f>
        <v>Vasil Rusev</v>
      </c>
      <c r="AA483" s="6" t="str">
        <f>IFERROR(__xludf.DUMMYFUNCTION("""COMPUTED_VALUE"""),"Nikolov")</f>
        <v>Nikolov</v>
      </c>
      <c r="AB483" s="6" t="str">
        <f>IFERROR(__xludf.DUMMYFUNCTION("""COMPUTED_VALUE"""),"V.R.")</f>
        <v>V.R.</v>
      </c>
      <c r="AC483" s="6">
        <f>IFERROR(__xludf.DUMMYFUNCTION("""COMPUTED_VALUE"""),4.98280585E8)</f>
        <v>498280585</v>
      </c>
      <c r="AD483" s="9">
        <f>IFERROR(__xludf.DUMMYFUNCTION("""COMPUTED_VALUE"""),33973.0)</f>
        <v>33973</v>
      </c>
      <c r="AE483" s="6" t="str">
        <f>IFERROR(__xludf.DUMMYFUNCTION("""COMPUTED_VALUE"""),"bg")</f>
        <v>bg</v>
      </c>
      <c r="AF483" s="6" t="str">
        <f>IFERROR(__xludf.DUMMYFUNCTION("""COMPUTED_VALUE"""),"Plovdiv")</f>
        <v>Plovdiv</v>
      </c>
      <c r="AG483" s="6" t="str">
        <f>IFERROR(__xludf.DUMMYFUNCTION("""COMPUTED_VALUE"""),"Hr. V.R. Nikolov")</f>
        <v>Hr. V.R. Nikolov</v>
      </c>
      <c r="AH483" s="6" t="str">
        <f>IFERROR(__xludf.DUMMYFUNCTION("""COMPUTED_VALUE"""),"NL68INGB0704769271")</f>
        <v>NL68INGB0704769271</v>
      </c>
      <c r="AI483" s="6"/>
      <c r="AJ483" s="6" t="str">
        <f>IFERROR(__xludf.DUMMYFUNCTION("""COMPUTED_VALUE"""),"ID Kaart")</f>
        <v>ID Kaart</v>
      </c>
      <c r="AK483" s="6">
        <f>IFERROR(__xludf.DUMMYFUNCTION("""COMPUTED_VALUE"""),6.4543978E8)</f>
        <v>645439780</v>
      </c>
      <c r="AL483" s="9">
        <f>IFERROR(__xludf.DUMMYFUNCTION("""COMPUTED_VALUE"""),45565.0)</f>
        <v>45565</v>
      </c>
      <c r="AM483" s="6"/>
      <c r="AN483" s="6" t="str">
        <f>IFERROR(__xludf.DUMMYFUNCTION("""COMPUTED_VALUE"""),"Vasil Rusev Nikolov")</f>
        <v>Vasil Rusev Nikolov</v>
      </c>
      <c r="AO483" s="6"/>
    </row>
    <row r="484">
      <c r="A484" s="6" t="str">
        <f>IFERROR(__xludf.DUMMYFUNCTION("""COMPUTED_VALUE"""),"Vasse71")</f>
        <v>Vasse71</v>
      </c>
      <c r="B484" s="6" t="str">
        <f>IFERROR(__xludf.DUMMYFUNCTION("""COMPUTED_VALUE"""),"Vasse71")</f>
        <v>Vasse71</v>
      </c>
      <c r="C484" s="6">
        <f>IFERROR(__xludf.DUMMYFUNCTION("""COMPUTED_VALUE"""),1161.0)</f>
        <v>1161</v>
      </c>
      <c r="D484" s="7" t="str">
        <f>IFERROR(__xludf.DUMMYFUNCTION("""COMPUTED_VALUE"""),"Valentin Dimitrov Ivanov")</f>
        <v>Valentin Dimitrov Ivanov</v>
      </c>
      <c r="E484" s="7" t="str">
        <f>IFERROR(__xludf.DUMMYFUNCTION("""COMPUTED_VALUE"""),"SBI-code: 4120 - Algemene burgerlijke en utiliteitsbouw")</f>
        <v>SBI-code: 4120 - Algemene burgerlijke en utiliteitsbouw</v>
      </c>
      <c r="F484" s="7" t="str">
        <f>IFERROR(__xludf.DUMMYFUNCTION("""COMPUTED_VALUE"""),"0685220618")</f>
        <v>0685220618</v>
      </c>
      <c r="G484" s="6" t="str">
        <f>IFERROR(__xludf.DUMMYFUNCTION("""COMPUTED_VALUE"""),"valentinfugachev@gmail.com")</f>
        <v>valentinfugachev@gmail.com</v>
      </c>
      <c r="H484" s="6" t="str">
        <f>IFERROR(__xludf.DUMMYFUNCTION("""COMPUTED_VALUE"""),"Jan van der Heijdenstraat 3A")</f>
        <v>Jan van der Heijdenstraat 3A</v>
      </c>
      <c r="I484" s="6" t="str">
        <f>IFERROR(__xludf.DUMMYFUNCTION("""COMPUTED_VALUE"""),"2522EJ")</f>
        <v>2522EJ</v>
      </c>
      <c r="J484" s="6" t="str">
        <f>IFERROR(__xludf.DUMMYFUNCTION("""COMPUTED_VALUE"""),"s-Gravenhage")</f>
        <v>s-Gravenhage</v>
      </c>
      <c r="K484" s="6" t="str">
        <f>IFERROR(__xludf.DUMMYFUNCTION("""COMPUTED_VALUE"""),"Nederland")</f>
        <v>Nederland</v>
      </c>
      <c r="L484" s="6" t="str">
        <f>IFERROR(__xludf.DUMMYFUNCTION("""COMPUTED_VALUE"""),"Иванов")</f>
        <v>Иванов</v>
      </c>
      <c r="M484" s="8">
        <f>IFERROR(__xludf.DUMMYFUNCTION("""COMPUTED_VALUE"""),44197.0)</f>
        <v>44197</v>
      </c>
      <c r="N484" s="6" t="str">
        <f>IFERROR(__xludf.DUMMYFUNCTION("""COMPUTED_VALUE"""),"NL383374728B01")</f>
        <v>NL383374728B01</v>
      </c>
      <c r="O484" s="6">
        <f>IFERROR(__xludf.DUMMYFUNCTION("""COMPUTED_VALUE"""),6.8014686E7)</f>
        <v>68014686</v>
      </c>
      <c r="P484" s="6" t="str">
        <f>IFERROR(__xludf.DUMMYFUNCTION("""COMPUTED_VALUE"""),"NL60INGB0007673774")</f>
        <v>NL60INGB0007673774</v>
      </c>
      <c r="Q484" s="9">
        <f>IFERROR(__xludf.DUMMYFUNCTION("""COMPUTED_VALUE"""),42767.0)</f>
        <v>42767</v>
      </c>
      <c r="R484" s="6"/>
      <c r="S484" s="6" t="str">
        <f>IFERROR(__xludf.DUMMYFUNCTION("""COMPUTED_VALUE"""),"NL002476680B68")</f>
        <v>NL002476680B68</v>
      </c>
      <c r="T484" s="6">
        <f>IFERROR(__xludf.DUMMYFUNCTION("""COMPUTED_VALUE"""),3.83374728E8)</f>
        <v>383374728</v>
      </c>
      <c r="U484" s="7" t="str">
        <f>IFERROR(__xludf.DUMMYFUNCTION("""COMPUTED_VALUE"""),"Eenmanszaak")</f>
        <v>Eenmanszaak</v>
      </c>
      <c r="V484" s="7" t="str">
        <f>IFERROR(__xludf.DUMMYFUNCTION("""COMPUTED_VALUE"""),"000036493341")</f>
        <v>000036493341</v>
      </c>
      <c r="W484" s="6" t="str">
        <f>IFERROR(__xludf.DUMMYFUNCTION("""COMPUTED_VALUE"""),"ink.vasse71.2288aa@zarabota.nl")</f>
        <v>ink.vasse71.2288aa@zarabota.nl</v>
      </c>
      <c r="X484" s="6" t="str">
        <f>IFERROR(__xludf.DUMMYFUNCTION("""COMPUTED_VALUE"""),"ver.vasse71.2288aa@zarabota.nl")</f>
        <v>ver.vasse71.2288aa@zarabota.nl</v>
      </c>
      <c r="Y484" s="6" t="str">
        <f>IFERROR(__xludf.DUMMYFUNCTION("""COMPUTED_VALUE"""),"Hr.")</f>
        <v>Hr.</v>
      </c>
      <c r="Z484" s="6" t="str">
        <f>IFERROR(__xludf.DUMMYFUNCTION("""COMPUTED_VALUE"""),"Valentin Dimitrov")</f>
        <v>Valentin Dimitrov</v>
      </c>
      <c r="AA484" s="6" t="str">
        <f>IFERROR(__xludf.DUMMYFUNCTION("""COMPUTED_VALUE"""),"Ivanov")</f>
        <v>Ivanov</v>
      </c>
      <c r="AB484" s="6" t="str">
        <f>IFERROR(__xludf.DUMMYFUNCTION("""COMPUTED_VALUE"""),"V.D.")</f>
        <v>V.D.</v>
      </c>
      <c r="AC484" s="6">
        <f>IFERROR(__xludf.DUMMYFUNCTION("""COMPUTED_VALUE"""),3.83374728E8)</f>
        <v>383374728</v>
      </c>
      <c r="AD484" s="9">
        <f>IFERROR(__xludf.DUMMYFUNCTION("""COMPUTED_VALUE"""),26124.0)</f>
        <v>26124</v>
      </c>
      <c r="AE484" s="6" t="str">
        <f>IFERROR(__xludf.DUMMYFUNCTION("""COMPUTED_VALUE"""),"bg")</f>
        <v>bg</v>
      </c>
      <c r="AF484" s="6" t="str">
        <f>IFERROR(__xludf.DUMMYFUNCTION("""COMPUTED_VALUE"""),"Gorno Kapinovo")</f>
        <v>Gorno Kapinovo</v>
      </c>
      <c r="AG484" s="6" t="str">
        <f>IFERROR(__xludf.DUMMYFUNCTION("""COMPUTED_VALUE"""),"Hr. V.D. Ivanov")</f>
        <v>Hr. V.D. Ivanov</v>
      </c>
      <c r="AH484" s="6" t="str">
        <f>IFERROR(__xludf.DUMMYFUNCTION("""COMPUTED_VALUE"""),"NL91INGB0650822501")</f>
        <v>NL91INGB0650822501</v>
      </c>
      <c r="AI484" s="9">
        <f>IFERROR(__xludf.DUMMYFUNCTION("""COMPUTED_VALUE"""),42767.0)</f>
        <v>42767</v>
      </c>
      <c r="AJ484" s="6" t="str">
        <f>IFERROR(__xludf.DUMMYFUNCTION("""COMPUTED_VALUE"""),"ID Kaart")</f>
        <v>ID Kaart</v>
      </c>
      <c r="AK484" s="6">
        <f>IFERROR(__xludf.DUMMYFUNCTION("""COMPUTED_VALUE"""),6.40862715E8)</f>
        <v>640862715</v>
      </c>
      <c r="AL484" s="9">
        <f>IFERROR(__xludf.DUMMYFUNCTION("""COMPUTED_VALUE"""),44094.0)</f>
        <v>44094</v>
      </c>
      <c r="AM484" s="6" t="str">
        <f>IFERROR(__xludf.DUMMYFUNCTION("""COMPUTED_VALUE"""),"Bulgarije")</f>
        <v>Bulgarije</v>
      </c>
      <c r="AN484" s="6" t="str">
        <f>IFERROR(__xludf.DUMMYFUNCTION("""COMPUTED_VALUE"""),"Valentin Dimitrov Ivanov")</f>
        <v>Valentin Dimitrov Ivanov</v>
      </c>
      <c r="AO484" s="6"/>
    </row>
    <row r="485">
      <c r="A485" s="6" t="str">
        <f>IFERROR(__xludf.DUMMYFUNCTION("""COMPUTED_VALUE"""),"Velkoski Bouw")</f>
        <v>Velkoski Bouw</v>
      </c>
      <c r="B485" s="6" t="str">
        <f>IFERROR(__xludf.DUMMYFUNCTION("""COMPUTED_VALUE"""),"Velkoski Bouw")</f>
        <v>Velkoski Bouw</v>
      </c>
      <c r="C485" s="6">
        <f>IFERROR(__xludf.DUMMYFUNCTION("""COMPUTED_VALUE"""),912.0)</f>
        <v>912</v>
      </c>
      <c r="D485" s="7" t="str">
        <f>IFERROR(__xludf.DUMMYFUNCTION("""COMPUTED_VALUE"""),"Toni Velkoski")</f>
        <v>Toni Velkoski</v>
      </c>
      <c r="E485" s="7" t="str">
        <f>IFERROR(__xludf.DUMMYFUNCTION("""COMPUTED_VALUE"""),"SBI-code: 4120 - Algemene burgerlijke en utiliteitsbouw")</f>
        <v>SBI-code: 4120 - Algemene burgerlijke en utiliteitsbouw</v>
      </c>
      <c r="F485" s="7" t="str">
        <f>IFERROR(__xludf.DUMMYFUNCTION("""COMPUTED_VALUE"""),"0617843821")</f>
        <v>0617843821</v>
      </c>
      <c r="G485" s="6" t="str">
        <f>IFERROR(__xludf.DUMMYFUNCTION("""COMPUTED_VALUE"""),"toni.torino@icloud.com")</f>
        <v>toni.torino@icloud.com</v>
      </c>
      <c r="H485" s="6" t="str">
        <f>IFERROR(__xludf.DUMMYFUNCTION("""COMPUTED_VALUE"""),"Rijswijkseweg 59-C")</f>
        <v>Rijswijkseweg 59-C</v>
      </c>
      <c r="I485" s="6" t="str">
        <f>IFERROR(__xludf.DUMMYFUNCTION("""COMPUTED_VALUE"""),"2516EE")</f>
        <v>2516EE</v>
      </c>
      <c r="J485" s="6" t="str">
        <f>IFERROR(__xludf.DUMMYFUNCTION("""COMPUTED_VALUE"""),"s-Gravenhage")</f>
        <v>s-Gravenhage</v>
      </c>
      <c r="K485" s="6" t="str">
        <f>IFERROR(__xludf.DUMMYFUNCTION("""COMPUTED_VALUE"""),"Nederland")</f>
        <v>Nederland</v>
      </c>
      <c r="L485" s="6" t="str">
        <f>IFERROR(__xludf.DUMMYFUNCTION("""COMPUTED_VALUE"""),"Велкоски")</f>
        <v>Велкоски</v>
      </c>
      <c r="M485" s="8">
        <f>IFERROR(__xludf.DUMMYFUNCTION("""COMPUTED_VALUE"""),43770.0)</f>
        <v>43770</v>
      </c>
      <c r="N485" s="6" t="str">
        <f>IFERROR(__xludf.DUMMYFUNCTION("""COMPUTED_VALUE"""),"NL612749447B01")</f>
        <v>NL612749447B01</v>
      </c>
      <c r="O485" s="6">
        <f>IFERROR(__xludf.DUMMYFUNCTION("""COMPUTED_VALUE"""),7.6320685E7)</f>
        <v>76320685</v>
      </c>
      <c r="P485" s="6" t="str">
        <f>IFERROR(__xludf.DUMMYFUNCTION("""COMPUTED_VALUE"""),"NL08INGB0009382492")</f>
        <v>NL08INGB0009382492</v>
      </c>
      <c r="Q485" s="9">
        <f>IFERROR(__xludf.DUMMYFUNCTION("""COMPUTED_VALUE"""),43770.0)</f>
        <v>43770</v>
      </c>
      <c r="R485" s="6"/>
      <c r="S485" s="6" t="str">
        <f>IFERROR(__xludf.DUMMYFUNCTION("""COMPUTED_VALUE"""),"NL003073791B63")</f>
        <v>NL003073791B63</v>
      </c>
      <c r="T485" s="6">
        <f>IFERROR(__xludf.DUMMYFUNCTION("""COMPUTED_VALUE"""),6.12749447E8)</f>
        <v>612749447</v>
      </c>
      <c r="U485" s="7" t="str">
        <f>IFERROR(__xludf.DUMMYFUNCTION("""COMPUTED_VALUE"""),"Eenmanszaak")</f>
        <v>Eenmanszaak</v>
      </c>
      <c r="V485" s="7" t="str">
        <f>IFERROR(__xludf.DUMMYFUNCTION("""COMPUTED_VALUE"""),"000044136986")</f>
        <v>000044136986</v>
      </c>
      <c r="W485" s="6" t="str">
        <f>IFERROR(__xludf.DUMMYFUNCTION("""COMPUTED_VALUE"""),"ink.velkoskibouw.2288aa@zarabota.nl")</f>
        <v>ink.velkoskibouw.2288aa@zarabota.nl</v>
      </c>
      <c r="X485" s="6" t="str">
        <f>IFERROR(__xludf.DUMMYFUNCTION("""COMPUTED_VALUE"""),"ver.velkoskibouw.2288aa@zarabota.nl")</f>
        <v>ver.velkoskibouw.2288aa@zarabota.nl</v>
      </c>
      <c r="Y485" s="6" t="str">
        <f>IFERROR(__xludf.DUMMYFUNCTION("""COMPUTED_VALUE"""),"Hr.")</f>
        <v>Hr.</v>
      </c>
      <c r="Z485" s="6" t="str">
        <f>IFERROR(__xludf.DUMMYFUNCTION("""COMPUTED_VALUE"""),"Toni")</f>
        <v>Toni</v>
      </c>
      <c r="AA485" s="6" t="str">
        <f>IFERROR(__xludf.DUMMYFUNCTION("""COMPUTED_VALUE"""),"Velkoski")</f>
        <v>Velkoski</v>
      </c>
      <c r="AB485" s="6" t="str">
        <f>IFERROR(__xludf.DUMMYFUNCTION("""COMPUTED_VALUE"""),"T")</f>
        <v>T</v>
      </c>
      <c r="AC485" s="6">
        <f>IFERROR(__xludf.DUMMYFUNCTION("""COMPUTED_VALUE"""),6.12749447E8)</f>
        <v>612749447</v>
      </c>
      <c r="AD485" s="9">
        <f>IFERROR(__xludf.DUMMYFUNCTION("""COMPUTED_VALUE"""),34414.0)</f>
        <v>34414</v>
      </c>
      <c r="AE485" s="6" t="str">
        <f>IFERROR(__xludf.DUMMYFUNCTION("""COMPUTED_VALUE"""),"bg")</f>
        <v>bg</v>
      </c>
      <c r="AF485" s="6" t="str">
        <f>IFERROR(__xludf.DUMMYFUNCTION("""COMPUTED_VALUE"""),"Macedonie")</f>
        <v>Macedonie</v>
      </c>
      <c r="AG485" s="6" t="str">
        <f>IFERROR(__xludf.DUMMYFUNCTION("""COMPUTED_VALUE"""),"Hr. T Velkoski")</f>
        <v>Hr. T Velkoski</v>
      </c>
      <c r="AH485" s="6"/>
      <c r="AI485" s="9">
        <f>IFERROR(__xludf.DUMMYFUNCTION("""COMPUTED_VALUE"""),43767.0)</f>
        <v>43767</v>
      </c>
      <c r="AJ485" s="6" t="str">
        <f>IFERROR(__xludf.DUMMYFUNCTION("""COMPUTED_VALUE"""),"ID Kaart")</f>
        <v>ID Kaart</v>
      </c>
      <c r="AK485" s="6">
        <f>IFERROR(__xludf.DUMMYFUNCTION("""COMPUTED_VALUE"""),6.47903277E8)</f>
        <v>647903277</v>
      </c>
      <c r="AL485" s="9">
        <f>IFERROR(__xludf.DUMMYFUNCTION("""COMPUTED_VALUE"""),47049.0)</f>
        <v>47049</v>
      </c>
      <c r="AM485" s="6"/>
      <c r="AN485" s="6" t="str">
        <f>IFERROR(__xludf.DUMMYFUNCTION("""COMPUTED_VALUE"""),"Toni Velkoski")</f>
        <v>Toni Velkoski</v>
      </c>
      <c r="AO485" s="6"/>
    </row>
    <row r="486">
      <c r="A486" s="6" t="str">
        <f>IFERROR(__xludf.DUMMYFUNCTION("""COMPUTED_VALUE"""),"Vendes Bouw")</f>
        <v>Vendes Bouw</v>
      </c>
      <c r="B486" s="6" t="str">
        <f>IFERROR(__xludf.DUMMYFUNCTION("""COMPUTED_VALUE"""),"Vendes Bouw")</f>
        <v>Vendes Bouw</v>
      </c>
      <c r="C486" s="6">
        <f>IFERROR(__xludf.DUMMYFUNCTION("""COMPUTED_VALUE"""),1477.0)</f>
        <v>1477</v>
      </c>
      <c r="D486" s="7" t="str">
        <f>IFERROR(__xludf.DUMMYFUNCTION("""COMPUTED_VALUE"""),"Ventsislav Petev Mechtanov")</f>
        <v>Ventsislav Petev Mechtanov</v>
      </c>
      <c r="E486" s="7" t="str">
        <f>IFERROR(__xludf.DUMMYFUNCTION("""COMPUTED_VALUE"""),"SBI-code: 4120 - Algemene burgerlijke en utiliteitsbouw")</f>
        <v>SBI-code: 4120 - Algemene burgerlijke en utiliteitsbouw</v>
      </c>
      <c r="F486" s="7" t="str">
        <f>IFERROR(__xludf.DUMMYFUNCTION("""COMPUTED_VALUE"""),"0684055037")</f>
        <v>0684055037</v>
      </c>
      <c r="G486" s="6" t="str">
        <f>IFERROR(__xludf.DUMMYFUNCTION("""COMPUTED_VALUE"""),"venci.mechtanov@gmail.com")</f>
        <v>venci.mechtanov@gmail.com</v>
      </c>
      <c r="H486" s="6" t="str">
        <f>IFERROR(__xludf.DUMMYFUNCTION("""COMPUTED_VALUE"""),"Beetsstraat 125")</f>
        <v>Beetsstraat 125</v>
      </c>
      <c r="I486" s="6" t="str">
        <f>IFERROR(__xludf.DUMMYFUNCTION("""COMPUTED_VALUE"""),"2524PL")</f>
        <v>2524PL</v>
      </c>
      <c r="J486" s="6" t="str">
        <f>IFERROR(__xludf.DUMMYFUNCTION("""COMPUTED_VALUE"""),"s-Gravenhage")</f>
        <v>s-Gravenhage</v>
      </c>
      <c r="K486" s="6" t="str">
        <f>IFERROR(__xludf.DUMMYFUNCTION("""COMPUTED_VALUE"""),"Nederland")</f>
        <v>Nederland</v>
      </c>
      <c r="L486" s="6" t="str">
        <f>IFERROR(__xludf.DUMMYFUNCTION("""COMPUTED_VALUE"""),"Мечтанов")</f>
        <v>Мечтанов</v>
      </c>
      <c r="M486" s="8">
        <f>IFERROR(__xludf.DUMMYFUNCTION("""COMPUTED_VALUE"""),44986.0)</f>
        <v>44986</v>
      </c>
      <c r="N486" s="6" t="str">
        <f>IFERROR(__xludf.DUMMYFUNCTION("""COMPUTED_VALUE"""),"NL299610901B01")</f>
        <v>NL299610901B01</v>
      </c>
      <c r="O486" s="6">
        <f>IFERROR(__xludf.DUMMYFUNCTION("""COMPUTED_VALUE"""),8.9676017E7)</f>
        <v>89676017</v>
      </c>
      <c r="P486" s="6" t="str">
        <f>IFERROR(__xludf.DUMMYFUNCTION("""COMPUTED_VALUE"""),"NL18INGB0100836143")</f>
        <v>NL18INGB0100836143</v>
      </c>
      <c r="Q486" s="9">
        <f>IFERROR(__xludf.DUMMYFUNCTION("""COMPUTED_VALUE"""),44986.0)</f>
        <v>44986</v>
      </c>
      <c r="R486" s="6"/>
      <c r="S486" s="6" t="str">
        <f>IFERROR(__xludf.DUMMYFUNCTION("""COMPUTED_VALUE"""),"NL004752102B07")</f>
        <v>NL004752102B07</v>
      </c>
      <c r="T486" s="6">
        <f>IFERROR(__xludf.DUMMYFUNCTION("""COMPUTED_VALUE"""),2.99610901E8)</f>
        <v>299610901</v>
      </c>
      <c r="U486" s="7" t="str">
        <f>IFERROR(__xludf.DUMMYFUNCTION("""COMPUTED_VALUE"""),"Eenmanszaak")</f>
        <v>Eenmanszaak</v>
      </c>
      <c r="V486" s="7" t="str">
        <f>IFERROR(__xludf.DUMMYFUNCTION("""COMPUTED_VALUE"""),"000055455484")</f>
        <v>000055455484</v>
      </c>
      <c r="W486" s="6" t="str">
        <f>IFERROR(__xludf.DUMMYFUNCTION("""COMPUTED_VALUE"""),"ink.vendesbouw.2288aa@zarabota.nl")</f>
        <v>ink.vendesbouw.2288aa@zarabota.nl</v>
      </c>
      <c r="X486" s="6" t="str">
        <f>IFERROR(__xludf.DUMMYFUNCTION("""COMPUTED_VALUE"""),"ver.vendesbouw.2288aa@zarabota.nl")</f>
        <v>ver.vendesbouw.2288aa@zarabota.nl</v>
      </c>
      <c r="Y486" s="6" t="str">
        <f>IFERROR(__xludf.DUMMYFUNCTION("""COMPUTED_VALUE"""),"Hr.")</f>
        <v>Hr.</v>
      </c>
      <c r="Z486" s="6" t="str">
        <f>IFERROR(__xludf.DUMMYFUNCTION("""COMPUTED_VALUE"""),"Ventsislav Petev")</f>
        <v>Ventsislav Petev</v>
      </c>
      <c r="AA486" s="6" t="str">
        <f>IFERROR(__xludf.DUMMYFUNCTION("""COMPUTED_VALUE"""),"Mechtanov")</f>
        <v>Mechtanov</v>
      </c>
      <c r="AB486" s="6" t="str">
        <f>IFERROR(__xludf.DUMMYFUNCTION("""COMPUTED_VALUE"""),"V.P.")</f>
        <v>V.P.</v>
      </c>
      <c r="AC486" s="6">
        <f>IFERROR(__xludf.DUMMYFUNCTION("""COMPUTED_VALUE"""),2.99610901E8)</f>
        <v>299610901</v>
      </c>
      <c r="AD486" s="9">
        <f>IFERROR(__xludf.DUMMYFUNCTION("""COMPUTED_VALUE"""),30238.0)</f>
        <v>30238</v>
      </c>
      <c r="AE486" s="6" t="str">
        <f>IFERROR(__xludf.DUMMYFUNCTION("""COMPUTED_VALUE"""),"bg")</f>
        <v>bg</v>
      </c>
      <c r="AF486" s="6" t="str">
        <f>IFERROR(__xludf.DUMMYFUNCTION("""COMPUTED_VALUE"""),"Ardino")</f>
        <v>Ardino</v>
      </c>
      <c r="AG486" s="6" t="str">
        <f>IFERROR(__xludf.DUMMYFUNCTION("""COMPUTED_VALUE"""),"Hr. V.P. Mechtanov")</f>
        <v>Hr. V.P. Mechtanov</v>
      </c>
      <c r="AH486" s="6"/>
      <c r="AI486" s="6"/>
      <c r="AJ486" s="6" t="str">
        <f>IFERROR(__xludf.DUMMYFUNCTION("""COMPUTED_VALUE"""),"ID Kaart")</f>
        <v>ID Kaart</v>
      </c>
      <c r="AK486" s="6">
        <f>IFERROR(__xludf.DUMMYFUNCTION("""COMPUTED_VALUE"""),6.45490716E8)</f>
        <v>645490716</v>
      </c>
      <c r="AL486" s="9">
        <f>IFERROR(__xludf.DUMMYFUNCTION("""COMPUTED_VALUE"""),45634.0)</f>
        <v>45634</v>
      </c>
      <c r="AM486" s="6" t="str">
        <f>IFERROR(__xludf.DUMMYFUNCTION("""COMPUTED_VALUE"""),"Bulgarije")</f>
        <v>Bulgarije</v>
      </c>
      <c r="AN486" s="6" t="str">
        <f>IFERROR(__xludf.DUMMYFUNCTION("""COMPUTED_VALUE"""),"Ventsislav Petev Mechtanov")</f>
        <v>Ventsislav Petev Mechtanov</v>
      </c>
      <c r="AO486" s="6">
        <f>IFERROR(__xludf.DUMMYFUNCTION("""COMPUTED_VALUE"""),1477.0)</f>
        <v>1477</v>
      </c>
    </row>
    <row r="487">
      <c r="A487" s="6" t="str">
        <f>IFERROR(__xludf.DUMMYFUNCTION("""COMPUTED_VALUE"""),"Vesa Bouw")</f>
        <v>Vesa Bouw</v>
      </c>
      <c r="B487" s="6" t="str">
        <f>IFERROR(__xludf.DUMMYFUNCTION("""COMPUTED_VALUE"""),"Vesa Bouw")</f>
        <v>Vesa Bouw</v>
      </c>
      <c r="C487" s="6">
        <f>IFERROR(__xludf.DUMMYFUNCTION("""COMPUTED_VALUE"""),1662.0)</f>
        <v>1662</v>
      </c>
      <c r="D487" s="7" t="str">
        <f>IFERROR(__xludf.DUMMYFUNCTION("""COMPUTED_VALUE"""),"Ventsislav Angelov Sharkov")</f>
        <v>Ventsislav Angelov Sharkov</v>
      </c>
      <c r="E487" s="7" t="str">
        <f>IFERROR(__xludf.DUMMYFUNCTION("""COMPUTED_VALUE"""),"SBI-code: 4120 - Algemene burgerlijke en utiliteitsbouw")</f>
        <v>SBI-code: 4120 - Algemene burgerlijke en utiliteitsbouw</v>
      </c>
      <c r="F487" s="7" t="str">
        <f>IFERROR(__xludf.DUMMYFUNCTION("""COMPUTED_VALUE"""),"0685518429")</f>
        <v>0685518429</v>
      </c>
      <c r="G487" s="6" t="str">
        <f>IFERROR(__xludf.DUMMYFUNCTION("""COMPUTED_VALUE"""),"vencislavsharkov5@abv.bg")</f>
        <v>vencislavsharkov5@abv.bg</v>
      </c>
      <c r="H487" s="6" t="str">
        <f>IFERROR(__xludf.DUMMYFUNCTION("""COMPUTED_VALUE"""),"Albert Schweitzerlaan 163")</f>
        <v>Albert Schweitzerlaan 163</v>
      </c>
      <c r="I487" s="6" t="str">
        <f>IFERROR(__xludf.DUMMYFUNCTION("""COMPUTED_VALUE"""),"2552PG")</f>
        <v>2552PG</v>
      </c>
      <c r="J487" s="6" t="str">
        <f>IFERROR(__xludf.DUMMYFUNCTION("""COMPUTED_VALUE"""),"s-Gravenhage")</f>
        <v>s-Gravenhage</v>
      </c>
      <c r="K487" s="6" t="str">
        <f>IFERROR(__xludf.DUMMYFUNCTION("""COMPUTED_VALUE"""),"Nederland")</f>
        <v>Nederland</v>
      </c>
      <c r="L487" s="6" t="str">
        <f>IFERROR(__xludf.DUMMYFUNCTION("""COMPUTED_VALUE"""),"Шарков")</f>
        <v>Шарков</v>
      </c>
      <c r="M487" s="8">
        <f>IFERROR(__xludf.DUMMYFUNCTION("""COMPUTED_VALUE"""),45551.0)</f>
        <v>45551</v>
      </c>
      <c r="N487" s="6" t="str">
        <f>IFERROR(__xludf.DUMMYFUNCTION("""COMPUTED_VALUE"""),"NL519237675B01")</f>
        <v>NL519237675B01</v>
      </c>
      <c r="O487" s="6">
        <f>IFERROR(__xludf.DUMMYFUNCTION("""COMPUTED_VALUE"""),9.5091904E7)</f>
        <v>95091904</v>
      </c>
      <c r="P487" s="6" t="str">
        <f>IFERROR(__xludf.DUMMYFUNCTION("""COMPUTED_VALUE"""),"NL04INGB0108078221")</f>
        <v>NL04INGB0108078221</v>
      </c>
      <c r="Q487" s="9">
        <f>IFERROR(__xludf.DUMMYFUNCTION("""COMPUTED_VALUE"""),45551.0)</f>
        <v>45551</v>
      </c>
      <c r="R487" s="6"/>
      <c r="S487" s="6" t="str">
        <f>IFERROR(__xludf.DUMMYFUNCTION("""COMPUTED_VALUE"""),"NL005126657B53")</f>
        <v>NL005126657B53</v>
      </c>
      <c r="T487" s="6">
        <f>IFERROR(__xludf.DUMMYFUNCTION("""COMPUTED_VALUE"""),5.19237675E8)</f>
        <v>519237675</v>
      </c>
      <c r="U487" s="7" t="str">
        <f>IFERROR(__xludf.DUMMYFUNCTION("""COMPUTED_VALUE"""),"Eenmanszaak")</f>
        <v>Eenmanszaak</v>
      </c>
      <c r="V487" s="7" t="str">
        <f>IFERROR(__xludf.DUMMYFUNCTION("""COMPUTED_VALUE"""),"000060524898")</f>
        <v>000060524898</v>
      </c>
      <c r="W487" s="6" t="str">
        <f>IFERROR(__xludf.DUMMYFUNCTION("""COMPUTED_VALUE"""),"ink.vesabouw.2288aa@zarabota.nl")</f>
        <v>ink.vesabouw.2288aa@zarabota.nl</v>
      </c>
      <c r="X487" s="6" t="str">
        <f>IFERROR(__xludf.DUMMYFUNCTION("""COMPUTED_VALUE"""),"ver.vesabouw.2288aa@zarabota.nl")</f>
        <v>ver.vesabouw.2288aa@zarabota.nl</v>
      </c>
      <c r="Y487" s="6" t="str">
        <f>IFERROR(__xludf.DUMMYFUNCTION("""COMPUTED_VALUE"""),"Hr.")</f>
        <v>Hr.</v>
      </c>
      <c r="Z487" s="6" t="str">
        <f>IFERROR(__xludf.DUMMYFUNCTION("""COMPUTED_VALUE"""),"Ventsislav Angelov")</f>
        <v>Ventsislav Angelov</v>
      </c>
      <c r="AA487" s="6" t="str">
        <f>IFERROR(__xludf.DUMMYFUNCTION("""COMPUTED_VALUE"""),"Sharkov")</f>
        <v>Sharkov</v>
      </c>
      <c r="AB487" s="6" t="str">
        <f>IFERROR(__xludf.DUMMYFUNCTION("""COMPUTED_VALUE"""),"V.A.")</f>
        <v>V.A.</v>
      </c>
      <c r="AC487" s="6">
        <f>IFERROR(__xludf.DUMMYFUNCTION("""COMPUTED_VALUE"""),5.19237675E8)</f>
        <v>519237675</v>
      </c>
      <c r="AD487" s="9">
        <f>IFERROR(__xludf.DUMMYFUNCTION("""COMPUTED_VALUE"""),27539.0)</f>
        <v>27539</v>
      </c>
      <c r="AE487" s="6" t="str">
        <f>IFERROR(__xludf.DUMMYFUNCTION("""COMPUTED_VALUE"""),"bg")</f>
        <v>bg</v>
      </c>
      <c r="AF487" s="6" t="str">
        <f>IFERROR(__xludf.DUMMYFUNCTION("""COMPUTED_VALUE"""),"Plovdiv")</f>
        <v>Plovdiv</v>
      </c>
      <c r="AG487" s="6" t="str">
        <f>IFERROR(__xludf.DUMMYFUNCTION("""COMPUTED_VALUE"""),"Hr. V.A. Sharkov")</f>
        <v>Hr. V.A. Sharkov</v>
      </c>
      <c r="AH487" s="6" t="str">
        <f>IFERROR(__xludf.DUMMYFUNCTION("""COMPUTED_VALUE"""),"NL67INGB0107993570")</f>
        <v>NL67INGB0107993570</v>
      </c>
      <c r="AI487" s="6"/>
      <c r="AJ487" s="6" t="str">
        <f>IFERROR(__xludf.DUMMYFUNCTION("""COMPUTED_VALUE"""),"ID Kaart")</f>
        <v>ID Kaart</v>
      </c>
      <c r="AK487" s="6">
        <f>IFERROR(__xludf.DUMMYFUNCTION("""COMPUTED_VALUE"""),6.49596622E8)</f>
        <v>649596622</v>
      </c>
      <c r="AL487" s="9">
        <f>IFERROR(__xludf.DUMMYFUNCTION("""COMPUTED_VALUE"""),47734.0)</f>
        <v>47734</v>
      </c>
      <c r="AM487" s="6" t="str">
        <f>IFERROR(__xludf.DUMMYFUNCTION("""COMPUTED_VALUE"""),"Bulgarije")</f>
        <v>Bulgarije</v>
      </c>
      <c r="AN487" s="6" t="str">
        <f>IFERROR(__xludf.DUMMYFUNCTION("""COMPUTED_VALUE"""),"Ventsislav Angelov Sharkov")</f>
        <v>Ventsislav Angelov Sharkov</v>
      </c>
      <c r="AO487" s="6">
        <f>IFERROR(__xludf.DUMMYFUNCTION("""COMPUTED_VALUE"""),1662.0)</f>
        <v>1662</v>
      </c>
    </row>
    <row r="488">
      <c r="A488" s="6" t="str">
        <f>IFERROR(__xludf.DUMMYFUNCTION("""COMPUTED_VALUE"""),"Vesko 77")</f>
        <v>Vesko 77</v>
      </c>
      <c r="B488" s="6" t="str">
        <f>IFERROR(__xludf.DUMMYFUNCTION("""COMPUTED_VALUE"""),"Vesko 77")</f>
        <v>Vesko 77</v>
      </c>
      <c r="C488" s="6">
        <f>IFERROR(__xludf.DUMMYFUNCTION("""COMPUTED_VALUE"""),1356.0)</f>
        <v>1356</v>
      </c>
      <c r="D488" s="7" t="str">
        <f>IFERROR(__xludf.DUMMYFUNCTION("""COMPUTED_VALUE"""),"Veselin Vasilev Hadzhiev")</f>
        <v>Veselin Vasilev Hadzhiev</v>
      </c>
      <c r="E488" s="7" t="str">
        <f>IFERROR(__xludf.DUMMYFUNCTION("""COMPUTED_VALUE"""),"SBI-code: 4120 - Algemene burgerlijke en utiliteitsbouw")</f>
        <v>SBI-code: 4120 - Algemene burgerlijke en utiliteitsbouw</v>
      </c>
      <c r="F488" s="7" t="str">
        <f>IFERROR(__xludf.DUMMYFUNCTION("""COMPUTED_VALUE"""),"0649953111")</f>
        <v>0649953111</v>
      </c>
      <c r="G488" s="6" t="str">
        <f>IFERROR(__xludf.DUMMYFUNCTION("""COMPUTED_VALUE"""),"veselin_hadj@mail.bg")</f>
        <v>veselin_hadj@mail.bg</v>
      </c>
      <c r="H488" s="6" t="str">
        <f>IFERROR(__xludf.DUMMYFUNCTION("""COMPUTED_VALUE"""),"Van Musschenbroekstraat 147")</f>
        <v>Van Musschenbroekstraat 147</v>
      </c>
      <c r="I488" s="6" t="str">
        <f>IFERROR(__xludf.DUMMYFUNCTION("""COMPUTED_VALUE"""),"2522 AL")</f>
        <v>2522 AL</v>
      </c>
      <c r="J488" s="6" t="str">
        <f>IFERROR(__xludf.DUMMYFUNCTION("""COMPUTED_VALUE"""),"s-Gravenhage")</f>
        <v>s-Gravenhage</v>
      </c>
      <c r="K488" s="6" t="str">
        <f>IFERROR(__xludf.DUMMYFUNCTION("""COMPUTED_VALUE"""),"Nederland")</f>
        <v>Nederland</v>
      </c>
      <c r="L488" s="6" t="str">
        <f>IFERROR(__xludf.DUMMYFUNCTION("""COMPUTED_VALUE"""),"Хаджиев")</f>
        <v>Хаджиев</v>
      </c>
      <c r="M488" s="8">
        <f>IFERROR(__xludf.DUMMYFUNCTION("""COMPUTED_VALUE"""),44682.0)</f>
        <v>44682</v>
      </c>
      <c r="N488" s="6" t="str">
        <f>IFERROR(__xludf.DUMMYFUNCTION("""COMPUTED_VALUE"""),"NL301551686B01")</f>
        <v>NL301551686B01</v>
      </c>
      <c r="O488" s="6">
        <f>IFERROR(__xludf.DUMMYFUNCTION("""COMPUTED_VALUE"""),8.6650076E7)</f>
        <v>86650076</v>
      </c>
      <c r="P488" s="6" t="str">
        <f>IFERROR(__xludf.DUMMYFUNCTION("""COMPUTED_VALUE"""),"NL57INGB0395701376")</f>
        <v>NL57INGB0395701376</v>
      </c>
      <c r="Q488" s="9">
        <f>IFERROR(__xludf.DUMMYFUNCTION("""COMPUTED_VALUE"""),44682.0)</f>
        <v>44682</v>
      </c>
      <c r="R488" s="6"/>
      <c r="S488" s="6" t="str">
        <f>IFERROR(__xludf.DUMMYFUNCTION("""COMPUTED_VALUE"""),"NL004284236B31")</f>
        <v>NL004284236B31</v>
      </c>
      <c r="T488" s="6">
        <f>IFERROR(__xludf.DUMMYFUNCTION("""COMPUTED_VALUE"""),3.01551686E8)</f>
        <v>301551686</v>
      </c>
      <c r="U488" s="7" t="str">
        <f>IFERROR(__xludf.DUMMYFUNCTION("""COMPUTED_VALUE"""),"Eenmanszaak")</f>
        <v>Eenmanszaak</v>
      </c>
      <c r="V488" s="7" t="str">
        <f>IFERROR(__xludf.DUMMYFUNCTION("""COMPUTED_VALUE"""),"000052613984")</f>
        <v>000052613984</v>
      </c>
      <c r="W488" s="6" t="str">
        <f>IFERROR(__xludf.DUMMYFUNCTION("""COMPUTED_VALUE"""),"ink.vesko77.2288aa@zarabota.nl")</f>
        <v>ink.vesko77.2288aa@zarabota.nl</v>
      </c>
      <c r="X488" s="6" t="str">
        <f>IFERROR(__xludf.DUMMYFUNCTION("""COMPUTED_VALUE"""),"ver.vesko77.2288aa@zarabota.nl")</f>
        <v>ver.vesko77.2288aa@zarabota.nl</v>
      </c>
      <c r="Y488" s="6" t="str">
        <f>IFERROR(__xludf.DUMMYFUNCTION("""COMPUTED_VALUE"""),"Hr.")</f>
        <v>Hr.</v>
      </c>
      <c r="Z488" s="6" t="str">
        <f>IFERROR(__xludf.DUMMYFUNCTION("""COMPUTED_VALUE"""),"Veselin Vasilev")</f>
        <v>Veselin Vasilev</v>
      </c>
      <c r="AA488" s="6" t="str">
        <f>IFERROR(__xludf.DUMMYFUNCTION("""COMPUTED_VALUE"""),"Hadzhiev")</f>
        <v>Hadzhiev</v>
      </c>
      <c r="AB488" s="6" t="str">
        <f>IFERROR(__xludf.DUMMYFUNCTION("""COMPUTED_VALUE"""),"V.V.")</f>
        <v>V.V.</v>
      </c>
      <c r="AC488" s="6">
        <f>IFERROR(__xludf.DUMMYFUNCTION("""COMPUTED_VALUE"""),3.01551686E8)</f>
        <v>301551686</v>
      </c>
      <c r="AD488" s="9">
        <f>IFERROR(__xludf.DUMMYFUNCTION("""COMPUTED_VALUE"""),28490.0)</f>
        <v>28490</v>
      </c>
      <c r="AE488" s="6" t="str">
        <f>IFERROR(__xludf.DUMMYFUNCTION("""COMPUTED_VALUE"""),"bg")</f>
        <v>bg</v>
      </c>
      <c r="AF488" s="6" t="str">
        <f>IFERROR(__xludf.DUMMYFUNCTION("""COMPUTED_VALUE"""),"Ardino")</f>
        <v>Ardino</v>
      </c>
      <c r="AG488" s="6" t="str">
        <f>IFERROR(__xludf.DUMMYFUNCTION("""COMPUTED_VALUE"""),"Hr. V.V. Hadzhiev")</f>
        <v>Hr. V.V. Hadzhiev</v>
      </c>
      <c r="AH488" s="6"/>
      <c r="AI488" s="6"/>
      <c r="AJ488" s="6" t="str">
        <f>IFERROR(__xludf.DUMMYFUNCTION("""COMPUTED_VALUE"""),"ID Kaart")</f>
        <v>ID Kaart</v>
      </c>
      <c r="AK488" s="6">
        <f>IFERROR(__xludf.DUMMYFUNCTION("""COMPUTED_VALUE"""),6.51086896E8)</f>
        <v>651086896</v>
      </c>
      <c r="AL488" s="9">
        <f>IFERROR(__xludf.DUMMYFUNCTION("""COMPUTED_VALUE"""),48170.0)</f>
        <v>48170</v>
      </c>
      <c r="AM488" s="6" t="str">
        <f>IFERROR(__xludf.DUMMYFUNCTION("""COMPUTED_VALUE"""),"Bulgarije")</f>
        <v>Bulgarije</v>
      </c>
      <c r="AN488" s="6" t="str">
        <f>IFERROR(__xludf.DUMMYFUNCTION("""COMPUTED_VALUE"""),"Veselin Vasilev Hadzhiev")</f>
        <v>Veselin Vasilev Hadzhiev</v>
      </c>
      <c r="AO488" s="6">
        <f>IFERROR(__xludf.DUMMYFUNCTION("""COMPUTED_VALUE"""),1356.0)</f>
        <v>1356</v>
      </c>
    </row>
    <row r="489">
      <c r="A489" s="6" t="str">
        <f>IFERROR(__xludf.DUMMYFUNCTION("""COMPUTED_VALUE"""),"Veso Onderhoud VOF")</f>
        <v>Veso Onderhoud VOF</v>
      </c>
      <c r="B489" s="6" t="str">
        <f>IFERROR(__xludf.DUMMYFUNCTION("""COMPUTED_VALUE"""),"Veso Onderhoud VOF")</f>
        <v>Veso Onderhoud VOF</v>
      </c>
      <c r="C489" s="6">
        <f>IFERROR(__xludf.DUMMYFUNCTION("""COMPUTED_VALUE"""),691.0)</f>
        <v>691</v>
      </c>
      <c r="D489" s="7" t="str">
        <f>IFERROR(__xludf.DUMMYFUNCTION("""COMPUTED_VALUE"""),"Veselin Ivanov Boyanov")</f>
        <v>Veselin Ivanov Boyanov</v>
      </c>
      <c r="E489" s="7" t="str">
        <f>IFERROR(__xludf.DUMMYFUNCTION("""COMPUTED_VALUE"""),"SBI-code: 43999 - Overige gespecialiseerde werkzaamheden in de bouw (rest)")</f>
        <v>SBI-code: 43999 - Overige gespecialiseerde werkzaamheden in de bouw (rest)</v>
      </c>
      <c r="F489" s="7" t="str">
        <f>IFERROR(__xludf.DUMMYFUNCTION("""COMPUTED_VALUE"""),"0628757367")</f>
        <v>0628757367</v>
      </c>
      <c r="G489" s="6" t="str">
        <f>IFERROR(__xludf.DUMMYFUNCTION("""COMPUTED_VALUE"""),"magityy_88@abv.bg")</f>
        <v>magityy_88@abv.bg</v>
      </c>
      <c r="H489" s="6" t="str">
        <f>IFERROR(__xludf.DUMMYFUNCTION("""COMPUTED_VALUE"""),"Vreeswijkstraat 531")</f>
        <v>Vreeswijkstraat 531</v>
      </c>
      <c r="I489" s="6" t="str">
        <f>IFERROR(__xludf.DUMMYFUNCTION("""COMPUTED_VALUE"""),"2546AN")</f>
        <v>2546AN</v>
      </c>
      <c r="J489" s="6" t="str">
        <f>IFERROR(__xludf.DUMMYFUNCTION("""COMPUTED_VALUE"""),"s-Gravenhage")</f>
        <v>s-Gravenhage</v>
      </c>
      <c r="K489" s="6" t="str">
        <f>IFERROR(__xludf.DUMMYFUNCTION("""COMPUTED_VALUE"""),"Nederland")</f>
        <v>Nederland</v>
      </c>
      <c r="L489" s="6" t="str">
        <f>IFERROR(__xludf.DUMMYFUNCTION("""COMPUTED_VALUE"""),"Боянов")</f>
        <v>Боянов</v>
      </c>
      <c r="M489" s="8">
        <f>IFERROR(__xludf.DUMMYFUNCTION("""COMPUTED_VALUE"""),39342.0)</f>
        <v>39342</v>
      </c>
      <c r="N489" s="6" t="str">
        <f>IFERROR(__xludf.DUMMYFUNCTION("""COMPUTED_VALUE"""),"NL859638686B01")</f>
        <v>NL859638686B01</v>
      </c>
      <c r="O489" s="6">
        <f>IFERROR(__xludf.DUMMYFUNCTION("""COMPUTED_VALUE"""),7.371634E7)</f>
        <v>73716340</v>
      </c>
      <c r="P489" s="6" t="str">
        <f>IFERROR(__xludf.DUMMYFUNCTION("""COMPUTED_VALUE"""),"NL81INGB0003583100")</f>
        <v>NL81INGB0003583100</v>
      </c>
      <c r="Q489" s="9">
        <f>IFERROR(__xludf.DUMMYFUNCTION("""COMPUTED_VALUE"""),43466.0)</f>
        <v>43466</v>
      </c>
      <c r="R489" s="6"/>
      <c r="S489" s="6" t="str">
        <f>IFERROR(__xludf.DUMMYFUNCTION("""COMPUTED_VALUE"""),"NL859638686B01")</f>
        <v>NL859638686B01</v>
      </c>
      <c r="T489" s="6">
        <f>IFERROR(__xludf.DUMMYFUNCTION("""COMPUTED_VALUE"""),8.59638686E8)</f>
        <v>859638686</v>
      </c>
      <c r="U489" s="7" t="str">
        <f>IFERROR(__xludf.DUMMYFUNCTION("""COMPUTED_VALUE"""),"Vennootschap Onder Firma")</f>
        <v>Vennootschap Onder Firma</v>
      </c>
      <c r="V489" s="7" t="str">
        <f>IFERROR(__xludf.DUMMYFUNCTION("""COMPUTED_VALUE"""),"000012619264")</f>
        <v>000012619264</v>
      </c>
      <c r="W489" s="6" t="str">
        <f>IFERROR(__xludf.DUMMYFUNCTION("""COMPUTED_VALUE"""),"ink.vesoonderhoudvof.2288aa@zarabota.nl")</f>
        <v>ink.vesoonderhoudvof.2288aa@zarabota.nl</v>
      </c>
      <c r="X489" s="6" t="str">
        <f>IFERROR(__xludf.DUMMYFUNCTION("""COMPUTED_VALUE"""),"ver.vesoonderhoudvof.2288aa@zarabota.nl")</f>
        <v>ver.vesoonderhoudvof.2288aa@zarabota.nl</v>
      </c>
      <c r="Y489" s="6" t="str">
        <f>IFERROR(__xludf.DUMMYFUNCTION("""COMPUTED_VALUE"""),"Hr.")</f>
        <v>Hr.</v>
      </c>
      <c r="Z489" s="6" t="str">
        <f>IFERROR(__xludf.DUMMYFUNCTION("""COMPUTED_VALUE"""),"Veselin Ivanov")</f>
        <v>Veselin Ivanov</v>
      </c>
      <c r="AA489" s="6" t="str">
        <f>IFERROR(__xludf.DUMMYFUNCTION("""COMPUTED_VALUE"""),"Boyanov")</f>
        <v>Boyanov</v>
      </c>
      <c r="AB489" s="6" t="str">
        <f>IFERROR(__xludf.DUMMYFUNCTION("""COMPUTED_VALUE"""),"V.I.")</f>
        <v>V.I.</v>
      </c>
      <c r="AC489" s="6">
        <f>IFERROR(__xludf.DUMMYFUNCTION("""COMPUTED_VALUE"""),2.6432523E8)</f>
        <v>264325230</v>
      </c>
      <c r="AD489" s="9">
        <f>IFERROR(__xludf.DUMMYFUNCTION("""COMPUTED_VALUE"""),26284.0)</f>
        <v>26284</v>
      </c>
      <c r="AE489" s="6" t="str">
        <f>IFERROR(__xludf.DUMMYFUNCTION("""COMPUTED_VALUE"""),"bg")</f>
        <v>bg</v>
      </c>
      <c r="AF489" s="6"/>
      <c r="AG489" s="6" t="str">
        <f>IFERROR(__xludf.DUMMYFUNCTION("""COMPUTED_VALUE"""),"Hr. V.I. Boyanov")</f>
        <v>Hr. V.I. Boyanov</v>
      </c>
      <c r="AH489" s="6"/>
      <c r="AI489" s="6"/>
      <c r="AJ489" s="6"/>
      <c r="AK489" s="6"/>
      <c r="AL489" s="6"/>
      <c r="AM489" s="6"/>
      <c r="AN489" s="6" t="str">
        <f>IFERROR(__xludf.DUMMYFUNCTION("""COMPUTED_VALUE"""),"Veselin Ivanov Boyanov")</f>
        <v>Veselin Ivanov Boyanov</v>
      </c>
      <c r="AO489" s="6"/>
    </row>
    <row r="490">
      <c r="A490" s="6" t="str">
        <f>IFERROR(__xludf.DUMMYFUNCTION("""COMPUTED_VALUE"""),"Vesto Onderhoud VOF")</f>
        <v>Vesto Onderhoud VOF</v>
      </c>
      <c r="B490" s="6" t="str">
        <f>IFERROR(__xludf.DUMMYFUNCTION("""COMPUTED_VALUE"""),"Vesto Onderhoud VOF per 1-1-26 naar ZZP")</f>
        <v>Vesto Onderhoud VOF per 1-1-26 naar ZZP</v>
      </c>
      <c r="C490" s="6">
        <f>IFERROR(__xludf.DUMMYFUNCTION("""COMPUTED_VALUE"""),542.0)</f>
        <v>542</v>
      </c>
      <c r="D490" s="7" t="str">
        <f>IFERROR(__xludf.DUMMYFUNCTION("""COMPUTED_VALUE"""),"Stoyan Biserov Bashev")</f>
        <v>Stoyan Biserov Bashev</v>
      </c>
      <c r="E490" s="7" t="str">
        <f>IFERROR(__xludf.DUMMYFUNCTION("""COMPUTED_VALUE"""),"SBI-code: 4120 - Algemene burgerlijke en utiliteitsbouw")</f>
        <v>SBI-code: 4120 - Algemene burgerlijke en utiliteitsbouw</v>
      </c>
      <c r="F490" s="7" t="str">
        <f>IFERROR(__xludf.DUMMYFUNCTION("""COMPUTED_VALUE"""),"0613676674")</f>
        <v>0613676674</v>
      </c>
      <c r="G490" s="6" t="str">
        <f>IFERROR(__xludf.DUMMYFUNCTION("""COMPUTED_VALUE"""),"stoian.bashev@abv.bg")</f>
        <v>stoian.bashev@abv.bg</v>
      </c>
      <c r="H490" s="6" t="str">
        <f>IFERROR(__xludf.DUMMYFUNCTION("""COMPUTED_VALUE"""),"Nettelhorststraat 74")</f>
        <v>Nettelhorststraat 74</v>
      </c>
      <c r="I490" s="6" t="str">
        <f>IFERROR(__xludf.DUMMYFUNCTION("""COMPUTED_VALUE"""),"2532BS")</f>
        <v>2532BS</v>
      </c>
      <c r="J490" s="6" t="str">
        <f>IFERROR(__xludf.DUMMYFUNCTION("""COMPUTED_VALUE"""),"s-Gravenhage")</f>
        <v>s-Gravenhage</v>
      </c>
      <c r="K490" s="6" t="str">
        <f>IFERROR(__xludf.DUMMYFUNCTION("""COMPUTED_VALUE"""),"Nederland")</f>
        <v>Nederland</v>
      </c>
      <c r="L490" s="6" t="str">
        <f>IFERROR(__xludf.DUMMYFUNCTION("""COMPUTED_VALUE"""),"Башев")</f>
        <v>Башев</v>
      </c>
      <c r="M490" s="8">
        <f>IFERROR(__xludf.DUMMYFUNCTION("""COMPUTED_VALUE"""),43175.0)</f>
        <v>43175</v>
      </c>
      <c r="N490" s="6" t="str">
        <f>IFERROR(__xludf.DUMMYFUNCTION("""COMPUTED_VALUE"""),"NL858517425B01")</f>
        <v>NL858517425B01</v>
      </c>
      <c r="O490" s="6">
        <f>IFERROR(__xludf.DUMMYFUNCTION("""COMPUTED_VALUE"""),7.0936285E7)</f>
        <v>70936285</v>
      </c>
      <c r="P490" s="6" t="str">
        <f>IFERROR(__xludf.DUMMYFUNCTION("""COMPUTED_VALUE"""),"NL83INGB0008182222")</f>
        <v>NL83INGB0008182222</v>
      </c>
      <c r="Q490" s="9">
        <f>IFERROR(__xludf.DUMMYFUNCTION("""COMPUTED_VALUE"""),42583.0)</f>
        <v>42583</v>
      </c>
      <c r="R490" s="9">
        <f>IFERROR(__xludf.DUMMYFUNCTION("""COMPUTED_VALUE"""),46023.0)</f>
        <v>46023</v>
      </c>
      <c r="S490" s="6" t="str">
        <f>IFERROR(__xludf.DUMMYFUNCTION("""COMPUTED_VALUE"""),"NL858517425B01")</f>
        <v>NL858517425B01</v>
      </c>
      <c r="T490" s="6">
        <f>IFERROR(__xludf.DUMMYFUNCTION("""COMPUTED_VALUE"""),8.58517425E8)</f>
        <v>858517425</v>
      </c>
      <c r="U490" s="7" t="str">
        <f>IFERROR(__xludf.DUMMYFUNCTION("""COMPUTED_VALUE"""),"Vennootschap Onder Firma")</f>
        <v>Vennootschap Onder Firma</v>
      </c>
      <c r="V490" s="7" t="str">
        <f>IFERROR(__xludf.DUMMYFUNCTION("""COMPUTED_VALUE"""),"000035174773")</f>
        <v>000035174773</v>
      </c>
      <c r="W490" s="6" t="str">
        <f>IFERROR(__xludf.DUMMYFUNCTION("""COMPUTED_VALUE"""),"ink.vestoonderhoudvof.2288aa@zarabota.nl")</f>
        <v>ink.vestoonderhoudvof.2288aa@zarabota.nl</v>
      </c>
      <c r="X490" s="6" t="str">
        <f>IFERROR(__xludf.DUMMYFUNCTION("""COMPUTED_VALUE"""),"ver.vestoonderhoudvof.2288aa@zarabota.nl")</f>
        <v>ver.vestoonderhoudvof.2288aa@zarabota.nl</v>
      </c>
      <c r="Y490" s="6" t="str">
        <f>IFERROR(__xludf.DUMMYFUNCTION("""COMPUTED_VALUE"""),"Hr.")</f>
        <v>Hr.</v>
      </c>
      <c r="Z490" s="6" t="str">
        <f>IFERROR(__xludf.DUMMYFUNCTION("""COMPUTED_VALUE"""),"Stoyan Biserov")</f>
        <v>Stoyan Biserov</v>
      </c>
      <c r="AA490" s="6" t="str">
        <f>IFERROR(__xludf.DUMMYFUNCTION("""COMPUTED_VALUE"""),"Bashev")</f>
        <v>Bashev</v>
      </c>
      <c r="AB490" s="6" t="str">
        <f>IFERROR(__xludf.DUMMYFUNCTION("""COMPUTED_VALUE"""),"S.B.")</f>
        <v>S.B.</v>
      </c>
      <c r="AC490" s="6" t="str">
        <f>IFERROR(__xludf.DUMMYFUNCTION("""COMPUTED_VALUE"""),"NL858517425B01")</f>
        <v>NL858517425B01</v>
      </c>
      <c r="AD490" s="9">
        <f>IFERROR(__xludf.DUMMYFUNCTION("""COMPUTED_VALUE"""),25925.0)</f>
        <v>25925</v>
      </c>
      <c r="AE490" s="6" t="str">
        <f>IFERROR(__xludf.DUMMYFUNCTION("""COMPUTED_VALUE"""),"bg")</f>
        <v>bg</v>
      </c>
      <c r="AF490" s="6" t="str">
        <f>IFERROR(__xludf.DUMMYFUNCTION("""COMPUTED_VALUE"""),"Smolyan")</f>
        <v>Smolyan</v>
      </c>
      <c r="AG490" s="6" t="str">
        <f>IFERROR(__xludf.DUMMYFUNCTION("""COMPUTED_VALUE"""),"Hr. S.B. Bashev")</f>
        <v>Hr. S.B. Bashev</v>
      </c>
      <c r="AH490" s="6"/>
      <c r="AI490" s="6"/>
      <c r="AJ490" s="6"/>
      <c r="AK490" s="6"/>
      <c r="AL490" s="6"/>
      <c r="AM490" s="6" t="str">
        <f>IFERROR(__xludf.DUMMYFUNCTION("""COMPUTED_VALUE"""),"Bulgarije")</f>
        <v>Bulgarije</v>
      </c>
      <c r="AN490" s="6" t="str">
        <f>IFERROR(__xludf.DUMMYFUNCTION("""COMPUTED_VALUE"""),"Stoyan Biserov Bashev")</f>
        <v>Stoyan Biserov Bashev</v>
      </c>
      <c r="AO490" s="6">
        <f>IFERROR(__xludf.DUMMYFUNCTION("""COMPUTED_VALUE"""),542.0)</f>
        <v>542</v>
      </c>
    </row>
    <row r="491">
      <c r="A491" s="6" t="str">
        <f>IFERROR(__xludf.DUMMYFUNCTION("""COMPUTED_VALUE"""),"VI One Consultancy")</f>
        <v>VI One Consultancy</v>
      </c>
      <c r="B491" s="6" t="str">
        <f>IFERROR(__xludf.DUMMYFUNCTION("""COMPUTED_VALUE"""),"VI One Consultancy")</f>
        <v>VI One Consultancy</v>
      </c>
      <c r="C491" s="6">
        <f>IFERROR(__xludf.DUMMYFUNCTION("""COMPUTED_VALUE"""),889.0)</f>
        <v>889</v>
      </c>
      <c r="D491" s="7" t="str">
        <f>IFERROR(__xludf.DUMMYFUNCTION("""COMPUTED_VALUE"""),"Vitlena Dimitrova Angelova-Vasileva")</f>
        <v>Vitlena Dimitrova Angelova-Vasileva</v>
      </c>
      <c r="E491" s="7" t="str">
        <f>IFERROR(__xludf.DUMMYFUNCTION("""COMPUTED_VALUE"""),"SBI-code: 4120 - Algemene burgerlijke en utiliteitsbouw")</f>
        <v>SBI-code: 4120 - Algemene burgerlijke en utiliteitsbouw</v>
      </c>
      <c r="F491" s="7" t="str">
        <f>IFERROR(__xludf.DUMMYFUNCTION("""COMPUTED_VALUE"""),"0634195315")</f>
        <v>0634195315</v>
      </c>
      <c r="G491" s="6" t="str">
        <f>IFERROR(__xludf.DUMMYFUNCTION("""COMPUTED_VALUE"""),"vionecnl@gmail.com")</f>
        <v>vionecnl@gmail.com</v>
      </c>
      <c r="H491" s="6" t="str">
        <f>IFERROR(__xludf.DUMMYFUNCTION("""COMPUTED_VALUE"""),"Dirk Hoogenraadstraat 58")</f>
        <v>Dirk Hoogenraadstraat 58</v>
      </c>
      <c r="I491" s="6" t="str">
        <f>IFERROR(__xludf.DUMMYFUNCTION("""COMPUTED_VALUE"""),"2586TK")</f>
        <v>2586TK</v>
      </c>
      <c r="J491" s="6" t="str">
        <f>IFERROR(__xludf.DUMMYFUNCTION("""COMPUTED_VALUE"""),"s-Gravenhage")</f>
        <v>s-Gravenhage</v>
      </c>
      <c r="K491" s="6" t="str">
        <f>IFERROR(__xludf.DUMMYFUNCTION("""COMPUTED_VALUE"""),"Nederland")</f>
        <v>Nederland</v>
      </c>
      <c r="L491" s="6" t="str">
        <f>IFERROR(__xludf.DUMMYFUNCTION("""COMPUTED_VALUE"""),"Витлена")</f>
        <v>Витлена</v>
      </c>
      <c r="M491" s="8">
        <f>IFERROR(__xludf.DUMMYFUNCTION("""COMPUTED_VALUE"""),43815.0)</f>
        <v>43815</v>
      </c>
      <c r="N491" s="6" t="str">
        <f>IFERROR(__xludf.DUMMYFUNCTION("""COMPUTED_VALUE"""),"NL414168975B01")</f>
        <v>NL414168975B01</v>
      </c>
      <c r="O491" s="6">
        <f>IFERROR(__xludf.DUMMYFUNCTION("""COMPUTED_VALUE"""),7.6668371E7)</f>
        <v>76668371</v>
      </c>
      <c r="P491" s="6" t="str">
        <f>IFERROR(__xludf.DUMMYFUNCTION("""COMPUTED_VALUE"""),"NL62INGB0008986827")</f>
        <v>NL62INGB0008986827</v>
      </c>
      <c r="Q491" s="9">
        <f>IFERROR(__xludf.DUMMYFUNCTION("""COMPUTED_VALUE"""),43815.0)</f>
        <v>43815</v>
      </c>
      <c r="R491" s="6"/>
      <c r="S491" s="6" t="str">
        <f>IFERROR(__xludf.DUMMYFUNCTION("""COMPUTED_VALUE"""),"NL003105354B12")</f>
        <v>NL003105354B12</v>
      </c>
      <c r="T491" s="6">
        <f>IFERROR(__xludf.DUMMYFUNCTION("""COMPUTED_VALUE"""),4.14168975E8)</f>
        <v>414168975</v>
      </c>
      <c r="U491" s="7" t="str">
        <f>IFERROR(__xludf.DUMMYFUNCTION("""COMPUTED_VALUE"""),"Eenmanszaak")</f>
        <v>Eenmanszaak</v>
      </c>
      <c r="V491" s="7" t="str">
        <f>IFERROR(__xludf.DUMMYFUNCTION("""COMPUTED_VALUE"""),"000044429959")</f>
        <v>000044429959</v>
      </c>
      <c r="W491" s="6" t="str">
        <f>IFERROR(__xludf.DUMMYFUNCTION("""COMPUTED_VALUE"""),"ink.vioneconsultancy.2288aa@zarabota.nl")</f>
        <v>ink.vioneconsultancy.2288aa@zarabota.nl</v>
      </c>
      <c r="X491" s="6" t="str">
        <f>IFERROR(__xludf.DUMMYFUNCTION("""COMPUTED_VALUE"""),"ver.vioneconsultancy.2288aa@zarabota.nl")</f>
        <v>ver.vioneconsultancy.2288aa@zarabota.nl</v>
      </c>
      <c r="Y491" s="6" t="str">
        <f>IFERROR(__xludf.DUMMYFUNCTION("""COMPUTED_VALUE"""),"Mw.")</f>
        <v>Mw.</v>
      </c>
      <c r="Z491" s="6" t="str">
        <f>IFERROR(__xludf.DUMMYFUNCTION("""COMPUTED_VALUE"""),"Vitlena Dimitrova")</f>
        <v>Vitlena Dimitrova</v>
      </c>
      <c r="AA491" s="6" t="str">
        <f>IFERROR(__xludf.DUMMYFUNCTION("""COMPUTED_VALUE"""),"Angelova-Vasileva")</f>
        <v>Angelova-Vasileva</v>
      </c>
      <c r="AB491" s="6" t="str">
        <f>IFERROR(__xludf.DUMMYFUNCTION("""COMPUTED_VALUE"""),"V.A.")</f>
        <v>V.A.</v>
      </c>
      <c r="AC491" s="6">
        <f>IFERROR(__xludf.DUMMYFUNCTION("""COMPUTED_VALUE"""),4.14168975E8)</f>
        <v>414168975</v>
      </c>
      <c r="AD491" s="9">
        <f>IFERROR(__xludf.DUMMYFUNCTION("""COMPUTED_VALUE"""),25067.0)</f>
        <v>25067</v>
      </c>
      <c r="AE491" s="6" t="str">
        <f>IFERROR(__xludf.DUMMYFUNCTION("""COMPUTED_VALUE"""),"bg")</f>
        <v>bg</v>
      </c>
      <c r="AF491" s="6" t="str">
        <f>IFERROR(__xludf.DUMMYFUNCTION("""COMPUTED_VALUE"""),"Sofia")</f>
        <v>Sofia</v>
      </c>
      <c r="AG491" s="6" t="str">
        <f>IFERROR(__xludf.DUMMYFUNCTION("""COMPUTED_VALUE"""),"Mw. V.A. Angelova-Vasileva")</f>
        <v>Mw. V.A. Angelova-Vasileva</v>
      </c>
      <c r="AH491" s="6" t="str">
        <f>IFERROR(__xludf.DUMMYFUNCTION("""COMPUTED_VALUE"""),"NL29INGB0774161833")</f>
        <v>NL29INGB0774161833</v>
      </c>
      <c r="AI491" s="6"/>
      <c r="AJ491" s="6" t="str">
        <f>IFERROR(__xludf.DUMMYFUNCTION("""COMPUTED_VALUE"""),"ID Kaart")</f>
        <v>ID Kaart</v>
      </c>
      <c r="AK491" s="6"/>
      <c r="AL491" s="6"/>
      <c r="AM491" s="6"/>
      <c r="AN491" s="6" t="str">
        <f>IFERROR(__xludf.DUMMYFUNCTION("""COMPUTED_VALUE"""),"Vitlena Dimitrova Angelova-Vasileva")</f>
        <v>Vitlena Dimitrova Angelova-Vasileva</v>
      </c>
      <c r="AO491" s="6"/>
    </row>
    <row r="492">
      <c r="A492" s="6" t="str">
        <f>IFERROR(__xludf.DUMMYFUNCTION("""COMPUTED_VALUE"""),"Vicho Bouw VOF")</f>
        <v>Vicho Bouw VOF</v>
      </c>
      <c r="B492" s="6" t="str">
        <f>IFERROR(__xludf.DUMMYFUNCTION("""COMPUTED_VALUE"""),"Vicho Bouw VOF")</f>
        <v>Vicho Bouw VOF</v>
      </c>
      <c r="C492" s="6">
        <f>IFERROR(__xludf.DUMMYFUNCTION("""COMPUTED_VALUE"""),422.0)</f>
        <v>422</v>
      </c>
      <c r="D492" s="7" t="str">
        <f>IFERROR(__xludf.DUMMYFUNCTION("""COMPUTED_VALUE"""),"Hristo Dobrinov Tsvyatkov")</f>
        <v>Hristo Dobrinov Tsvyatkov</v>
      </c>
      <c r="E492" s="7" t="str">
        <f>IFERROR(__xludf.DUMMYFUNCTION("""COMPUTED_VALUE"""),"SBI-code: 4120 - Algemene burgerlijke en utiliteitsbouw")</f>
        <v>SBI-code: 4120 - Algemene burgerlijke en utiliteitsbouw</v>
      </c>
      <c r="F492" s="7" t="str">
        <f>IFERROR(__xludf.DUMMYFUNCTION("""COMPUTED_VALUE"""),"0651091833")</f>
        <v>0651091833</v>
      </c>
      <c r="G492" s="6" t="str">
        <f>IFERROR(__xludf.DUMMYFUNCTION("""COMPUTED_VALUE"""),"vichobouw@yahoo.com")</f>
        <v>vichobouw@yahoo.com</v>
      </c>
      <c r="H492" s="6" t="str">
        <f>IFERROR(__xludf.DUMMYFUNCTION("""COMPUTED_VALUE"""),"Margarethaland 96")</f>
        <v>Margarethaland 96</v>
      </c>
      <c r="I492" s="6" t="str">
        <f>IFERROR(__xludf.DUMMYFUNCTION("""COMPUTED_VALUE"""),"2591TR")</f>
        <v>2591TR</v>
      </c>
      <c r="J492" s="6" t="str">
        <f>IFERROR(__xludf.DUMMYFUNCTION("""COMPUTED_VALUE"""),"s-Gravenhage")</f>
        <v>s-Gravenhage</v>
      </c>
      <c r="K492" s="6" t="str">
        <f>IFERROR(__xludf.DUMMYFUNCTION("""COMPUTED_VALUE"""),"Nederland")</f>
        <v>Nederland</v>
      </c>
      <c r="L492" s="6" t="str">
        <f>IFERROR(__xludf.DUMMYFUNCTION("""COMPUTED_VALUE"""),"Цветков")</f>
        <v>Цветков</v>
      </c>
      <c r="M492" s="8">
        <f>IFERROR(__xludf.DUMMYFUNCTION("""COMPUTED_VALUE"""),42632.0)</f>
        <v>42632</v>
      </c>
      <c r="N492" s="6" t="str">
        <f>IFERROR(__xludf.DUMMYFUNCTION("""COMPUTED_VALUE"""),"NL867471414B01")</f>
        <v>NL867471414B01</v>
      </c>
      <c r="O492" s="6">
        <f>IFERROR(__xludf.DUMMYFUNCTION("""COMPUTED_VALUE"""),9.6104856E7)</f>
        <v>96104856</v>
      </c>
      <c r="P492" s="6" t="str">
        <f>IFERROR(__xludf.DUMMYFUNCTION("""COMPUTED_VALUE"""),"NL74INGB0007856949")</f>
        <v>NL74INGB0007856949</v>
      </c>
      <c r="Q492" s="9">
        <f>IFERROR(__xludf.DUMMYFUNCTION("""COMPUTED_VALUE"""),45658.0)</f>
        <v>45658</v>
      </c>
      <c r="R492" s="6"/>
      <c r="S492" s="6" t="str">
        <f>IFERROR(__xludf.DUMMYFUNCTION("""COMPUTED_VALUE"""),"NL867471414B01")</f>
        <v>NL867471414B01</v>
      </c>
      <c r="T492" s="6">
        <f>IFERROR(__xludf.DUMMYFUNCTION("""COMPUTED_VALUE"""),8.67471414E8)</f>
        <v>867471414</v>
      </c>
      <c r="U492" s="7" t="str">
        <f>IFERROR(__xludf.DUMMYFUNCTION("""COMPUTED_VALUE"""),"Vennootschap Onder Firma")</f>
        <v>Vennootschap Onder Firma</v>
      </c>
      <c r="V492" s="7" t="str">
        <f>IFERROR(__xludf.DUMMYFUNCTION("""COMPUTED_VALUE"""),"000037485083")</f>
        <v>000037485083</v>
      </c>
      <c r="W492" s="6" t="str">
        <f>IFERROR(__xludf.DUMMYFUNCTION("""COMPUTED_VALUE"""),"ink.vichobouw.2288aa@zarabota.nl")</f>
        <v>ink.vichobouw.2288aa@zarabota.nl</v>
      </c>
      <c r="X492" s="6" t="str">
        <f>IFERROR(__xludf.DUMMYFUNCTION("""COMPUTED_VALUE"""),"ver.vichobouw.2288aa@zarabota.nl")</f>
        <v>ver.vichobouw.2288aa@zarabota.nl</v>
      </c>
      <c r="Y492" s="6" t="str">
        <f>IFERROR(__xludf.DUMMYFUNCTION("""COMPUTED_VALUE"""),"Hr.")</f>
        <v>Hr.</v>
      </c>
      <c r="Z492" s="6" t="str">
        <f>IFERROR(__xludf.DUMMYFUNCTION("""COMPUTED_VALUE"""),"Hristo Dobrinov")</f>
        <v>Hristo Dobrinov</v>
      </c>
      <c r="AA492" s="6" t="str">
        <f>IFERROR(__xludf.DUMMYFUNCTION("""COMPUTED_VALUE"""),"Tsvyatkov")</f>
        <v>Tsvyatkov</v>
      </c>
      <c r="AB492" s="6" t="str">
        <f>IFERROR(__xludf.DUMMYFUNCTION("""COMPUTED_VALUE"""),"H.D.")</f>
        <v>H.D.</v>
      </c>
      <c r="AC492" s="6">
        <f>IFERROR(__xludf.DUMMYFUNCTION("""COMPUTED_VALUE"""),6.18530058E8)</f>
        <v>618530058</v>
      </c>
      <c r="AD492" s="9">
        <f>IFERROR(__xludf.DUMMYFUNCTION("""COMPUTED_VALUE"""),31562.0)</f>
        <v>31562</v>
      </c>
      <c r="AE492" s="6" t="str">
        <f>IFERROR(__xludf.DUMMYFUNCTION("""COMPUTED_VALUE"""),"bg")</f>
        <v>bg</v>
      </c>
      <c r="AF492" s="6" t="str">
        <f>IFERROR(__xludf.DUMMYFUNCTION("""COMPUTED_VALUE"""),"Gabrovo")</f>
        <v>Gabrovo</v>
      </c>
      <c r="AG492" s="6" t="str">
        <f>IFERROR(__xludf.DUMMYFUNCTION("""COMPUTED_VALUE"""),"Hr. H.D. Tsvyatkov")</f>
        <v>Hr. H.D. Tsvyatkov</v>
      </c>
      <c r="AH492" s="6"/>
      <c r="AI492" s="6"/>
      <c r="AJ492" s="6"/>
      <c r="AK492" s="6"/>
      <c r="AL492" s="6"/>
      <c r="AM492" s="6"/>
      <c r="AN492" s="6" t="str">
        <f>IFERROR(__xludf.DUMMYFUNCTION("""COMPUTED_VALUE"""),"Hristo Dobrinov Tsvyatkov")</f>
        <v>Hristo Dobrinov Tsvyatkov</v>
      </c>
      <c r="AO492" s="6">
        <f>IFERROR(__xludf.DUMMYFUNCTION("""COMPUTED_VALUE"""),422.0)</f>
        <v>422</v>
      </c>
    </row>
    <row r="493">
      <c r="A493" s="6" t="str">
        <f>IFERROR(__xludf.DUMMYFUNCTION("""COMPUTED_VALUE"""),"Victoria Market")</f>
        <v>Victoria Market</v>
      </c>
      <c r="B493" s="6" t="str">
        <f>IFERROR(__xludf.DUMMYFUNCTION("""COMPUTED_VALUE"""),"Victoria Market")</f>
        <v>Victoria Market</v>
      </c>
      <c r="C493" s="6">
        <f>IFERROR(__xludf.DUMMYFUNCTION("""COMPUTED_VALUE"""),1004.0)</f>
        <v>1004</v>
      </c>
      <c r="D493" s="7" t="str">
        <f>IFERROR(__xludf.DUMMYFUNCTION("""COMPUTED_VALUE"""),"Ilhan Hasan Hyusein")</f>
        <v>Ilhan Hasan Hyusein</v>
      </c>
      <c r="E493" s="7" t="str">
        <f>IFERROR(__xludf.DUMMYFUNCTION("""COMPUTED_VALUE"""),"SBI-code: 4120 - Algemene burgerlijke en utiliteitsbouw")</f>
        <v>SBI-code: 4120 - Algemene burgerlijke en utiliteitsbouw</v>
      </c>
      <c r="F493" s="7" t="str">
        <f>IFERROR(__xludf.DUMMYFUNCTION("""COMPUTED_VALUE"""),"0614952884")</f>
        <v>0614952884</v>
      </c>
      <c r="G493" s="6" t="str">
        <f>IFERROR(__xludf.DUMMYFUNCTION("""COMPUTED_VALUE"""),"Ilhan9819@icloud.com")</f>
        <v>Ilhan9819@icloud.com</v>
      </c>
      <c r="H493" s="6" t="str">
        <f>IFERROR(__xludf.DUMMYFUNCTION("""COMPUTED_VALUE"""),"Paul Krugerlaan 134")</f>
        <v>Paul Krugerlaan 134</v>
      </c>
      <c r="I493" s="6" t="str">
        <f>IFERROR(__xludf.DUMMYFUNCTION("""COMPUTED_VALUE"""),"2571HM")</f>
        <v>2571HM</v>
      </c>
      <c r="J493" s="6" t="str">
        <f>IFERROR(__xludf.DUMMYFUNCTION("""COMPUTED_VALUE"""),"s-Gravenhage")</f>
        <v>s-Gravenhage</v>
      </c>
      <c r="K493" s="6" t="str">
        <f>IFERROR(__xludf.DUMMYFUNCTION("""COMPUTED_VALUE"""),"Nederland")</f>
        <v>Nederland</v>
      </c>
      <c r="L493" s="6" t="str">
        <f>IFERROR(__xludf.DUMMYFUNCTION("""COMPUTED_VALUE"""),"Хюсеин")</f>
        <v>Хюсеин</v>
      </c>
      <c r="M493" s="8">
        <f>IFERROR(__xludf.DUMMYFUNCTION("""COMPUTED_VALUE"""),43984.0)</f>
        <v>43984</v>
      </c>
      <c r="N493" s="6" t="str">
        <f>IFERROR(__xludf.DUMMYFUNCTION("""COMPUTED_VALUE"""),"NL375828072B01")</f>
        <v>NL375828072B01</v>
      </c>
      <c r="O493" s="6">
        <f>IFERROR(__xludf.DUMMYFUNCTION("""COMPUTED_VALUE"""),7.8484456E7)</f>
        <v>78484456</v>
      </c>
      <c r="P493" s="6" t="str">
        <f>IFERROR(__xludf.DUMMYFUNCTION("""COMPUTED_VALUE"""),"NL02RABO0362380961")</f>
        <v>NL02RABO0362380961</v>
      </c>
      <c r="Q493" s="9">
        <f>IFERROR(__xludf.DUMMYFUNCTION("""COMPUTED_VALUE"""),43984.0)</f>
        <v>43984</v>
      </c>
      <c r="R493" s="6"/>
      <c r="S493" s="6" t="str">
        <f>IFERROR(__xludf.DUMMYFUNCTION("""COMPUTED_VALUE"""),"NL003337596B87")</f>
        <v>NL003337596B87</v>
      </c>
      <c r="T493" s="6">
        <f>IFERROR(__xludf.DUMMYFUNCTION("""COMPUTED_VALUE"""),3.75828072E8)</f>
        <v>375828072</v>
      </c>
      <c r="U493" s="7" t="str">
        <f>IFERROR(__xludf.DUMMYFUNCTION("""COMPUTED_VALUE"""),"Eenmanszaak")</f>
        <v>Eenmanszaak</v>
      </c>
      <c r="V493" s="7" t="str">
        <f>IFERROR(__xludf.DUMMYFUNCTION("""COMPUTED_VALUE"""),"000046105301")</f>
        <v>000046105301</v>
      </c>
      <c r="W493" s="6" t="str">
        <f>IFERROR(__xludf.DUMMYFUNCTION("""COMPUTED_VALUE"""),"ink.victoriamarket.2288aa@zarabota.nl")</f>
        <v>ink.victoriamarket.2288aa@zarabota.nl</v>
      </c>
      <c r="X493" s="6" t="str">
        <f>IFERROR(__xludf.DUMMYFUNCTION("""COMPUTED_VALUE"""),"ver.victoriamarket.2288aa@zarabota.nl")</f>
        <v>ver.victoriamarket.2288aa@zarabota.nl</v>
      </c>
      <c r="Y493" s="6" t="str">
        <f>IFERROR(__xludf.DUMMYFUNCTION("""COMPUTED_VALUE"""),"Hr.")</f>
        <v>Hr.</v>
      </c>
      <c r="Z493" s="6" t="str">
        <f>IFERROR(__xludf.DUMMYFUNCTION("""COMPUTED_VALUE"""),"Ilhan Hasan")</f>
        <v>Ilhan Hasan</v>
      </c>
      <c r="AA493" s="6" t="str">
        <f>IFERROR(__xludf.DUMMYFUNCTION("""COMPUTED_VALUE"""),"Hyusein")</f>
        <v>Hyusein</v>
      </c>
      <c r="AB493" s="6" t="str">
        <f>IFERROR(__xludf.DUMMYFUNCTION("""COMPUTED_VALUE"""),"I.H.")</f>
        <v>I.H.</v>
      </c>
      <c r="AC493" s="6">
        <f>IFERROR(__xludf.DUMMYFUNCTION("""COMPUTED_VALUE"""),3.75828072E8)</f>
        <v>375828072</v>
      </c>
      <c r="AD493" s="9">
        <f>IFERROR(__xludf.DUMMYFUNCTION("""COMPUTED_VALUE"""),32835.0)</f>
        <v>32835</v>
      </c>
      <c r="AE493" s="6" t="str">
        <f>IFERROR(__xludf.DUMMYFUNCTION("""COMPUTED_VALUE"""),"bg")</f>
        <v>bg</v>
      </c>
      <c r="AF493" s="6" t="str">
        <f>IFERROR(__xludf.DUMMYFUNCTION("""COMPUTED_VALUE"""),"G.Orqhovitsa")</f>
        <v>G.Orqhovitsa</v>
      </c>
      <c r="AG493" s="6" t="str">
        <f>IFERROR(__xludf.DUMMYFUNCTION("""COMPUTED_VALUE"""),"Hr. I.H. Hyusein")</f>
        <v>Hr. I.H. Hyusein</v>
      </c>
      <c r="AH493" s="6" t="str">
        <f>IFERROR(__xludf.DUMMYFUNCTION("""COMPUTED_VALUE"""),"NL30 INGB 0666 7782 56")</f>
        <v>NL30 INGB 0666 7782 56</v>
      </c>
      <c r="AI493" s="6"/>
      <c r="AJ493" s="6" t="str">
        <f>IFERROR(__xludf.DUMMYFUNCTION("""COMPUTED_VALUE"""),"ID Kaart")</f>
        <v>ID Kaart</v>
      </c>
      <c r="AK493" s="6"/>
      <c r="AL493" s="6"/>
      <c r="AM493" s="6" t="str">
        <f>IFERROR(__xludf.DUMMYFUNCTION("""COMPUTED_VALUE"""),"Bulgarije")</f>
        <v>Bulgarije</v>
      </c>
      <c r="AN493" s="6" t="str">
        <f>IFERROR(__xludf.DUMMYFUNCTION("""COMPUTED_VALUE"""),"Ilhan Hasan Hyusein")</f>
        <v>Ilhan Hasan Hyusein</v>
      </c>
      <c r="AO493" s="6"/>
    </row>
    <row r="494">
      <c r="A494" s="6" t="str">
        <f>IFERROR(__xludf.DUMMYFUNCTION("""COMPUTED_VALUE"""),"Vikani")</f>
        <v>Vikani</v>
      </c>
      <c r="B494" s="6" t="str">
        <f>IFERROR(__xludf.DUMMYFUNCTION("""COMPUTED_VALUE"""),"Vikani")</f>
        <v>Vikani</v>
      </c>
      <c r="C494" s="6">
        <f>IFERROR(__xludf.DUMMYFUNCTION("""COMPUTED_VALUE"""),952.0)</f>
        <v>952</v>
      </c>
      <c r="D494" s="7" t="str">
        <f>IFERROR(__xludf.DUMMYFUNCTION("""COMPUTED_VALUE"""),"Stefan Angelov Filipov")</f>
        <v>Stefan Angelov Filipov</v>
      </c>
      <c r="E494" s="7" t="str">
        <f>IFERROR(__xludf.DUMMYFUNCTION("""COMPUTED_VALUE"""),"SBI-code: 4120 - Algemene burgerlijke en utiliteitsbouw")</f>
        <v>SBI-code: 4120 - Algemene burgerlijke en utiliteitsbouw</v>
      </c>
      <c r="F494" s="7" t="str">
        <f>IFERROR(__xludf.DUMMYFUNCTION("""COMPUTED_VALUE"""),"+31684306733")</f>
        <v>+31684306733</v>
      </c>
      <c r="G494" s="6" t="str">
        <f>IFERROR(__xludf.DUMMYFUNCTION("""COMPUTED_VALUE"""),"stefanfilipov3@gmail.com")</f>
        <v>stefanfilipov3@gmail.com</v>
      </c>
      <c r="H494" s="6" t="str">
        <f>IFERROR(__xludf.DUMMYFUNCTION("""COMPUTED_VALUE"""),"Newtonstraat 228D")</f>
        <v>Newtonstraat 228D</v>
      </c>
      <c r="I494" s="6" t="str">
        <f>IFERROR(__xludf.DUMMYFUNCTION("""COMPUTED_VALUE"""),"2562KW")</f>
        <v>2562KW</v>
      </c>
      <c r="J494" s="6" t="str">
        <f>IFERROR(__xludf.DUMMYFUNCTION("""COMPUTED_VALUE"""),"s-Gravenhage")</f>
        <v>s-Gravenhage</v>
      </c>
      <c r="K494" s="6" t="str">
        <f>IFERROR(__xludf.DUMMYFUNCTION("""COMPUTED_VALUE"""),"Nederland")</f>
        <v>Nederland</v>
      </c>
      <c r="L494" s="6" t="str">
        <f>IFERROR(__xludf.DUMMYFUNCTION("""COMPUTED_VALUE"""),"Филипов")</f>
        <v>Филипов</v>
      </c>
      <c r="M494" s="8">
        <f>IFERROR(__xludf.DUMMYFUNCTION("""COMPUTED_VALUE"""),43913.0)</f>
        <v>43913</v>
      </c>
      <c r="N494" s="6" t="str">
        <f>IFERROR(__xludf.DUMMYFUNCTION("""COMPUTED_VALUE"""),"NL668210230B01")</f>
        <v>NL668210230B01</v>
      </c>
      <c r="O494" s="6">
        <f>IFERROR(__xludf.DUMMYFUNCTION("""COMPUTED_VALUE"""),7.7683013E7)</f>
        <v>77683013</v>
      </c>
      <c r="P494" s="6" t="str">
        <f>IFERROR(__xludf.DUMMYFUNCTION("""COMPUTED_VALUE"""),"NL20INGB0009515651")</f>
        <v>NL20INGB0009515651</v>
      </c>
      <c r="Q494" s="9">
        <f>IFERROR(__xludf.DUMMYFUNCTION("""COMPUTED_VALUE"""),43913.0)</f>
        <v>43913</v>
      </c>
      <c r="R494" s="6"/>
      <c r="S494" s="6" t="str">
        <f>IFERROR(__xludf.DUMMYFUNCTION("""COMPUTED_VALUE"""),"NL003223876B23")</f>
        <v>NL003223876B23</v>
      </c>
      <c r="T494" s="6">
        <f>IFERROR(__xludf.DUMMYFUNCTION("""COMPUTED_VALUE"""),6.6821023E8)</f>
        <v>668210230</v>
      </c>
      <c r="U494" s="7" t="str">
        <f>IFERROR(__xludf.DUMMYFUNCTION("""COMPUTED_VALUE"""),"Eenmanszaak")</f>
        <v>Eenmanszaak</v>
      </c>
      <c r="V494" s="7" t="str">
        <f>IFERROR(__xludf.DUMMYFUNCTION("""COMPUTED_VALUE"""),"000045367256")</f>
        <v>000045367256</v>
      </c>
      <c r="W494" s="6" t="str">
        <f>IFERROR(__xludf.DUMMYFUNCTION("""COMPUTED_VALUE"""),"ink.vikani.2288aa@zarabota.nl")</f>
        <v>ink.vikani.2288aa@zarabota.nl</v>
      </c>
      <c r="X494" s="6" t="str">
        <f>IFERROR(__xludf.DUMMYFUNCTION("""COMPUTED_VALUE"""),"ver.vikani.2288aa@zarabota.nl")</f>
        <v>ver.vikani.2288aa@zarabota.nl</v>
      </c>
      <c r="Y494" s="6" t="str">
        <f>IFERROR(__xludf.DUMMYFUNCTION("""COMPUTED_VALUE"""),"Hr.")</f>
        <v>Hr.</v>
      </c>
      <c r="Z494" s="6" t="str">
        <f>IFERROR(__xludf.DUMMYFUNCTION("""COMPUTED_VALUE"""),"Stefan Angelov")</f>
        <v>Stefan Angelov</v>
      </c>
      <c r="AA494" s="6" t="str">
        <f>IFERROR(__xludf.DUMMYFUNCTION("""COMPUTED_VALUE"""),"Filipov")</f>
        <v>Filipov</v>
      </c>
      <c r="AB494" s="6" t="str">
        <f>IFERROR(__xludf.DUMMYFUNCTION("""COMPUTED_VALUE"""),"S.A.")</f>
        <v>S.A.</v>
      </c>
      <c r="AC494" s="6">
        <f>IFERROR(__xludf.DUMMYFUNCTION("""COMPUTED_VALUE"""),6.6821023E8)</f>
        <v>668210230</v>
      </c>
      <c r="AD494" s="9">
        <f>IFERROR(__xludf.DUMMYFUNCTION("""COMPUTED_VALUE"""),28656.0)</f>
        <v>28656</v>
      </c>
      <c r="AE494" s="6" t="str">
        <f>IFERROR(__xludf.DUMMYFUNCTION("""COMPUTED_VALUE"""),"bg")</f>
        <v>bg</v>
      </c>
      <c r="AF494" s="6" t="str">
        <f>IFERROR(__xludf.DUMMYFUNCTION("""COMPUTED_VALUE"""),"Ardino")</f>
        <v>Ardino</v>
      </c>
      <c r="AG494" s="6" t="str">
        <f>IFERROR(__xludf.DUMMYFUNCTION("""COMPUTED_VALUE"""),"Hr. S.A. Filipov")</f>
        <v>Hr. S.A. Filipov</v>
      </c>
      <c r="AH494" s="6"/>
      <c r="AI494" s="9">
        <f>IFERROR(__xludf.DUMMYFUNCTION("""COMPUTED_VALUE"""),43908.0)</f>
        <v>43908</v>
      </c>
      <c r="AJ494" s="6" t="str">
        <f>IFERROR(__xludf.DUMMYFUNCTION("""COMPUTED_VALUE"""),"ID Kaart")</f>
        <v>ID Kaart</v>
      </c>
      <c r="AK494" s="6">
        <f>IFERROR(__xludf.DUMMYFUNCTION("""COMPUTED_VALUE"""),6.46628246E8)</f>
        <v>646628246</v>
      </c>
      <c r="AL494" s="9">
        <f>IFERROR(__xludf.DUMMYFUNCTION("""COMPUTED_VALUE"""),46252.0)</f>
        <v>46252</v>
      </c>
      <c r="AM494" s="6" t="str">
        <f>IFERROR(__xludf.DUMMYFUNCTION("""COMPUTED_VALUE"""),"Bulgarije")</f>
        <v>Bulgarije</v>
      </c>
      <c r="AN494" s="6" t="str">
        <f>IFERROR(__xludf.DUMMYFUNCTION("""COMPUTED_VALUE"""),"Stefan Angelov Filipov")</f>
        <v>Stefan Angelov Filipov</v>
      </c>
      <c r="AO494" s="6"/>
    </row>
    <row r="495">
      <c r="A495" s="6" t="str">
        <f>IFERROR(__xludf.DUMMYFUNCTION("""COMPUTED_VALUE"""),"VIKTORIA Holding B.V.")</f>
        <v>VIKTORIA Holding B.V.</v>
      </c>
      <c r="B495" s="6" t="str">
        <f>IFERROR(__xludf.DUMMYFUNCTION("""COMPUTED_VALUE"""),"VIKTORIA Holding B.V.")</f>
        <v>VIKTORIA Holding B.V.</v>
      </c>
      <c r="C495" s="6">
        <f>IFERROR(__xludf.DUMMYFUNCTION("""COMPUTED_VALUE"""),1720.0)</f>
        <v>1720</v>
      </c>
      <c r="D495" s="7" t="str">
        <f>IFERROR(__xludf.DUMMYFUNCTION("""COMPUTED_VALUE"""),"Dijana Cvetković")</f>
        <v>Dijana Cvetković</v>
      </c>
      <c r="E495" s="7" t="str">
        <f>IFERROR(__xludf.DUMMYFUNCTION("""COMPUTED_VALUE"""),"SBI-code: 70102 Holdings (geen financiele")</f>
        <v>SBI-code: 70102 Holdings (geen financiele</v>
      </c>
      <c r="F495" s="7" t="str">
        <f>IFERROR(__xludf.DUMMYFUNCTION("""COMPUTED_VALUE"""),"+31648267306")</f>
        <v>+31648267306</v>
      </c>
      <c r="G495" s="6" t="str">
        <f>IFERROR(__xludf.DUMMYFUNCTION("""COMPUTED_VALUE"""),"viktoriaholding@zzp-nl.nl")</f>
        <v>viktoriaholding@zzp-nl.nl</v>
      </c>
      <c r="H495" s="6" t="str">
        <f>IFERROR(__xludf.DUMMYFUNCTION("""COMPUTED_VALUE"""),"Johanna Reintjesstraat 44")</f>
        <v>Johanna Reintjesstraat 44</v>
      </c>
      <c r="I495" s="6" t="str">
        <f>IFERROR(__xludf.DUMMYFUNCTION("""COMPUTED_VALUE"""),"4822VH")</f>
        <v>4822VH</v>
      </c>
      <c r="J495" s="6" t="str">
        <f>IFERROR(__xludf.DUMMYFUNCTION("""COMPUTED_VALUE"""),"Breda")</f>
        <v>Breda</v>
      </c>
      <c r="K495" s="6" t="str">
        <f>IFERROR(__xludf.DUMMYFUNCTION("""COMPUTED_VALUE"""),"Nederland")</f>
        <v>Nederland</v>
      </c>
      <c r="L495" s="6" t="str">
        <f>IFERROR(__xludf.DUMMYFUNCTION("""COMPUTED_VALUE"""),"Цветкович")</f>
        <v>Цветкович</v>
      </c>
      <c r="M495" s="8">
        <f>IFERROR(__xludf.DUMMYFUNCTION("""COMPUTED_VALUE"""),45883.0)</f>
        <v>45883</v>
      </c>
      <c r="N495" s="6" t="str">
        <f>IFERROR(__xludf.DUMMYFUNCTION("""COMPUTED_VALUE"""),"NL868338333B01")</f>
        <v>NL868338333B01</v>
      </c>
      <c r="O495" s="6">
        <f>IFERROR(__xludf.DUMMYFUNCTION("""COMPUTED_VALUE"""),9.8049887E7)</f>
        <v>98049887</v>
      </c>
      <c r="P495" s="6" t="str">
        <f>IFERROR(__xludf.DUMMYFUNCTION("""COMPUTED_VALUE"""),"NL")</f>
        <v>NL</v>
      </c>
      <c r="Q495" s="9">
        <f>IFERROR(__xludf.DUMMYFUNCTION("""COMPUTED_VALUE"""),45883.0)</f>
        <v>45883</v>
      </c>
      <c r="R495" s="6"/>
      <c r="S495" s="6" t="str">
        <f>IFERROR(__xludf.DUMMYFUNCTION("""COMPUTED_VALUE"""),"NL868338333B01")</f>
        <v>NL868338333B01</v>
      </c>
      <c r="T495" s="6">
        <f>IFERROR(__xludf.DUMMYFUNCTION("""COMPUTED_VALUE"""),8.68338333E8)</f>
        <v>868338333</v>
      </c>
      <c r="U495" s="7" t="str">
        <f>IFERROR(__xludf.DUMMYFUNCTION("""COMPUTED_VALUE"""),"Besloten Vennootschap")</f>
        <v>Besloten Vennootschap</v>
      </c>
      <c r="V495" s="7" t="str">
        <f>IFERROR(__xludf.DUMMYFUNCTION("""COMPUTED_VALUE"""),"000063237377")</f>
        <v>000063237377</v>
      </c>
      <c r="W495" s="6" t="str">
        <f>IFERROR(__xludf.DUMMYFUNCTION("""COMPUTED_VALUE"""),"ink.viktoriaholding.2288aa@zarabota.nl")</f>
        <v>ink.viktoriaholding.2288aa@zarabota.nl</v>
      </c>
      <c r="X495" s="6" t="str">
        <f>IFERROR(__xludf.DUMMYFUNCTION("""COMPUTED_VALUE"""),"ver.viktoriaholding.2288aa@zarabota.nl")</f>
        <v>ver.viktoriaholding.2288aa@zarabota.nl</v>
      </c>
      <c r="Y495" s="6" t="str">
        <f>IFERROR(__xludf.DUMMYFUNCTION("""COMPUTED_VALUE"""),"Hr.")</f>
        <v>Hr.</v>
      </c>
      <c r="Z495" s="6" t="str">
        <f>IFERROR(__xludf.DUMMYFUNCTION("""COMPUTED_VALUE"""),"Dijana")</f>
        <v>Dijana</v>
      </c>
      <c r="AA495" s="6" t="str">
        <f>IFERROR(__xludf.DUMMYFUNCTION("""COMPUTED_VALUE"""),"Cvetkovic")</f>
        <v>Cvetkovic</v>
      </c>
      <c r="AB495" s="6" t="str">
        <f>IFERROR(__xludf.DUMMYFUNCTION("""COMPUTED_VALUE"""),"D.")</f>
        <v>D.</v>
      </c>
      <c r="AC495" s="6">
        <f>IFERROR(__xludf.DUMMYFUNCTION("""COMPUTED_VALUE"""),2.41155472E8)</f>
        <v>241155472</v>
      </c>
      <c r="AD495" s="9">
        <f>IFERROR(__xludf.DUMMYFUNCTION("""COMPUTED_VALUE"""),25653.0)</f>
        <v>25653</v>
      </c>
      <c r="AE495" s="6" t="str">
        <f>IFERROR(__xludf.DUMMYFUNCTION("""COMPUTED_VALUE"""),"bg")</f>
        <v>bg</v>
      </c>
      <c r="AF495" s="6" t="str">
        <f>IFERROR(__xludf.DUMMYFUNCTION("""COMPUTED_VALUE"""),"Leskovac")</f>
        <v>Leskovac</v>
      </c>
      <c r="AG495" s="6" t="str">
        <f>IFERROR(__xludf.DUMMYFUNCTION("""COMPUTED_VALUE"""),"Hr. D. Cvetkovic")</f>
        <v>Hr. D. Cvetkovic</v>
      </c>
      <c r="AH495" s="6"/>
      <c r="AI495" s="6"/>
      <c r="AJ495" s="6" t="str">
        <f>IFERROR(__xludf.DUMMYFUNCTION("""COMPUTED_VALUE"""),"ID Kaart")</f>
        <v>ID Kaart</v>
      </c>
      <c r="AK495" s="6" t="str">
        <f>IFERROR(__xludf.DUMMYFUNCTION("""COMPUTED_VALUE"""),"IV8HKCL34")</f>
        <v>IV8HKCL34</v>
      </c>
      <c r="AL495" s="9">
        <f>IFERROR(__xludf.DUMMYFUNCTION("""COMPUTED_VALUE"""),46043.0)</f>
        <v>46043</v>
      </c>
      <c r="AM495" s="6" t="str">
        <f>IFERROR(__xludf.DUMMYFUNCTION("""COMPUTED_VALUE"""),"Joegoslavië")</f>
        <v>Joegoslavië</v>
      </c>
      <c r="AN495" s="6" t="str">
        <f>IFERROR(__xludf.DUMMYFUNCTION("""COMPUTED_VALUE"""),"Dijana Cvetkovic")</f>
        <v>Dijana Cvetkovic</v>
      </c>
      <c r="AO495" s="6">
        <f>IFERROR(__xludf.DUMMYFUNCTION("""COMPUTED_VALUE"""),1720.0)</f>
        <v>1720</v>
      </c>
    </row>
    <row r="496">
      <c r="A496" s="6" t="str">
        <f>IFERROR(__xludf.DUMMYFUNCTION("""COMPUTED_VALUE"""),"Viktoria schoonmaak 2")</f>
        <v>Viktoria schoonmaak 2</v>
      </c>
      <c r="B496" s="6" t="str">
        <f>IFERROR(__xludf.DUMMYFUNCTION("""COMPUTED_VALUE"""),"Viktoria schoonmaak 2 (OB NIET INDIENEN)")</f>
        <v>Viktoria schoonmaak 2 (OB NIET INDIENEN)</v>
      </c>
      <c r="C496" s="6">
        <f>IFERROR(__xludf.DUMMYFUNCTION("""COMPUTED_VALUE"""),995.0)</f>
        <v>995</v>
      </c>
      <c r="D496" s="7" t="str">
        <f>IFERROR(__xludf.DUMMYFUNCTION("""COMPUTED_VALUE"""),"Dijana Cvetkovic")</f>
        <v>Dijana Cvetkovic</v>
      </c>
      <c r="E496" s="7" t="str">
        <f>IFERROR(__xludf.DUMMYFUNCTION("""COMPUTED_VALUE"""),"SBI-code: 8121 - Interieurreiniging van gebouwen")</f>
        <v>SBI-code: 8121 - Interieurreiniging van gebouwen</v>
      </c>
      <c r="F496" s="7" t="str">
        <f>IFERROR(__xludf.DUMMYFUNCTION("""COMPUTED_VALUE"""),"+310648267306")</f>
        <v>+310648267306</v>
      </c>
      <c r="G496" s="6"/>
      <c r="H496" s="6" t="str">
        <f>IFERROR(__xludf.DUMMYFUNCTION("""COMPUTED_VALUE"""),"Johanna Reintjesstraat 44")</f>
        <v>Johanna Reintjesstraat 44</v>
      </c>
      <c r="I496" s="6" t="str">
        <f>IFERROR(__xludf.DUMMYFUNCTION("""COMPUTED_VALUE"""),"4822VH")</f>
        <v>4822VH</v>
      </c>
      <c r="J496" s="6" t="str">
        <f>IFERROR(__xludf.DUMMYFUNCTION("""COMPUTED_VALUE"""),"Breda")</f>
        <v>Breda</v>
      </c>
      <c r="K496" s="6" t="str">
        <f>IFERROR(__xludf.DUMMYFUNCTION("""COMPUTED_VALUE"""),"Nederland")</f>
        <v>Nederland</v>
      </c>
      <c r="L496" s="6" t="str">
        <f>IFERROR(__xludf.DUMMYFUNCTION("""COMPUTED_VALUE"""),"Цветкович")</f>
        <v>Цветкович</v>
      </c>
      <c r="M496" s="8">
        <f>IFERROR(__xludf.DUMMYFUNCTION("""COMPUTED_VALUE"""),45883.0)</f>
        <v>45883</v>
      </c>
      <c r="N496" s="6" t="str">
        <f>IFERROR(__xludf.DUMMYFUNCTION("""COMPUTED_VALUE"""),"NL241155472B02")</f>
        <v>NL241155472B02</v>
      </c>
      <c r="O496" s="6">
        <f>IFERROR(__xludf.DUMMYFUNCTION("""COMPUTED_VALUE"""),8.1256434E7)</f>
        <v>81256434</v>
      </c>
      <c r="P496" s="6" t="str">
        <f>IFERROR(__xludf.DUMMYFUNCTION("""COMPUTED_VALUE"""),"NL68RABO0379566427")</f>
        <v>NL68RABO0379566427</v>
      </c>
      <c r="Q496" s="9">
        <f>IFERROR(__xludf.DUMMYFUNCTION("""COMPUTED_VALUE"""),44187.0)</f>
        <v>44187</v>
      </c>
      <c r="R496" s="6"/>
      <c r="S496" s="6" t="str">
        <f>IFERROR(__xludf.DUMMYFUNCTION("""COMPUTED_VALUE"""),"NL241155472B02")</f>
        <v>NL241155472B02</v>
      </c>
      <c r="T496" s="6">
        <f>IFERROR(__xludf.DUMMYFUNCTION("""COMPUTED_VALUE"""),2.41155472E8)</f>
        <v>241155472</v>
      </c>
      <c r="U496" s="7" t="str">
        <f>IFERROR(__xludf.DUMMYFUNCTION("""COMPUTED_VALUE"""),"Besloten Vennootschap")</f>
        <v>Besloten Vennootschap</v>
      </c>
      <c r="V496" s="7" t="str">
        <f>IFERROR(__xludf.DUMMYFUNCTION("""COMPUTED_VALUE"""),"000014336332")</f>
        <v>000014336332</v>
      </c>
      <c r="W496" s="6" t="str">
        <f>IFERROR(__xludf.DUMMYFUNCTION("""COMPUTED_VALUE"""),"ink.viktoriaschoon.2288aa@zarabota.nl")</f>
        <v>ink.viktoriaschoon.2288aa@zarabota.nl</v>
      </c>
      <c r="X496" s="6" t="str">
        <f>IFERROR(__xludf.DUMMYFUNCTION("""COMPUTED_VALUE"""),"ver.viktoriaschoon.2288aa@zarabota.nl")</f>
        <v>ver.viktoriaschoon.2288aa@zarabota.nl</v>
      </c>
      <c r="Y496" s="6" t="str">
        <f>IFERROR(__xludf.DUMMYFUNCTION("""COMPUTED_VALUE"""),"Hr.")</f>
        <v>Hr.</v>
      </c>
      <c r="Z496" s="6" t="str">
        <f>IFERROR(__xludf.DUMMYFUNCTION("""COMPUTED_VALUE"""),"Dijana")</f>
        <v>Dijana</v>
      </c>
      <c r="AA496" s="6" t="str">
        <f>IFERROR(__xludf.DUMMYFUNCTION("""COMPUTED_VALUE"""),"Cvetkovic")</f>
        <v>Cvetkovic</v>
      </c>
      <c r="AB496" s="6" t="str">
        <f>IFERROR(__xludf.DUMMYFUNCTION("""COMPUTED_VALUE"""),"D.")</f>
        <v>D.</v>
      </c>
      <c r="AC496" s="6">
        <f>IFERROR(__xludf.DUMMYFUNCTION("""COMPUTED_VALUE"""),2.41155472E8)</f>
        <v>241155472</v>
      </c>
      <c r="AD496" s="9">
        <f>IFERROR(__xludf.DUMMYFUNCTION("""COMPUTED_VALUE"""),25653.0)</f>
        <v>25653</v>
      </c>
      <c r="AE496" s="6" t="str">
        <f>IFERROR(__xludf.DUMMYFUNCTION("""COMPUTED_VALUE"""),"bg")</f>
        <v>bg</v>
      </c>
      <c r="AF496" s="6" t="str">
        <f>IFERROR(__xludf.DUMMYFUNCTION("""COMPUTED_VALUE"""),"Leskovac")</f>
        <v>Leskovac</v>
      </c>
      <c r="AG496" s="6" t="str">
        <f>IFERROR(__xludf.DUMMYFUNCTION("""COMPUTED_VALUE"""),"Hr. D. Cvetkovic")</f>
        <v>Hr. D. Cvetkovic</v>
      </c>
      <c r="AH496" s="6"/>
      <c r="AI496" s="6"/>
      <c r="AJ496" s="6" t="str">
        <f>IFERROR(__xludf.DUMMYFUNCTION("""COMPUTED_VALUE"""),"ID Kaart")</f>
        <v>ID Kaart</v>
      </c>
      <c r="AK496" s="6" t="str">
        <f>IFERROR(__xludf.DUMMYFUNCTION("""COMPUTED_VALUE"""),"IV8HKCL34")</f>
        <v>IV8HKCL34</v>
      </c>
      <c r="AL496" s="9">
        <f>IFERROR(__xludf.DUMMYFUNCTION("""COMPUTED_VALUE"""),46043.0)</f>
        <v>46043</v>
      </c>
      <c r="AM496" s="6" t="str">
        <f>IFERROR(__xludf.DUMMYFUNCTION("""COMPUTED_VALUE"""),"Joegoslavië")</f>
        <v>Joegoslavië</v>
      </c>
      <c r="AN496" s="6" t="str">
        <f>IFERROR(__xludf.DUMMYFUNCTION("""COMPUTED_VALUE"""),"Dijana Cvetkovic")</f>
        <v>Dijana Cvetkovic</v>
      </c>
      <c r="AO496" s="6">
        <f>IFERROR(__xludf.DUMMYFUNCTION("""COMPUTED_VALUE"""),995.0)</f>
        <v>995</v>
      </c>
    </row>
    <row r="497">
      <c r="A497" s="6" t="str">
        <f>IFERROR(__xludf.DUMMYFUNCTION("""COMPUTED_VALUE"""),"VIKTORIA Schoonmaakbedrijf B.V.")</f>
        <v>VIKTORIA Schoonmaakbedrijf B.V.</v>
      </c>
      <c r="B497" s="6" t="str">
        <f>IFERROR(__xludf.DUMMYFUNCTION("""COMPUTED_VALUE"""),"VIKTORIA Schoonmaakbedrijf B.V.")</f>
        <v>VIKTORIA Schoonmaakbedrijf B.V.</v>
      </c>
      <c r="C497" s="6">
        <f>IFERROR(__xludf.DUMMYFUNCTION("""COMPUTED_VALUE"""),1721.0)</f>
        <v>1721</v>
      </c>
      <c r="D497" s="7" t="str">
        <f>IFERROR(__xludf.DUMMYFUNCTION("""COMPUTED_VALUE"""),"Dijana Cvetkovic")</f>
        <v>Dijana Cvetkovic</v>
      </c>
      <c r="E497" s="7" t="str">
        <f>IFERROR(__xludf.DUMMYFUNCTION("""COMPUTED_VALUE"""),"SBI-code: 8121 - Interieurreiniging van gebouwen")</f>
        <v>SBI-code: 8121 - Interieurreiniging van gebouwen</v>
      </c>
      <c r="F497" s="7" t="str">
        <f>IFERROR(__xludf.DUMMYFUNCTION("""COMPUTED_VALUE"""),"0648267306")</f>
        <v>0648267306</v>
      </c>
      <c r="G497" s="6" t="str">
        <f>IFERROR(__xludf.DUMMYFUNCTION("""COMPUTED_VALUE"""),"dijana-@live.nl")</f>
        <v>dijana-@live.nl</v>
      </c>
      <c r="H497" s="6" t="str">
        <f>IFERROR(__xludf.DUMMYFUNCTION("""COMPUTED_VALUE"""),"Johanna Reintjesstraat 44")</f>
        <v>Johanna Reintjesstraat 44</v>
      </c>
      <c r="I497" s="6" t="str">
        <f>IFERROR(__xludf.DUMMYFUNCTION("""COMPUTED_VALUE"""),"4822VH")</f>
        <v>4822VH</v>
      </c>
      <c r="J497" s="6" t="str">
        <f>IFERROR(__xludf.DUMMYFUNCTION("""COMPUTED_VALUE"""),"Breda")</f>
        <v>Breda</v>
      </c>
      <c r="K497" s="6" t="str">
        <f>IFERROR(__xludf.DUMMYFUNCTION("""COMPUTED_VALUE"""),"Nederland")</f>
        <v>Nederland</v>
      </c>
      <c r="L497" s="6" t="str">
        <f>IFERROR(__xludf.DUMMYFUNCTION("""COMPUTED_VALUE"""),"Цветкович")</f>
        <v>Цветкович</v>
      </c>
      <c r="M497" s="8">
        <f>IFERROR(__xludf.DUMMYFUNCTION("""COMPUTED_VALUE"""),45883.0)</f>
        <v>45883</v>
      </c>
      <c r="N497" s="6" t="str">
        <f>IFERROR(__xludf.DUMMYFUNCTION("""COMPUTED_VALUE"""),"NL868339830B01")</f>
        <v>NL868339830B01</v>
      </c>
      <c r="O497" s="6">
        <f>IFERROR(__xludf.DUMMYFUNCTION("""COMPUTED_VALUE"""),9.8052985E7)</f>
        <v>98052985</v>
      </c>
      <c r="P497" s="6" t="str">
        <f>IFERROR(__xludf.DUMMYFUNCTION("""COMPUTED_VALUE"""),"NL04ABNA0446539503")</f>
        <v>NL04ABNA0446539503</v>
      </c>
      <c r="Q497" s="9">
        <f>IFERROR(__xludf.DUMMYFUNCTION("""COMPUTED_VALUE"""),45883.0)</f>
        <v>45883</v>
      </c>
      <c r="R497" s="6"/>
      <c r="S497" s="6" t="str">
        <f>IFERROR(__xludf.DUMMYFUNCTION("""COMPUTED_VALUE"""),"NL868339830B01")</f>
        <v>NL868339830B01</v>
      </c>
      <c r="T497" s="6">
        <f>IFERROR(__xludf.DUMMYFUNCTION("""COMPUTED_VALUE"""),8.6833983E8)</f>
        <v>868339830</v>
      </c>
      <c r="U497" s="7" t="str">
        <f>IFERROR(__xludf.DUMMYFUNCTION("""COMPUTED_VALUE"""),"Besloten Vennootschap")</f>
        <v>Besloten Vennootschap</v>
      </c>
      <c r="V497" s="7" t="str">
        <f>IFERROR(__xludf.DUMMYFUNCTION("""COMPUTED_VALUE"""),"000063240335")</f>
        <v>000063240335</v>
      </c>
      <c r="W497" s="6" t="str">
        <f>IFERROR(__xludf.DUMMYFUNCTION("""COMPUTED_VALUE"""),"ink.viktoriaschoon.2288aa@zarabota.nl")</f>
        <v>ink.viktoriaschoon.2288aa@zarabota.nl</v>
      </c>
      <c r="X497" s="6" t="str">
        <f>IFERROR(__xludf.DUMMYFUNCTION("""COMPUTED_VALUE"""),"ver.viktoriaschoon.2288aa@zarabota.nl")</f>
        <v>ver.viktoriaschoon.2288aa@zarabota.nl</v>
      </c>
      <c r="Y497" s="6" t="str">
        <f>IFERROR(__xludf.DUMMYFUNCTION("""COMPUTED_VALUE"""),"Hr.")</f>
        <v>Hr.</v>
      </c>
      <c r="Z497" s="6" t="str">
        <f>IFERROR(__xludf.DUMMYFUNCTION("""COMPUTED_VALUE"""),"Dijana")</f>
        <v>Dijana</v>
      </c>
      <c r="AA497" s="6" t="str">
        <f>IFERROR(__xludf.DUMMYFUNCTION("""COMPUTED_VALUE"""),"Cvetkovic")</f>
        <v>Cvetkovic</v>
      </c>
      <c r="AB497" s="6" t="str">
        <f>IFERROR(__xludf.DUMMYFUNCTION("""COMPUTED_VALUE"""),"D.")</f>
        <v>D.</v>
      </c>
      <c r="AC497" s="6">
        <f>IFERROR(__xludf.DUMMYFUNCTION("""COMPUTED_VALUE"""),2.41155472E8)</f>
        <v>241155472</v>
      </c>
      <c r="AD497" s="9">
        <f>IFERROR(__xludf.DUMMYFUNCTION("""COMPUTED_VALUE"""),25653.0)</f>
        <v>25653</v>
      </c>
      <c r="AE497" s="6" t="str">
        <f>IFERROR(__xludf.DUMMYFUNCTION("""COMPUTED_VALUE"""),"bg")</f>
        <v>bg</v>
      </c>
      <c r="AF497" s="6" t="str">
        <f>IFERROR(__xludf.DUMMYFUNCTION("""COMPUTED_VALUE"""),"Leskovac")</f>
        <v>Leskovac</v>
      </c>
      <c r="AG497" s="6" t="str">
        <f>IFERROR(__xludf.DUMMYFUNCTION("""COMPUTED_VALUE"""),"Hr. D. Cvetkovic")</f>
        <v>Hr. D. Cvetkovic</v>
      </c>
      <c r="AH497" s="6"/>
      <c r="AI497" s="6"/>
      <c r="AJ497" s="6" t="str">
        <f>IFERROR(__xludf.DUMMYFUNCTION("""COMPUTED_VALUE"""),"ID Kaart")</f>
        <v>ID Kaart</v>
      </c>
      <c r="AK497" s="6" t="str">
        <f>IFERROR(__xludf.DUMMYFUNCTION("""COMPUTED_VALUE"""),"IV8HKCL34")</f>
        <v>IV8HKCL34</v>
      </c>
      <c r="AL497" s="9">
        <f>IFERROR(__xludf.DUMMYFUNCTION("""COMPUTED_VALUE"""),46043.0)</f>
        <v>46043</v>
      </c>
      <c r="AM497" s="6" t="str">
        <f>IFERROR(__xludf.DUMMYFUNCTION("""COMPUTED_VALUE"""),"Joegoslavië")</f>
        <v>Joegoslavië</v>
      </c>
      <c r="AN497" s="6" t="str">
        <f>IFERROR(__xludf.DUMMYFUNCTION("""COMPUTED_VALUE"""),"Dijana Cvetkovic")</f>
        <v>Dijana Cvetkovic</v>
      </c>
      <c r="AO497" s="6">
        <f>IFERROR(__xludf.DUMMYFUNCTION("""COMPUTED_VALUE"""),1721.0)</f>
        <v>1721</v>
      </c>
    </row>
    <row r="498">
      <c r="A498" s="6" t="str">
        <f>IFERROR(__xludf.DUMMYFUNCTION("""COMPUTED_VALUE"""),"VMF Services VOF")</f>
        <v>VMF Services VOF</v>
      </c>
      <c r="B498" s="6" t="str">
        <f>IFERROR(__xludf.DUMMYFUNCTION("""COMPUTED_VALUE"""),"VMF Services VOF")</f>
        <v>VMF Services VOF</v>
      </c>
      <c r="C498" s="6">
        <f>IFERROR(__xludf.DUMMYFUNCTION("""COMPUTED_VALUE"""),1009.0)</f>
        <v>1009</v>
      </c>
      <c r="D498" s="7" t="str">
        <f>IFERROR(__xludf.DUMMYFUNCTION("""COMPUTED_VALUE"""),"Aleksandar Gulev")</f>
        <v>Aleksandar Gulev</v>
      </c>
      <c r="E498" s="7" t="str">
        <f>IFERROR(__xludf.DUMMYFUNCTION("""COMPUTED_VALUE"""),"SBI-code: 4120 - Algemene burgerlijke en utiliteitsbouw")</f>
        <v>SBI-code: 4120 - Algemene burgerlijke en utiliteitsbouw</v>
      </c>
      <c r="F498" s="7" t="str">
        <f>IFERROR(__xludf.DUMMYFUNCTION("""COMPUTED_VALUE"""),"0651934850")</f>
        <v>0651934850</v>
      </c>
      <c r="G498" s="6" t="str">
        <f>IFERROR(__xludf.DUMMYFUNCTION("""COMPUTED_VALUE"""),"agulev@mail.ru")</f>
        <v>agulev@mail.ru</v>
      </c>
      <c r="H498" s="6" t="str">
        <f>IFERROR(__xludf.DUMMYFUNCTION("""COMPUTED_VALUE"""),"Pluvierstraat 181")</f>
        <v>Pluvierstraat 181</v>
      </c>
      <c r="I498" s="6" t="str">
        <f>IFERROR(__xludf.DUMMYFUNCTION("""COMPUTED_VALUE"""),"2583GM")</f>
        <v>2583GM</v>
      </c>
      <c r="J498" s="6" t="str">
        <f>IFERROR(__xludf.DUMMYFUNCTION("""COMPUTED_VALUE"""),"s-Gravenhage")</f>
        <v>s-Gravenhage</v>
      </c>
      <c r="K498" s="6" t="str">
        <f>IFERROR(__xludf.DUMMYFUNCTION("""COMPUTED_VALUE"""),"Nederland")</f>
        <v>Nederland</v>
      </c>
      <c r="L498" s="6" t="str">
        <f>IFERROR(__xludf.DUMMYFUNCTION("""COMPUTED_VALUE"""),"Гулев")</f>
        <v>Гулев</v>
      </c>
      <c r="M498" s="8">
        <f>IFERROR(__xludf.DUMMYFUNCTION("""COMPUTED_VALUE"""),44013.0)</f>
        <v>44013</v>
      </c>
      <c r="N498" s="6" t="str">
        <f>IFERROR(__xludf.DUMMYFUNCTION("""COMPUTED_VALUE"""),"NL861482670B01")</f>
        <v>NL861482670B01</v>
      </c>
      <c r="O498" s="6">
        <f>IFERROR(__xludf.DUMMYFUNCTION("""COMPUTED_VALUE"""),7.864861E7)</f>
        <v>78648610</v>
      </c>
      <c r="P498" s="6" t="str">
        <f>IFERROR(__xludf.DUMMYFUNCTION("""COMPUTED_VALUE"""),"NL25INGB0008349233")</f>
        <v>NL25INGB0008349233</v>
      </c>
      <c r="Q498" s="9">
        <f>IFERROR(__xludf.DUMMYFUNCTION("""COMPUTED_VALUE"""),44013.0)</f>
        <v>44013</v>
      </c>
      <c r="R498" s="6"/>
      <c r="S498" s="6" t="str">
        <f>IFERROR(__xludf.DUMMYFUNCTION("""COMPUTED_VALUE"""),"NL861482670B01")</f>
        <v>NL861482670B01</v>
      </c>
      <c r="T498" s="6">
        <f>IFERROR(__xludf.DUMMYFUNCTION("""COMPUTED_VALUE"""),8.6148267E8)</f>
        <v>861482670</v>
      </c>
      <c r="U498" s="7" t="str">
        <f>IFERROR(__xludf.DUMMYFUNCTION("""COMPUTED_VALUE"""),"Vennootschap Onder Firma")</f>
        <v>Vennootschap Onder Firma</v>
      </c>
      <c r="V498" s="7" t="str">
        <f>IFERROR(__xludf.DUMMYFUNCTION("""COMPUTED_VALUE"""),"000039823326")</f>
        <v>000039823326</v>
      </c>
      <c r="W498" s="6" t="str">
        <f>IFERROR(__xludf.DUMMYFUNCTION("""COMPUTED_VALUE"""),"ink.vmfservicesvof.2288aa@zarabota.nl")</f>
        <v>ink.vmfservicesvof.2288aa@zarabota.nl</v>
      </c>
      <c r="X498" s="6" t="str">
        <f>IFERROR(__xludf.DUMMYFUNCTION("""COMPUTED_VALUE"""),"ver.vmfservicesvof.2288aa@zarabota.nl")</f>
        <v>ver.vmfservicesvof.2288aa@zarabota.nl</v>
      </c>
      <c r="Y498" s="6" t="str">
        <f>IFERROR(__xludf.DUMMYFUNCTION("""COMPUTED_VALUE"""),"Hr.")</f>
        <v>Hr.</v>
      </c>
      <c r="Z498" s="6" t="str">
        <f>IFERROR(__xludf.DUMMYFUNCTION("""COMPUTED_VALUE"""),"Aleksandar")</f>
        <v>Aleksandar</v>
      </c>
      <c r="AA498" s="6" t="str">
        <f>IFERROR(__xludf.DUMMYFUNCTION("""COMPUTED_VALUE"""),"Gulev")</f>
        <v>Gulev</v>
      </c>
      <c r="AB498" s="6" t="str">
        <f>IFERROR(__xludf.DUMMYFUNCTION("""COMPUTED_VALUE"""),"A.")</f>
        <v>A.</v>
      </c>
      <c r="AC498" s="6">
        <f>IFERROR(__xludf.DUMMYFUNCTION("""COMPUTED_VALUE"""),3.54122599E8)</f>
        <v>354122599</v>
      </c>
      <c r="AD498" s="9">
        <f>IFERROR(__xludf.DUMMYFUNCTION("""COMPUTED_VALUE"""),28916.0)</f>
        <v>28916</v>
      </c>
      <c r="AE498" s="6" t="str">
        <f>IFERROR(__xludf.DUMMYFUNCTION("""COMPUTED_VALUE"""),"mc")</f>
        <v>mc</v>
      </c>
      <c r="AF498" s="6" t="str">
        <f>IFERROR(__xludf.DUMMYFUNCTION("""COMPUTED_VALUE"""),"Skopje")</f>
        <v>Skopje</v>
      </c>
      <c r="AG498" s="6" t="str">
        <f>IFERROR(__xludf.DUMMYFUNCTION("""COMPUTED_VALUE"""),"Hr. A. Gulev")</f>
        <v>Hr. A. Gulev</v>
      </c>
      <c r="AH498" s="6" t="str">
        <f>IFERROR(__xludf.DUMMYFUNCTION("""COMPUTED_VALUE"""),"NL52INGB0666496269")</f>
        <v>NL52INGB0666496269</v>
      </c>
      <c r="AI498" s="9">
        <f>IFERROR(__xludf.DUMMYFUNCTION("""COMPUTED_VALUE"""),43225.0)</f>
        <v>43225</v>
      </c>
      <c r="AJ498" s="6" t="str">
        <f>IFERROR(__xludf.DUMMYFUNCTION("""COMPUTED_VALUE"""),"ID Kaart")</f>
        <v>ID Kaart</v>
      </c>
      <c r="AK498" s="6">
        <f>IFERROR(__xludf.DUMMYFUNCTION("""COMPUTED_VALUE"""),6.47481481E8)</f>
        <v>647481481</v>
      </c>
      <c r="AL498" s="9">
        <f>IFERROR(__xludf.DUMMYFUNCTION("""COMPUTED_VALUE"""),46813.0)</f>
        <v>46813</v>
      </c>
      <c r="AM498" s="6" t="str">
        <f>IFERROR(__xludf.DUMMYFUNCTION("""COMPUTED_VALUE"""),"Noord-Macedonië")</f>
        <v>Noord-Macedonië</v>
      </c>
      <c r="AN498" s="6" t="str">
        <f>IFERROR(__xludf.DUMMYFUNCTION("""COMPUTED_VALUE"""),"Aleksandar Gulev")</f>
        <v>Aleksandar Gulev</v>
      </c>
      <c r="AO498" s="6"/>
    </row>
    <row r="499">
      <c r="A499" s="6" t="str">
        <f>IFERROR(__xludf.DUMMYFUNCTION("""COMPUTED_VALUE"""),"VNV Beheer B.V.")</f>
        <v>VNV Beheer B.V.</v>
      </c>
      <c r="B499" s="6" t="str">
        <f>IFERROR(__xludf.DUMMYFUNCTION("""COMPUTED_VALUE"""),"VNV Beheer B.V.")</f>
        <v>VNV Beheer B.V.</v>
      </c>
      <c r="C499" s="6">
        <f>IFERROR(__xludf.DUMMYFUNCTION("""COMPUTED_VALUE"""),636.0)</f>
        <v>636</v>
      </c>
      <c r="D499" s="7" t="str">
        <f>IFERROR(__xludf.DUMMYFUNCTION("""COMPUTED_VALUE"""),"Nikolay Valentinov Nikiforov")</f>
        <v>Nikolay Valentinov Nikiforov</v>
      </c>
      <c r="E499" s="7" t="str">
        <f>IFERROR(__xludf.DUMMYFUNCTION("""COMPUTED_VALUE"""),"SBI-code: 4120 - Algemene burgerlijke en utiliteitsbouw")</f>
        <v>SBI-code: 4120 - Algemene burgerlijke en utiliteitsbouw</v>
      </c>
      <c r="F499" s="7" t="str">
        <f>IFERROR(__xludf.DUMMYFUNCTION("""COMPUTED_VALUE"""),"+359899848323")</f>
        <v>+359899848323</v>
      </c>
      <c r="G499" s="6" t="str">
        <f>IFERROR(__xludf.DUMMYFUNCTION("""COMPUTED_VALUE"""),"vnvtrans@zzp-nl.nl")</f>
        <v>vnvtrans@zzp-nl.nl</v>
      </c>
      <c r="H499" s="6" t="str">
        <f>IFERROR(__xludf.DUMMYFUNCTION("""COMPUTED_VALUE"""),"Kerktorenstraat 13")</f>
        <v>Kerktorenstraat 13</v>
      </c>
      <c r="I499" s="6" t="str">
        <f>IFERROR(__xludf.DUMMYFUNCTION("""COMPUTED_VALUE"""),"5503 PA")</f>
        <v>5503 PA</v>
      </c>
      <c r="J499" s="6" t="str">
        <f>IFERROR(__xludf.DUMMYFUNCTION("""COMPUTED_VALUE"""),"Veldhoven")</f>
        <v>Veldhoven</v>
      </c>
      <c r="K499" s="6" t="str">
        <f>IFERROR(__xludf.DUMMYFUNCTION("""COMPUTED_VALUE"""),"Nederland")</f>
        <v>Nederland</v>
      </c>
      <c r="L499" s="6" t="str">
        <f>IFERROR(__xludf.DUMMYFUNCTION("""COMPUTED_VALUE"""),"Никифоров")</f>
        <v>Никифоров</v>
      </c>
      <c r="M499" s="8">
        <f>IFERROR(__xludf.DUMMYFUNCTION("""COMPUTED_VALUE"""),43371.0)</f>
        <v>43371</v>
      </c>
      <c r="N499" s="6" t="str">
        <f>IFERROR(__xludf.DUMMYFUNCTION("""COMPUTED_VALUE"""),"NL859204418B01")</f>
        <v>NL859204418B01</v>
      </c>
      <c r="O499" s="6">
        <f>IFERROR(__xludf.DUMMYFUNCTION("""COMPUTED_VALUE"""),7.2702176E7)</f>
        <v>72702176</v>
      </c>
      <c r="P499" s="6" t="str">
        <f>IFERROR(__xludf.DUMMYFUNCTION("""COMPUTED_VALUE"""),"NL20INGB0009033464")</f>
        <v>NL20INGB0009033464</v>
      </c>
      <c r="Q499" s="9">
        <f>IFERROR(__xludf.DUMMYFUNCTION("""COMPUTED_VALUE"""),43371.0)</f>
        <v>43371</v>
      </c>
      <c r="R499" s="6"/>
      <c r="S499" s="6" t="str">
        <f>IFERROR(__xludf.DUMMYFUNCTION("""COMPUTED_VALUE"""),"NL859204418B01")</f>
        <v>NL859204418B01</v>
      </c>
      <c r="T499" s="6">
        <f>IFERROR(__xludf.DUMMYFUNCTION("""COMPUTED_VALUE"""),8.59204418E8)</f>
        <v>859204418</v>
      </c>
      <c r="U499" s="7" t="str">
        <f>IFERROR(__xludf.DUMMYFUNCTION("""COMPUTED_VALUE"""),"Besloten Vennootschap")</f>
        <v>Besloten Vennootschap</v>
      </c>
      <c r="V499" s="7" t="str">
        <f>IFERROR(__xludf.DUMMYFUNCTION("""COMPUTED_VALUE"""),"000040796450")</f>
        <v>000040796450</v>
      </c>
      <c r="W499" s="6" t="str">
        <f>IFERROR(__xludf.DUMMYFUNCTION("""COMPUTED_VALUE"""),"ink.vnvbeheerbv.2288aa@zarabota.nl")</f>
        <v>ink.vnvbeheerbv.2288aa@zarabota.nl</v>
      </c>
      <c r="X499" s="6" t="str">
        <f>IFERROR(__xludf.DUMMYFUNCTION("""COMPUTED_VALUE"""),"ver.vnvbeheerbv.2288aa@zarabota.nl")</f>
        <v>ver.vnvbeheerbv.2288aa@zarabota.nl</v>
      </c>
      <c r="Y499" s="6" t="str">
        <f>IFERROR(__xludf.DUMMYFUNCTION("""COMPUTED_VALUE"""),"Hr.")</f>
        <v>Hr.</v>
      </c>
      <c r="Z499" s="6" t="str">
        <f>IFERROR(__xludf.DUMMYFUNCTION("""COMPUTED_VALUE"""),"Nikolay Valentinov")</f>
        <v>Nikolay Valentinov</v>
      </c>
      <c r="AA499" s="6" t="str">
        <f>IFERROR(__xludf.DUMMYFUNCTION("""COMPUTED_VALUE"""),"Nikiforov")</f>
        <v>Nikiforov</v>
      </c>
      <c r="AB499" s="6" t="str">
        <f>IFERROR(__xludf.DUMMYFUNCTION("""COMPUTED_VALUE"""),"N.V.")</f>
        <v>N.V.</v>
      </c>
      <c r="AC499" s="6">
        <f>IFERROR(__xludf.DUMMYFUNCTION("""COMPUTED_VALUE"""),5.84059899E8)</f>
        <v>584059899</v>
      </c>
      <c r="AD499" s="9">
        <f>IFERROR(__xludf.DUMMYFUNCTION("""COMPUTED_VALUE"""),27948.0)</f>
        <v>27948</v>
      </c>
      <c r="AE499" s="6" t="str">
        <f>IFERROR(__xludf.DUMMYFUNCTION("""COMPUTED_VALUE"""),"bg")</f>
        <v>bg</v>
      </c>
      <c r="AF499" s="6" t="str">
        <f>IFERROR(__xludf.DUMMYFUNCTION("""COMPUTED_VALUE"""),"Pernik")</f>
        <v>Pernik</v>
      </c>
      <c r="AG499" s="6" t="str">
        <f>IFERROR(__xludf.DUMMYFUNCTION("""COMPUTED_VALUE"""),"Hr. N.V. Nikiforov")</f>
        <v>Hr. N.V. Nikiforov</v>
      </c>
      <c r="AH499" s="6"/>
      <c r="AI499" s="6"/>
      <c r="AJ499" s="6"/>
      <c r="AK499" s="6"/>
      <c r="AL499" s="6"/>
      <c r="AM499" s="6" t="str">
        <f>IFERROR(__xludf.DUMMYFUNCTION("""COMPUTED_VALUE"""),"Bulgarije")</f>
        <v>Bulgarije</v>
      </c>
      <c r="AN499" s="6" t="str">
        <f>IFERROR(__xludf.DUMMYFUNCTION("""COMPUTED_VALUE"""),"Nikolay Valentinov Nikiforov")</f>
        <v>Nikolay Valentinov Nikiforov</v>
      </c>
      <c r="AO499" s="6"/>
    </row>
    <row r="500">
      <c r="A500" s="6" t="str">
        <f>IFERROR(__xludf.DUMMYFUNCTION("""COMPUTED_VALUE"""),"VNV Globe Trans BV")</f>
        <v>VNV Globe Trans BV</v>
      </c>
      <c r="B500" s="6" t="str">
        <f>IFERROR(__xludf.DUMMYFUNCTION("""COMPUTED_VALUE"""),"VNV Globe Trans BV")</f>
        <v>VNV Globe Trans BV</v>
      </c>
      <c r="C500" s="6">
        <f>IFERROR(__xludf.DUMMYFUNCTION("""COMPUTED_VALUE"""),384.0)</f>
        <v>384</v>
      </c>
      <c r="D500" s="7" t="str">
        <f>IFERROR(__xludf.DUMMYFUNCTION("""COMPUTED_VALUE"""),"Nikolay Valentinov Nikiforov")</f>
        <v>Nikolay Valentinov Nikiforov</v>
      </c>
      <c r="E500" s="7" t="str">
        <f>IFERROR(__xludf.DUMMYFUNCTION("""COMPUTED_VALUE"""),"SBI-code: 4120 - Algemene burgerlijke en utiliteitsbouw")</f>
        <v>SBI-code: 4120 - Algemene burgerlijke en utiliteitsbouw</v>
      </c>
      <c r="F500" s="7" t="str">
        <f>IFERROR(__xludf.DUMMYFUNCTION("""COMPUTED_VALUE"""),"0614568869")</f>
        <v>0614568869</v>
      </c>
      <c r="G500" s="6" t="str">
        <f>IFERROR(__xludf.DUMMYFUNCTION("""COMPUTED_VALUE"""),"vnvglobe@gmail.com")</f>
        <v>vnvglobe@gmail.com</v>
      </c>
      <c r="H500" s="6" t="str">
        <f>IFERROR(__xludf.DUMMYFUNCTION("""COMPUTED_VALUE"""),"Kerktorenstraat 13")</f>
        <v>Kerktorenstraat 13</v>
      </c>
      <c r="I500" s="6" t="str">
        <f>IFERROR(__xludf.DUMMYFUNCTION("""COMPUTED_VALUE"""),"5503PA")</f>
        <v>5503PA</v>
      </c>
      <c r="J500" s="6" t="str">
        <f>IFERROR(__xludf.DUMMYFUNCTION("""COMPUTED_VALUE"""),"Veldhoven")</f>
        <v>Veldhoven</v>
      </c>
      <c r="K500" s="6" t="str">
        <f>IFERROR(__xludf.DUMMYFUNCTION("""COMPUTED_VALUE"""),"Nederland")</f>
        <v>Nederland</v>
      </c>
      <c r="L500" s="6" t="str">
        <f>IFERROR(__xludf.DUMMYFUNCTION("""COMPUTED_VALUE"""),"Никифоров")</f>
        <v>Никифоров</v>
      </c>
      <c r="M500" s="8">
        <f>IFERROR(__xludf.DUMMYFUNCTION("""COMPUTED_VALUE"""),43175.0)</f>
        <v>43175</v>
      </c>
      <c r="N500" s="6" t="str">
        <f>IFERROR(__xludf.DUMMYFUNCTION("""COMPUTED_VALUE"""),"NL857257079B01")</f>
        <v>NL857257079B01</v>
      </c>
      <c r="O500" s="6">
        <f>IFERROR(__xludf.DUMMYFUNCTION("""COMPUTED_VALUE"""),6.7992706E7)</f>
        <v>67992706</v>
      </c>
      <c r="P500" s="6" t="str">
        <f>IFERROR(__xludf.DUMMYFUNCTION("""COMPUTED_VALUE"""),"NL32INGB0007772442")</f>
        <v>NL32INGB0007772442</v>
      </c>
      <c r="Q500" s="9">
        <f>IFERROR(__xludf.DUMMYFUNCTION("""COMPUTED_VALUE"""),42768.0)</f>
        <v>42768</v>
      </c>
      <c r="R500" s="6"/>
      <c r="S500" s="6" t="str">
        <f>IFERROR(__xludf.DUMMYFUNCTION("""COMPUTED_VALUE"""),"NL857257079B01")</f>
        <v>NL857257079B01</v>
      </c>
      <c r="T500" s="6">
        <f>IFERROR(__xludf.DUMMYFUNCTION("""COMPUTED_VALUE"""),8.57257079E8)</f>
        <v>857257079</v>
      </c>
      <c r="U500" s="7" t="str">
        <f>IFERROR(__xludf.DUMMYFUNCTION("""COMPUTED_VALUE"""),"Besloten Vennootschap")</f>
        <v>Besloten Vennootschap</v>
      </c>
      <c r="V500" s="7" t="str">
        <f>IFERROR(__xludf.DUMMYFUNCTION("""COMPUTED_VALUE"""),"000036473537")</f>
        <v>000036473537</v>
      </c>
      <c r="W500" s="6" t="str">
        <f>IFERROR(__xludf.DUMMYFUNCTION("""COMPUTED_VALUE"""),"ink.vnvglobetransbv.2288aa@zarabota.nl")</f>
        <v>ink.vnvglobetransbv.2288aa@zarabota.nl</v>
      </c>
      <c r="X500" s="6" t="str">
        <f>IFERROR(__xludf.DUMMYFUNCTION("""COMPUTED_VALUE"""),"ver.vnvglobetransbv.2288aa@zarabota.nl")</f>
        <v>ver.vnvglobetransbv.2288aa@zarabota.nl</v>
      </c>
      <c r="Y500" s="6" t="str">
        <f>IFERROR(__xludf.DUMMYFUNCTION("""COMPUTED_VALUE"""),"Hr.")</f>
        <v>Hr.</v>
      </c>
      <c r="Z500" s="6" t="str">
        <f>IFERROR(__xludf.DUMMYFUNCTION("""COMPUTED_VALUE"""),"Nikolay Valentinov")</f>
        <v>Nikolay Valentinov</v>
      </c>
      <c r="AA500" s="6" t="str">
        <f>IFERROR(__xludf.DUMMYFUNCTION("""COMPUTED_VALUE"""),"Nikiforov")</f>
        <v>Nikiforov</v>
      </c>
      <c r="AB500" s="6" t="str">
        <f>IFERROR(__xludf.DUMMYFUNCTION("""COMPUTED_VALUE"""),"N.V.")</f>
        <v>N.V.</v>
      </c>
      <c r="AC500" s="6">
        <f>IFERROR(__xludf.DUMMYFUNCTION("""COMPUTED_VALUE"""),5.84059899E8)</f>
        <v>584059899</v>
      </c>
      <c r="AD500" s="9">
        <f>IFERROR(__xludf.DUMMYFUNCTION("""COMPUTED_VALUE"""),27948.0)</f>
        <v>27948</v>
      </c>
      <c r="AE500" s="6" t="str">
        <f>IFERROR(__xludf.DUMMYFUNCTION("""COMPUTED_VALUE"""),"bg")</f>
        <v>bg</v>
      </c>
      <c r="AF500" s="6" t="str">
        <f>IFERROR(__xludf.DUMMYFUNCTION("""COMPUTED_VALUE"""),"Pernik")</f>
        <v>Pernik</v>
      </c>
      <c r="AG500" s="6" t="str">
        <f>IFERROR(__xludf.DUMMYFUNCTION("""COMPUTED_VALUE"""),"Hr. N.V. Nikiforov")</f>
        <v>Hr. N.V. Nikiforov</v>
      </c>
      <c r="AH500" s="6"/>
      <c r="AI500" s="6"/>
      <c r="AJ500" s="6"/>
      <c r="AK500" s="6"/>
      <c r="AL500" s="6"/>
      <c r="AM500" s="6" t="str">
        <f>IFERROR(__xludf.DUMMYFUNCTION("""COMPUTED_VALUE"""),"Bulgarije")</f>
        <v>Bulgarije</v>
      </c>
      <c r="AN500" s="6" t="str">
        <f>IFERROR(__xludf.DUMMYFUNCTION("""COMPUTED_VALUE"""),"Nikolay Valentinov Nikiforov")</f>
        <v>Nikolay Valentinov Nikiforov</v>
      </c>
      <c r="AO500" s="6"/>
    </row>
    <row r="501">
      <c r="A501" s="6" t="str">
        <f>IFERROR(__xludf.DUMMYFUNCTION("""COMPUTED_VALUE"""),"VTB Bouw VOF")</f>
        <v>VTB Bouw VOF</v>
      </c>
      <c r="B501" s="6" t="str">
        <f>IFERROR(__xludf.DUMMYFUNCTION("""COMPUTED_VALUE"""),"VTB Bouw VOF")</f>
        <v>VTB Bouw VOF</v>
      </c>
      <c r="C501" s="6">
        <f>IFERROR(__xludf.DUMMYFUNCTION("""COMPUTED_VALUE"""),1136.0)</f>
        <v>1136</v>
      </c>
      <c r="D501" s="7" t="str">
        <f>IFERROR(__xludf.DUMMYFUNCTION("""COMPUTED_VALUE"""),"Vladislav Asenov Sandev")</f>
        <v>Vladislav Asenov Sandev</v>
      </c>
      <c r="E501" s="7" t="str">
        <f>IFERROR(__xludf.DUMMYFUNCTION("""COMPUTED_VALUE"""),"SBI-code: 4120 - Algemene burgerlijke en utiliteitsbouw")</f>
        <v>SBI-code: 4120 - Algemene burgerlijke en utiliteitsbouw</v>
      </c>
      <c r="F501" s="7" t="str">
        <f>IFERROR(__xludf.DUMMYFUNCTION("""COMPUTED_VALUE"""),"0682525537")</f>
        <v>0682525537</v>
      </c>
      <c r="G501" s="6" t="str">
        <f>IFERROR(__xludf.DUMMYFUNCTION("""COMPUTED_VALUE"""),"sandev_87@abv.bg")</f>
        <v>sandev_87@abv.bg</v>
      </c>
      <c r="H501" s="6" t="str">
        <f>IFERROR(__xludf.DUMMYFUNCTION("""COMPUTED_VALUE"""),"Vlasakkersstraat 76")</f>
        <v>Vlasakkersstraat 76</v>
      </c>
      <c r="I501" s="6" t="str">
        <f>IFERROR(__xludf.DUMMYFUNCTION("""COMPUTED_VALUE"""),"2574SK")</f>
        <v>2574SK</v>
      </c>
      <c r="J501" s="6" t="str">
        <f>IFERROR(__xludf.DUMMYFUNCTION("""COMPUTED_VALUE"""),"s-Gravenhage")</f>
        <v>s-Gravenhage</v>
      </c>
      <c r="K501" s="6" t="str">
        <f>IFERROR(__xludf.DUMMYFUNCTION("""COMPUTED_VALUE"""),"Nederland")</f>
        <v>Nederland</v>
      </c>
      <c r="L501" s="6" t="str">
        <f>IFERROR(__xludf.DUMMYFUNCTION("""COMPUTED_VALUE"""),"Сандев")</f>
        <v>Сандев</v>
      </c>
      <c r="M501" s="8">
        <f>IFERROR(__xludf.DUMMYFUNCTION("""COMPUTED_VALUE"""),43374.0)</f>
        <v>43374</v>
      </c>
      <c r="N501" s="6" t="str">
        <f>IFERROR(__xludf.DUMMYFUNCTION("""COMPUTED_VALUE"""),"NL862455649B01")</f>
        <v>NL862455649B01</v>
      </c>
      <c r="O501" s="6">
        <f>IFERROR(__xludf.DUMMYFUNCTION("""COMPUTED_VALUE"""),8.2403562E7)</f>
        <v>82403562</v>
      </c>
      <c r="P501" s="6" t="str">
        <f>IFERROR(__xludf.DUMMYFUNCTION("""COMPUTED_VALUE"""),"NL25INGB0008649060")</f>
        <v>NL25INGB0008649060</v>
      </c>
      <c r="Q501" s="9">
        <f>IFERROR(__xludf.DUMMYFUNCTION("""COMPUTED_VALUE"""),44287.0)</f>
        <v>44287</v>
      </c>
      <c r="R501" s="6"/>
      <c r="S501" s="6" t="str">
        <f>IFERROR(__xludf.DUMMYFUNCTION("""COMPUTED_VALUE"""),"NL862455649B01")</f>
        <v>NL862455649B01</v>
      </c>
      <c r="T501" s="6">
        <f>IFERROR(__xludf.DUMMYFUNCTION("""COMPUTED_VALUE"""),8.62455649E8)</f>
        <v>862455649</v>
      </c>
      <c r="U501" s="7" t="str">
        <f>IFERROR(__xludf.DUMMYFUNCTION("""COMPUTED_VALUE"""),"Vennootschap Onder Firma")</f>
        <v>Vennootschap Onder Firma</v>
      </c>
      <c r="V501" s="7" t="str">
        <f>IFERROR(__xludf.DUMMYFUNCTION("""COMPUTED_VALUE"""),"000040880567")</f>
        <v>000040880567</v>
      </c>
      <c r="W501" s="6" t="str">
        <f>IFERROR(__xludf.DUMMYFUNCTION("""COMPUTED_VALUE"""),"ink.vtbbouwvof.2288aa@zarabota.nl")</f>
        <v>ink.vtbbouwvof.2288aa@zarabota.nl</v>
      </c>
      <c r="X501" s="6" t="str">
        <f>IFERROR(__xludf.DUMMYFUNCTION("""COMPUTED_VALUE"""),"ver.vtbbouwvof.2288aa@zarabota.nl")</f>
        <v>ver.vtbbouwvof.2288aa@zarabota.nl</v>
      </c>
      <c r="Y501" s="6" t="str">
        <f>IFERROR(__xludf.DUMMYFUNCTION("""COMPUTED_VALUE"""),"Hr.")</f>
        <v>Hr.</v>
      </c>
      <c r="Z501" s="6" t="str">
        <f>IFERROR(__xludf.DUMMYFUNCTION("""COMPUTED_VALUE"""),"Vladislav Asenov")</f>
        <v>Vladislav Asenov</v>
      </c>
      <c r="AA501" s="6" t="str">
        <f>IFERROR(__xludf.DUMMYFUNCTION("""COMPUTED_VALUE"""),"Sandev")</f>
        <v>Sandev</v>
      </c>
      <c r="AB501" s="6" t="str">
        <f>IFERROR(__xludf.DUMMYFUNCTION("""COMPUTED_VALUE"""),"V.A.")</f>
        <v>V.A.</v>
      </c>
      <c r="AC501" s="6">
        <f>IFERROR(__xludf.DUMMYFUNCTION("""COMPUTED_VALUE"""),3.67346023E8)</f>
        <v>367346023</v>
      </c>
      <c r="AD501" s="9">
        <f>IFERROR(__xludf.DUMMYFUNCTION("""COMPUTED_VALUE"""),32111.0)</f>
        <v>32111</v>
      </c>
      <c r="AE501" s="6" t="str">
        <f>IFERROR(__xludf.DUMMYFUNCTION("""COMPUTED_VALUE"""),"bg")</f>
        <v>bg</v>
      </c>
      <c r="AF501" s="6"/>
      <c r="AG501" s="6" t="str">
        <f>IFERROR(__xludf.DUMMYFUNCTION("""COMPUTED_VALUE"""),"Hr. V.A. Sandev")</f>
        <v>Hr. V.A. Sandev</v>
      </c>
      <c r="AH501" s="6"/>
      <c r="AI501" s="6"/>
      <c r="AJ501" s="6"/>
      <c r="AK501" s="6"/>
      <c r="AL501" s="6"/>
      <c r="AM501" s="6"/>
      <c r="AN501" s="6" t="str">
        <f>IFERROR(__xludf.DUMMYFUNCTION("""COMPUTED_VALUE"""),"Vladislav Asenov Sandev")</f>
        <v>Vladislav Asenov Sandev</v>
      </c>
      <c r="AO501" s="6">
        <f>IFERROR(__xludf.DUMMYFUNCTION("""COMPUTED_VALUE"""),1136.0)</f>
        <v>1136</v>
      </c>
    </row>
    <row r="502">
      <c r="A502" s="6" t="str">
        <f>IFERROR(__xludf.DUMMYFUNCTION("""COMPUTED_VALUE"""),"VU Bouw 84")</f>
        <v>VU Bouw 84</v>
      </c>
      <c r="B502" s="6" t="str">
        <f>IFERROR(__xludf.DUMMYFUNCTION("""COMPUTED_VALUE"""),"VU Bouw 84")</f>
        <v>VU Bouw 84</v>
      </c>
      <c r="C502" s="6">
        <f>IFERROR(__xludf.DUMMYFUNCTION("""COMPUTED_VALUE"""),1511.0)</f>
        <v>1511</v>
      </c>
      <c r="D502" s="7" t="str">
        <f>IFERROR(__xludf.DUMMYFUNCTION("""COMPUTED_VALUE"""),"Ventsislav Mihaylov Uzunov")</f>
        <v>Ventsislav Mihaylov Uzunov</v>
      </c>
      <c r="E502" s="7" t="str">
        <f>IFERROR(__xludf.DUMMYFUNCTION("""COMPUTED_VALUE"""),"SBI-code: 4333 - Afwerking van vloeren en wanden")</f>
        <v>SBI-code: 4333 - Afwerking van vloeren en wanden</v>
      </c>
      <c r="F502" s="7" t="str">
        <f>IFERROR(__xludf.DUMMYFUNCTION("""COMPUTED_VALUE"""),"0686293774")</f>
        <v>0686293774</v>
      </c>
      <c r="G502" s="6" t="str">
        <f>IFERROR(__xludf.DUMMYFUNCTION("""COMPUTED_VALUE"""),"vencidesi2023@gmail.com")</f>
        <v>vencidesi2023@gmail.com</v>
      </c>
      <c r="H502" s="6" t="str">
        <f>IFERROR(__xludf.DUMMYFUNCTION("""COMPUTED_VALUE"""),"Schaarsbergenstraat 107")</f>
        <v>Schaarsbergenstraat 107</v>
      </c>
      <c r="I502" s="6" t="str">
        <f>IFERROR(__xludf.DUMMYFUNCTION("""COMPUTED_VALUE"""),"2573BR")</f>
        <v>2573BR</v>
      </c>
      <c r="J502" s="6" t="str">
        <f>IFERROR(__xludf.DUMMYFUNCTION("""COMPUTED_VALUE"""),"s-Gravenhage")</f>
        <v>s-Gravenhage</v>
      </c>
      <c r="K502" s="6" t="str">
        <f>IFERROR(__xludf.DUMMYFUNCTION("""COMPUTED_VALUE"""),"Nederland")</f>
        <v>Nederland</v>
      </c>
      <c r="L502" s="6" t="str">
        <f>IFERROR(__xludf.DUMMYFUNCTION("""COMPUTED_VALUE"""),"Узунов")</f>
        <v>Узунов</v>
      </c>
      <c r="M502" s="8">
        <f>IFERROR(__xludf.DUMMYFUNCTION("""COMPUTED_VALUE"""),45047.0)</f>
        <v>45047</v>
      </c>
      <c r="N502" s="6" t="str">
        <f>IFERROR(__xludf.DUMMYFUNCTION("""COMPUTED_VALUE"""),"NL450906000B01")</f>
        <v>NL450906000B01</v>
      </c>
      <c r="O502" s="6">
        <f>IFERROR(__xludf.DUMMYFUNCTION("""COMPUTED_VALUE"""),9.0389379E7)</f>
        <v>90389379</v>
      </c>
      <c r="P502" s="6" t="str">
        <f>IFERROR(__xludf.DUMMYFUNCTION("""COMPUTED_VALUE"""),"NL24INGB0103860592")</f>
        <v>NL24INGB0103860592</v>
      </c>
      <c r="Q502" s="9">
        <f>IFERROR(__xludf.DUMMYFUNCTION("""COMPUTED_VALUE"""),45047.0)</f>
        <v>45047</v>
      </c>
      <c r="R502" s="6"/>
      <c r="S502" s="6" t="str">
        <f>IFERROR(__xludf.DUMMYFUNCTION("""COMPUTED_VALUE"""),"NL004812808B54")</f>
        <v>NL004812808B54</v>
      </c>
      <c r="T502" s="6">
        <f>IFERROR(__xludf.DUMMYFUNCTION("""COMPUTED_VALUE"""),4.50906E8)</f>
        <v>450906000</v>
      </c>
      <c r="U502" s="7" t="str">
        <f>IFERROR(__xludf.DUMMYFUNCTION("""COMPUTED_VALUE"""),"Eenmanszaak")</f>
        <v>Eenmanszaak</v>
      </c>
      <c r="V502" s="7" t="str">
        <f>IFERROR(__xludf.DUMMYFUNCTION("""COMPUTED_VALUE"""),"000056122683")</f>
        <v>000056122683</v>
      </c>
      <c r="W502" s="6" t="str">
        <f>IFERROR(__xludf.DUMMYFUNCTION("""COMPUTED_VALUE"""),"ink.vubouw84.2288aa@zarabota.nl")</f>
        <v>ink.vubouw84.2288aa@zarabota.nl</v>
      </c>
      <c r="X502" s="6" t="str">
        <f>IFERROR(__xludf.DUMMYFUNCTION("""COMPUTED_VALUE"""),"ver.vubouw84.2288aa@zarabota.nl")</f>
        <v>ver.vubouw84.2288aa@zarabota.nl</v>
      </c>
      <c r="Y502" s="6" t="str">
        <f>IFERROR(__xludf.DUMMYFUNCTION("""COMPUTED_VALUE"""),"Hr.")</f>
        <v>Hr.</v>
      </c>
      <c r="Z502" s="6" t="str">
        <f>IFERROR(__xludf.DUMMYFUNCTION("""COMPUTED_VALUE"""),"Ventsislav Mihaylov")</f>
        <v>Ventsislav Mihaylov</v>
      </c>
      <c r="AA502" s="6" t="str">
        <f>IFERROR(__xludf.DUMMYFUNCTION("""COMPUTED_VALUE"""),"Uzunov")</f>
        <v>Uzunov</v>
      </c>
      <c r="AB502" s="6" t="str">
        <f>IFERROR(__xludf.DUMMYFUNCTION("""COMPUTED_VALUE"""),"V.M.")</f>
        <v>V.M.</v>
      </c>
      <c r="AC502" s="6">
        <f>IFERROR(__xludf.DUMMYFUNCTION("""COMPUTED_VALUE"""),4.50906E8)</f>
        <v>450906000</v>
      </c>
      <c r="AD502" s="9">
        <f>IFERROR(__xludf.DUMMYFUNCTION("""COMPUTED_VALUE"""),30994.0)</f>
        <v>30994</v>
      </c>
      <c r="AE502" s="6" t="str">
        <f>IFERROR(__xludf.DUMMYFUNCTION("""COMPUTED_VALUE"""),"bg")</f>
        <v>bg</v>
      </c>
      <c r="AF502" s="6" t="str">
        <f>IFERROR(__xludf.DUMMYFUNCTION("""COMPUTED_VALUE"""),"Ardino")</f>
        <v>Ardino</v>
      </c>
      <c r="AG502" s="6" t="str">
        <f>IFERROR(__xludf.DUMMYFUNCTION("""COMPUTED_VALUE"""),"Hr. V.M. Uzunov")</f>
        <v>Hr. V.M. Uzunov</v>
      </c>
      <c r="AH502" s="6"/>
      <c r="AI502" s="6"/>
      <c r="AJ502" s="6" t="str">
        <f>IFERROR(__xludf.DUMMYFUNCTION("""COMPUTED_VALUE"""),"ID Kaart")</f>
        <v>ID Kaart</v>
      </c>
      <c r="AK502" s="6">
        <f>IFERROR(__xludf.DUMMYFUNCTION("""COMPUTED_VALUE"""),6.51308124E8)</f>
        <v>651308124</v>
      </c>
      <c r="AL502" s="9">
        <f>IFERROR(__xludf.DUMMYFUNCTION("""COMPUTED_VALUE"""),48170.0)</f>
        <v>48170</v>
      </c>
      <c r="AM502" s="6" t="str">
        <f>IFERROR(__xludf.DUMMYFUNCTION("""COMPUTED_VALUE"""),"Bulgarije")</f>
        <v>Bulgarije</v>
      </c>
      <c r="AN502" s="6" t="str">
        <f>IFERROR(__xludf.DUMMYFUNCTION("""COMPUTED_VALUE"""),"Ventsislav Mihaylov Uzunov")</f>
        <v>Ventsislav Mihaylov Uzunov</v>
      </c>
      <c r="AO502" s="6">
        <f>IFERROR(__xludf.DUMMYFUNCTION("""COMPUTED_VALUE"""),1511.0)</f>
        <v>1511</v>
      </c>
    </row>
    <row r="503">
      <c r="A503" s="6" t="str">
        <f>IFERROR(__xludf.DUMMYFUNCTION("""COMPUTED_VALUE"""),"VVS OOD")</f>
        <v>VVS OOD</v>
      </c>
      <c r="B503" s="6" t="str">
        <f>IFERROR(__xludf.DUMMYFUNCTION("""COMPUTED_VALUE"""),"VVS OOD")</f>
        <v>VVS OOD</v>
      </c>
      <c r="C503" s="6">
        <f>IFERROR(__xludf.DUMMYFUNCTION("""COMPUTED_VALUE"""),1691.0)</f>
        <v>1691</v>
      </c>
      <c r="D503" s="7" t="str">
        <f>IFERROR(__xludf.DUMMYFUNCTION("""COMPUTED_VALUE"""),"Vladimir Valentinov Sakadzhiev")</f>
        <v>Vladimir Valentinov Sakadzhiev</v>
      </c>
      <c r="E503" s="7" t="str">
        <f>IFERROR(__xludf.DUMMYFUNCTION("""COMPUTED_VALUE"""),"SBI-code: 4120 - Algemene burgerlijke en utiliteitsbouw")</f>
        <v>SBI-code: 4120 - Algemene burgerlijke en utiliteitsbouw</v>
      </c>
      <c r="F503" s="7" t="str">
        <f>IFERROR(__xludf.DUMMYFUNCTION("""COMPUTED_VALUE"""),"0628183767")</f>
        <v>0628183767</v>
      </c>
      <c r="G503" s="6" t="str">
        <f>IFERROR(__xludf.DUMMYFUNCTION("""COMPUTED_VALUE"""),"sakadjievv@gmail.com")</f>
        <v>sakadjievv@gmail.com</v>
      </c>
      <c r="H503" s="6" t="str">
        <f>IFERROR(__xludf.DUMMYFUNCTION("""COMPUTED_VALUE"""),"Naarderstraat 149")</f>
        <v>Naarderstraat 149</v>
      </c>
      <c r="I503" s="6" t="str">
        <f>IFERROR(__xludf.DUMMYFUNCTION("""COMPUTED_VALUE"""),"2574PE")</f>
        <v>2574PE</v>
      </c>
      <c r="J503" s="6" t="str">
        <f>IFERROR(__xludf.DUMMYFUNCTION("""COMPUTED_VALUE"""),"s-Gravenhage")</f>
        <v>s-Gravenhage</v>
      </c>
      <c r="K503" s="6" t="str">
        <f>IFERROR(__xludf.DUMMYFUNCTION("""COMPUTED_VALUE"""),"Nederland")</f>
        <v>Nederland</v>
      </c>
      <c r="L503" s="6" t="str">
        <f>IFERROR(__xludf.DUMMYFUNCTION("""COMPUTED_VALUE"""),"Сакаджиев")</f>
        <v>Сакаджиев</v>
      </c>
      <c r="M503" s="8">
        <f>IFERROR(__xludf.DUMMYFUNCTION("""COMPUTED_VALUE"""),45658.0)</f>
        <v>45658</v>
      </c>
      <c r="N503" s="6" t="str">
        <f>IFERROR(__xludf.DUMMYFUNCTION("""COMPUTED_VALUE"""),"NL636109598B01")</f>
        <v>NL636109598B01</v>
      </c>
      <c r="O503" s="6">
        <f>IFERROR(__xludf.DUMMYFUNCTION("""COMPUTED_VALUE"""),9.6582049E7)</f>
        <v>96582049</v>
      </c>
      <c r="P503" s="6" t="str">
        <f>IFERROR(__xludf.DUMMYFUNCTION("""COMPUTED_VALUE"""),"NL31INGB0112152317")</f>
        <v>NL31INGB0112152317</v>
      </c>
      <c r="Q503" s="9">
        <f>IFERROR(__xludf.DUMMYFUNCTION("""COMPUTED_VALUE"""),45658.0)</f>
        <v>45658</v>
      </c>
      <c r="R503" s="6"/>
      <c r="S503" s="6" t="str">
        <f>IFERROR(__xludf.DUMMYFUNCTION("""COMPUTED_VALUE"""),"NL005218877B05")</f>
        <v>NL005218877B05</v>
      </c>
      <c r="T503" s="6">
        <f>IFERROR(__xludf.DUMMYFUNCTION("""COMPUTED_VALUE"""),6.36109598E8)</f>
        <v>636109598</v>
      </c>
      <c r="U503" s="7" t="str">
        <f>IFERROR(__xludf.DUMMYFUNCTION("""COMPUTED_VALUE"""),"Eenmanszaak")</f>
        <v>Eenmanszaak</v>
      </c>
      <c r="V503" s="7" t="str">
        <f>IFERROR(__xludf.DUMMYFUNCTION("""COMPUTED_VALUE"""),"000061898791")</f>
        <v>000061898791</v>
      </c>
      <c r="W503" s="6" t="str">
        <f>IFERROR(__xludf.DUMMYFUNCTION("""COMPUTED_VALUE"""),"ink.vvsood.2288aa@zarabota.nl")</f>
        <v>ink.vvsood.2288aa@zarabota.nl</v>
      </c>
      <c r="X503" s="6" t="str">
        <f>IFERROR(__xludf.DUMMYFUNCTION("""COMPUTED_VALUE"""),"ver.vvsood.2288aa@zarabota.nl")</f>
        <v>ver.vvsood.2288aa@zarabota.nl</v>
      </c>
      <c r="Y503" s="6" t="str">
        <f>IFERROR(__xludf.DUMMYFUNCTION("""COMPUTED_VALUE"""),"Hr.")</f>
        <v>Hr.</v>
      </c>
      <c r="Z503" s="6" t="str">
        <f>IFERROR(__xludf.DUMMYFUNCTION("""COMPUTED_VALUE"""),"Vladimir Valentinov")</f>
        <v>Vladimir Valentinov</v>
      </c>
      <c r="AA503" s="6" t="str">
        <f>IFERROR(__xludf.DUMMYFUNCTION("""COMPUTED_VALUE"""),"Sakadzhiev")</f>
        <v>Sakadzhiev</v>
      </c>
      <c r="AB503" s="6" t="str">
        <f>IFERROR(__xludf.DUMMYFUNCTION("""COMPUTED_VALUE"""),"V.V.")</f>
        <v>V.V.</v>
      </c>
      <c r="AC503" s="6">
        <f>IFERROR(__xludf.DUMMYFUNCTION("""COMPUTED_VALUE"""),6.36109598E8)</f>
        <v>636109598</v>
      </c>
      <c r="AD503" s="9">
        <f>IFERROR(__xludf.DUMMYFUNCTION("""COMPUTED_VALUE"""),30967.0)</f>
        <v>30967</v>
      </c>
      <c r="AE503" s="6" t="str">
        <f>IFERROR(__xludf.DUMMYFUNCTION("""COMPUTED_VALUE"""),"bg")</f>
        <v>bg</v>
      </c>
      <c r="AF503" s="6" t="str">
        <f>IFERROR(__xludf.DUMMYFUNCTION("""COMPUTED_VALUE"""),"Plovdiv")</f>
        <v>Plovdiv</v>
      </c>
      <c r="AG503" s="6" t="str">
        <f>IFERROR(__xludf.DUMMYFUNCTION("""COMPUTED_VALUE"""),"Hr. V.V. Sakadzhiev")</f>
        <v>Hr. V.V. Sakadzhiev</v>
      </c>
      <c r="AH503" s="6" t="str">
        <f>IFERROR(__xludf.DUMMYFUNCTION("""COMPUTED_VALUE"""),"NL42INGB0670645915")</f>
        <v>NL42INGB0670645915</v>
      </c>
      <c r="AI503" s="6"/>
      <c r="AJ503" s="6" t="str">
        <f>IFERROR(__xludf.DUMMYFUNCTION("""COMPUTED_VALUE"""),"ID Kaart")</f>
        <v>ID Kaart</v>
      </c>
      <c r="AK503" s="6">
        <f>IFERROR(__xludf.DUMMYFUNCTION("""COMPUTED_VALUE"""),6.4627496E8)</f>
        <v>646274960</v>
      </c>
      <c r="AL503" s="9">
        <f>IFERROR(__xludf.DUMMYFUNCTION("""COMPUTED_VALUE"""),46058.0)</f>
        <v>46058</v>
      </c>
      <c r="AM503" s="6" t="str">
        <f>IFERROR(__xludf.DUMMYFUNCTION("""COMPUTED_VALUE"""),"Bulgarije")</f>
        <v>Bulgarije</v>
      </c>
      <c r="AN503" s="6" t="str">
        <f>IFERROR(__xludf.DUMMYFUNCTION("""COMPUTED_VALUE"""),"Vladimir Valentinov Sakadzhiev")</f>
        <v>Vladimir Valentinov Sakadzhiev</v>
      </c>
      <c r="AO503" s="6">
        <f>IFERROR(__xludf.DUMMYFUNCTION("""COMPUTED_VALUE"""),1691.0)</f>
        <v>1691</v>
      </c>
    </row>
    <row r="504">
      <c r="A504" s="6" t="str">
        <f>IFERROR(__xludf.DUMMYFUNCTION("""COMPUTED_VALUE"""),"VYA Beheer B.V.")</f>
        <v>VYA Beheer B.V.</v>
      </c>
      <c r="B504" s="6" t="str">
        <f>IFERROR(__xludf.DUMMYFUNCTION("""COMPUTED_VALUE"""),"VYA Beheer B.V.")</f>
        <v>VYA Beheer B.V.</v>
      </c>
      <c r="C504" s="6">
        <f>IFERROR(__xludf.DUMMYFUNCTION("""COMPUTED_VALUE"""),1763.0)</f>
        <v>1763</v>
      </c>
      <c r="D504" s="7" t="str">
        <f>IFERROR(__xludf.DUMMYFUNCTION("""COMPUTED_VALUE"""),"Yuliyan Asenov Asenov")</f>
        <v>Yuliyan Asenov Asenov</v>
      </c>
      <c r="E504" s="7" t="str">
        <f>IFERROR(__xludf.DUMMYFUNCTION("""COMPUTED_VALUE"""),"SBI-code: 4120 - Algemene burgerlijke en utiliteitsbouw")</f>
        <v>SBI-code: 4120 - Algemene burgerlijke en utiliteitsbouw</v>
      </c>
      <c r="F504" s="7" t="str">
        <f>IFERROR(__xludf.DUMMYFUNCTION("""COMPUTED_VALUE"""),"310687561089")</f>
        <v>310687561089</v>
      </c>
      <c r="G504" s="6" t="str">
        <f>IFERROR(__xludf.DUMMYFUNCTION("""COMPUTED_VALUE"""),"info@vyabouwisolerenbv.nl")</f>
        <v>info@vyabouwisolerenbv.nl</v>
      </c>
      <c r="H504" s="6" t="str">
        <f>IFERROR(__xludf.DUMMYFUNCTION("""COMPUTED_VALUE"""),"Wapenveldestraat 88")</f>
        <v>Wapenveldestraat 88</v>
      </c>
      <c r="I504" s="6" t="str">
        <f>IFERROR(__xludf.DUMMYFUNCTION("""COMPUTED_VALUE"""),"2573BL")</f>
        <v>2573BL</v>
      </c>
      <c r="J504" s="6" t="str">
        <f>IFERROR(__xludf.DUMMYFUNCTION("""COMPUTED_VALUE"""),"s-Gravenhage")</f>
        <v>s-Gravenhage</v>
      </c>
      <c r="K504" s="6" t="str">
        <f>IFERROR(__xludf.DUMMYFUNCTION("""COMPUTED_VALUE"""),"Nederland")</f>
        <v>Nederland</v>
      </c>
      <c r="L504" s="6" t="str">
        <f>IFERROR(__xludf.DUMMYFUNCTION("""COMPUTED_VALUE"""),"Асенов")</f>
        <v>Асенов</v>
      </c>
      <c r="M504" s="8">
        <f>IFERROR(__xludf.DUMMYFUNCTION("""COMPUTED_VALUE"""),46010.0)</f>
        <v>46010</v>
      </c>
      <c r="N504" s="6" t="str">
        <f>IFERROR(__xludf.DUMMYFUNCTION("""COMPUTED_VALUE"""),"NL868881958B01")</f>
        <v>NL868881958B01</v>
      </c>
      <c r="O504" s="6">
        <f>IFERROR(__xludf.DUMMYFUNCTION("""COMPUTED_VALUE"""),9.9229056E7)</f>
        <v>99229056</v>
      </c>
      <c r="P504" s="6" t="str">
        <f>IFERROR(__xludf.DUMMYFUNCTION("""COMPUTED_VALUE"""),"NL24INGB0008496109")</f>
        <v>NL24INGB0008496109</v>
      </c>
      <c r="Q504" s="9">
        <f>IFERROR(__xludf.DUMMYFUNCTION("""COMPUTED_VALUE"""),46010.0)</f>
        <v>46010</v>
      </c>
      <c r="R504" s="6"/>
      <c r="S504" s="6" t="str">
        <f>IFERROR(__xludf.DUMMYFUNCTION("""COMPUTED_VALUE"""),"NL868881958B01")</f>
        <v>NL868881958B01</v>
      </c>
      <c r="T504" s="6">
        <f>IFERROR(__xludf.DUMMYFUNCTION("""COMPUTED_VALUE"""),8.68881958E8)</f>
        <v>868881958</v>
      </c>
      <c r="U504" s="7" t="str">
        <f>IFERROR(__xludf.DUMMYFUNCTION("""COMPUTED_VALUE"""),"Besloten Vennootschap")</f>
        <v>Besloten Vennootschap</v>
      </c>
      <c r="V504" s="6"/>
      <c r="W504" s="6" t="str">
        <f>IFERROR(__xludf.DUMMYFUNCTION("""COMPUTED_VALUE"""),"ink.vyabeheer.2288aa@zarabota.nl")</f>
        <v>ink.vyabeheer.2288aa@zarabota.nl</v>
      </c>
      <c r="X504" s="6" t="str">
        <f>IFERROR(__xludf.DUMMYFUNCTION("""COMPUTED_VALUE"""),"ver.vyabeheer.2288aa@zarabota.nl")</f>
        <v>ver.vyabeheer.2288aa@zarabota.nl</v>
      </c>
      <c r="Y504" s="6" t="str">
        <f>IFERROR(__xludf.DUMMYFUNCTION("""COMPUTED_VALUE"""),"Hr.")</f>
        <v>Hr.</v>
      </c>
      <c r="Z504" s="6" t="str">
        <f>IFERROR(__xludf.DUMMYFUNCTION("""COMPUTED_VALUE"""),"Yuliyan Asenov")</f>
        <v>Yuliyan Asenov</v>
      </c>
      <c r="AA504" s="6" t="str">
        <f>IFERROR(__xludf.DUMMYFUNCTION("""COMPUTED_VALUE"""),"Asenov")</f>
        <v>Asenov</v>
      </c>
      <c r="AB504" s="6" t="str">
        <f>IFERROR(__xludf.DUMMYFUNCTION("""COMPUTED_VALUE"""),"Y.A.")</f>
        <v>Y.A.</v>
      </c>
      <c r="AC504" s="6">
        <f>IFERROR(__xludf.DUMMYFUNCTION("""COMPUTED_VALUE"""),2.89073674E8)</f>
        <v>289073674</v>
      </c>
      <c r="AD504" s="9">
        <f>IFERROR(__xludf.DUMMYFUNCTION("""COMPUTED_VALUE"""),32097.0)</f>
        <v>32097</v>
      </c>
      <c r="AE504" s="6" t="str">
        <f>IFERROR(__xludf.DUMMYFUNCTION("""COMPUTED_VALUE"""),"bg")</f>
        <v>bg</v>
      </c>
      <c r="AF504" s="6" t="str">
        <f>IFERROR(__xludf.DUMMYFUNCTION("""COMPUTED_VALUE"""),"Haskovo")</f>
        <v>Haskovo</v>
      </c>
      <c r="AG504" s="6" t="str">
        <f>IFERROR(__xludf.DUMMYFUNCTION("""COMPUTED_VALUE"""),"Hr. Y.A. Asenov")</f>
        <v>Hr. Y.A. Asenov</v>
      </c>
      <c r="AH504" s="6" t="str">
        <f>IFERROR(__xludf.DUMMYFUNCTION("""COMPUTED_VALUE"""),"NL94INGB0660915006")</f>
        <v>NL94INGB0660915006</v>
      </c>
      <c r="AI504" s="6"/>
      <c r="AJ504" s="6" t="str">
        <f>IFERROR(__xludf.DUMMYFUNCTION("""COMPUTED_VALUE"""),"ID Kaart")</f>
        <v>ID Kaart</v>
      </c>
      <c r="AK504" s="6">
        <f>IFERROR(__xludf.DUMMYFUNCTION("""COMPUTED_VALUE"""),6.47991303E8)</f>
        <v>647991303</v>
      </c>
      <c r="AL504" s="9">
        <f>IFERROR(__xludf.DUMMYFUNCTION("""COMPUTED_VALUE"""),47105.0)</f>
        <v>47105</v>
      </c>
      <c r="AM504" s="6"/>
      <c r="AN504" s="6" t="str">
        <f>IFERROR(__xludf.DUMMYFUNCTION("""COMPUTED_VALUE"""),"Yuliyan Asenov Asenov")</f>
        <v>Yuliyan Asenov Asenov</v>
      </c>
      <c r="AO504" s="6">
        <f>IFERROR(__xludf.DUMMYFUNCTION("""COMPUTED_VALUE"""),1763.0)</f>
        <v>1763</v>
      </c>
    </row>
    <row r="505">
      <c r="A505" s="6" t="str">
        <f>IFERROR(__xludf.DUMMYFUNCTION("""COMPUTED_VALUE"""),"VYA Bouwisoleren B.V.")</f>
        <v>VYA Bouwisoleren B.V.</v>
      </c>
      <c r="B505" s="6" t="str">
        <f>IFERROR(__xludf.DUMMYFUNCTION("""COMPUTED_VALUE"""),"VYA Bouwisoleren B.V.")</f>
        <v>VYA Bouwisoleren B.V.</v>
      </c>
      <c r="C505" s="6">
        <f>IFERROR(__xludf.DUMMYFUNCTION("""COMPUTED_VALUE"""),1764.0)</f>
        <v>1764</v>
      </c>
      <c r="D505" s="7" t="str">
        <f>IFERROR(__xludf.DUMMYFUNCTION("""COMPUTED_VALUE"""),"Yuliyan Asenov Asenov")</f>
        <v>Yuliyan Asenov Asenov</v>
      </c>
      <c r="E505" s="7" t="str">
        <f>IFERROR(__xludf.DUMMYFUNCTION("""COMPUTED_VALUE"""),"SBI-code: 4120 - Algemene burgerlijke en utiliteitsbouw")</f>
        <v>SBI-code: 4120 - Algemene burgerlijke en utiliteitsbouw</v>
      </c>
      <c r="F505" s="7" t="str">
        <f>IFERROR(__xludf.DUMMYFUNCTION("""COMPUTED_VALUE"""),"0687561089")</f>
        <v>0687561089</v>
      </c>
      <c r="G505" s="6" t="str">
        <f>IFERROR(__xludf.DUMMYFUNCTION("""COMPUTED_VALUE"""),"info@vyabouwisolerenbv.nl")</f>
        <v>info@vyabouwisolerenbv.nl</v>
      </c>
      <c r="H505" s="6" t="str">
        <f>IFERROR(__xludf.DUMMYFUNCTION("""COMPUTED_VALUE"""),"Wapenveldestraat 88")</f>
        <v>Wapenveldestraat 88</v>
      </c>
      <c r="I505" s="6" t="str">
        <f>IFERROR(__xludf.DUMMYFUNCTION("""COMPUTED_VALUE"""),"2573BL")</f>
        <v>2573BL</v>
      </c>
      <c r="J505" s="6" t="str">
        <f>IFERROR(__xludf.DUMMYFUNCTION("""COMPUTED_VALUE"""),"s-Gravenhage")</f>
        <v>s-Gravenhage</v>
      </c>
      <c r="K505" s="6" t="str">
        <f>IFERROR(__xludf.DUMMYFUNCTION("""COMPUTED_VALUE"""),"Nederland")</f>
        <v>Nederland</v>
      </c>
      <c r="L505" s="6" t="str">
        <f>IFERROR(__xludf.DUMMYFUNCTION("""COMPUTED_VALUE"""),"Асенов")</f>
        <v>Асенов</v>
      </c>
      <c r="M505" s="8">
        <f>IFERROR(__xludf.DUMMYFUNCTION("""COMPUTED_VALUE"""),46010.0)</f>
        <v>46010</v>
      </c>
      <c r="N505" s="6" t="str">
        <f>IFERROR(__xludf.DUMMYFUNCTION("""COMPUTED_VALUE"""),"NL868883244B01")</f>
        <v>NL868883244B01</v>
      </c>
      <c r="O505" s="6">
        <f>IFERROR(__xludf.DUMMYFUNCTION("""COMPUTED_VALUE"""),9.9230887E7)</f>
        <v>99230887</v>
      </c>
      <c r="P505" s="6" t="str">
        <f>IFERROR(__xludf.DUMMYFUNCTION("""COMPUTED_VALUE"""),"NL")</f>
        <v>NL</v>
      </c>
      <c r="Q505" s="9">
        <f>IFERROR(__xludf.DUMMYFUNCTION("""COMPUTED_VALUE"""),46010.0)</f>
        <v>46010</v>
      </c>
      <c r="R505" s="6"/>
      <c r="S505" s="6" t="str">
        <f>IFERROR(__xludf.DUMMYFUNCTION("""COMPUTED_VALUE"""),"NL868883244B01")</f>
        <v>NL868883244B01</v>
      </c>
      <c r="T505" s="6">
        <f>IFERROR(__xludf.DUMMYFUNCTION("""COMPUTED_VALUE"""),8.68883244E8)</f>
        <v>868883244</v>
      </c>
      <c r="U505" s="7" t="str">
        <f>IFERROR(__xludf.DUMMYFUNCTION("""COMPUTED_VALUE"""),"Besloten Vennootschap")</f>
        <v>Besloten Vennootschap</v>
      </c>
      <c r="V505" s="7" t="str">
        <f>IFERROR(__xludf.DUMMYFUNCTION("""COMPUTED_VALUE"""),"000064328155")</f>
        <v>000064328155</v>
      </c>
      <c r="W505" s="6" t="str">
        <f>IFERROR(__xludf.DUMMYFUNCTION("""COMPUTED_VALUE"""),"ink.vyabouwisolerenbv.2288aa@zarabota.nl")</f>
        <v>ink.vyabouwisolerenbv.2288aa@zarabota.nl</v>
      </c>
      <c r="X505" s="6" t="str">
        <f>IFERROR(__xludf.DUMMYFUNCTION("""COMPUTED_VALUE"""),"ver.vyabouwisolerenbv.2288aa@zarabota.nl")</f>
        <v>ver.vyabouwisolerenbv.2288aa@zarabota.nl</v>
      </c>
      <c r="Y505" s="6" t="str">
        <f>IFERROR(__xludf.DUMMYFUNCTION("""COMPUTED_VALUE"""),"Hr.")</f>
        <v>Hr.</v>
      </c>
      <c r="Z505" s="6" t="str">
        <f>IFERROR(__xludf.DUMMYFUNCTION("""COMPUTED_VALUE"""),"Yuliyan Asenov")</f>
        <v>Yuliyan Asenov</v>
      </c>
      <c r="AA505" s="6" t="str">
        <f>IFERROR(__xludf.DUMMYFUNCTION("""COMPUTED_VALUE"""),"Asenov")</f>
        <v>Asenov</v>
      </c>
      <c r="AB505" s="6" t="str">
        <f>IFERROR(__xludf.DUMMYFUNCTION("""COMPUTED_VALUE"""),"Y.A.")</f>
        <v>Y.A.</v>
      </c>
      <c r="AC505" s="6">
        <f>IFERROR(__xludf.DUMMYFUNCTION("""COMPUTED_VALUE"""),2.89073674E8)</f>
        <v>289073674</v>
      </c>
      <c r="AD505" s="9">
        <f>IFERROR(__xludf.DUMMYFUNCTION("""COMPUTED_VALUE"""),32097.0)</f>
        <v>32097</v>
      </c>
      <c r="AE505" s="6" t="str">
        <f>IFERROR(__xludf.DUMMYFUNCTION("""COMPUTED_VALUE"""),"bg")</f>
        <v>bg</v>
      </c>
      <c r="AF505" s="6" t="str">
        <f>IFERROR(__xludf.DUMMYFUNCTION("""COMPUTED_VALUE"""),"Haskovo")</f>
        <v>Haskovo</v>
      </c>
      <c r="AG505" s="6" t="str">
        <f>IFERROR(__xludf.DUMMYFUNCTION("""COMPUTED_VALUE"""),"Hr. Y.A. Asenov")</f>
        <v>Hr. Y.A. Asenov</v>
      </c>
      <c r="AH505" s="6" t="str">
        <f>IFERROR(__xludf.DUMMYFUNCTION("""COMPUTED_VALUE"""),"NL94INGB0660915006")</f>
        <v>NL94INGB0660915006</v>
      </c>
      <c r="AI505" s="6"/>
      <c r="AJ505" s="6" t="str">
        <f>IFERROR(__xludf.DUMMYFUNCTION("""COMPUTED_VALUE"""),"ID Kaart")</f>
        <v>ID Kaart</v>
      </c>
      <c r="AK505" s="6">
        <f>IFERROR(__xludf.DUMMYFUNCTION("""COMPUTED_VALUE"""),6.47991303E8)</f>
        <v>647991303</v>
      </c>
      <c r="AL505" s="9">
        <f>IFERROR(__xludf.DUMMYFUNCTION("""COMPUTED_VALUE"""),47105.0)</f>
        <v>47105</v>
      </c>
      <c r="AM505" s="6"/>
      <c r="AN505" s="6" t="str">
        <f>IFERROR(__xludf.DUMMYFUNCTION("""COMPUTED_VALUE"""),"Yuliyan Asenov Asenov")</f>
        <v>Yuliyan Asenov Asenov</v>
      </c>
      <c r="AO505" s="6">
        <f>IFERROR(__xludf.DUMMYFUNCTION("""COMPUTED_VALUE"""),1764.0)</f>
        <v>1764</v>
      </c>
    </row>
    <row r="506">
      <c r="A506" s="6" t="str">
        <f>IFERROR(__xludf.DUMMYFUNCTION("""COMPUTED_VALUE"""),"Y M Tirozov VOF")</f>
        <v>Y M Tirozov VOF</v>
      </c>
      <c r="B506" s="6" t="str">
        <f>IFERROR(__xludf.DUMMYFUNCTION("""COMPUTED_VALUE"""),"Y M Tirozov VOF")</f>
        <v>Y M Tirozov VOF</v>
      </c>
      <c r="C506" s="6">
        <f>IFERROR(__xludf.DUMMYFUNCTION("""COMPUTED_VALUE"""),493.0)</f>
        <v>493</v>
      </c>
      <c r="D506" s="7" t="str">
        <f>IFERROR(__xludf.DUMMYFUNCTION("""COMPUTED_VALUE"""),"Yusuf Mustafov Tirozov")</f>
        <v>Yusuf Mustafov Tirozov</v>
      </c>
      <c r="E506" s="7" t="str">
        <f>IFERROR(__xludf.DUMMYFUNCTION("""COMPUTED_VALUE"""),"SBI-code: 4120 - Algemene burgerlijke en utiliteitsbouw")</f>
        <v>SBI-code: 4120 - Algemene burgerlijke en utiliteitsbouw</v>
      </c>
      <c r="F506" s="7" t="str">
        <f>IFERROR(__xludf.DUMMYFUNCTION("""COMPUTED_VALUE"""),"0684481993")</f>
        <v>0684481993</v>
      </c>
      <c r="G506" s="6" t="str">
        <f>IFERROR(__xludf.DUMMYFUNCTION("""COMPUTED_VALUE"""),"yusi79@abv.bg")</f>
        <v>yusi79@abv.bg</v>
      </c>
      <c r="H506" s="6" t="str">
        <f>IFERROR(__xludf.DUMMYFUNCTION("""COMPUTED_VALUE"""),"Wolweversgaarde 70")</f>
        <v>Wolweversgaarde 70</v>
      </c>
      <c r="I506" s="6" t="str">
        <f>IFERROR(__xludf.DUMMYFUNCTION("""COMPUTED_VALUE"""),"2542AV")</f>
        <v>2542AV</v>
      </c>
      <c r="J506" s="6" t="str">
        <f>IFERROR(__xludf.DUMMYFUNCTION("""COMPUTED_VALUE"""),"`s-Gravenhage")</f>
        <v>`s-Gravenhage</v>
      </c>
      <c r="K506" s="6" t="str">
        <f>IFERROR(__xludf.DUMMYFUNCTION("""COMPUTED_VALUE"""),"Nederland")</f>
        <v>Nederland</v>
      </c>
      <c r="L506" s="6" t="str">
        <f>IFERROR(__xludf.DUMMYFUNCTION("""COMPUTED_VALUE"""),"Тирозов")</f>
        <v>Тирозов</v>
      </c>
      <c r="M506" s="8">
        <f>IFERROR(__xludf.DUMMYFUNCTION("""COMPUTED_VALUE"""),43175.0)</f>
        <v>43175</v>
      </c>
      <c r="N506" s="6" t="str">
        <f>IFERROR(__xludf.DUMMYFUNCTION("""COMPUTED_VALUE"""),"NL858392021B01")</f>
        <v>NL858392021B01</v>
      </c>
      <c r="O506" s="6">
        <f>IFERROR(__xludf.DUMMYFUNCTION("""COMPUTED_VALUE"""),7.0606951E7)</f>
        <v>70606951</v>
      </c>
      <c r="P506" s="6" t="str">
        <f>IFERROR(__xludf.DUMMYFUNCTION("""COMPUTED_VALUE"""),"NL30INGB0004726290")</f>
        <v>NL30INGB0004726290</v>
      </c>
      <c r="Q506" s="9">
        <f>IFERROR(__xludf.DUMMYFUNCTION("""COMPUTED_VALUE"""),40147.0)</f>
        <v>40147</v>
      </c>
      <c r="R506" s="6"/>
      <c r="S506" s="6" t="str">
        <f>IFERROR(__xludf.DUMMYFUNCTION("""COMPUTED_VALUE"""),"NL858392021B01")</f>
        <v>NL858392021B01</v>
      </c>
      <c r="T506" s="6">
        <f>IFERROR(__xludf.DUMMYFUNCTION("""COMPUTED_VALUE"""),8.58392021E8)</f>
        <v>858392021</v>
      </c>
      <c r="U506" s="7" t="str">
        <f>IFERROR(__xludf.DUMMYFUNCTION("""COMPUTED_VALUE"""),"Vennootschap Onder Firma")</f>
        <v>Vennootschap Onder Firma</v>
      </c>
      <c r="V506" s="7" t="str">
        <f>IFERROR(__xludf.DUMMYFUNCTION("""COMPUTED_VALUE"""),"000015580830")</f>
        <v>000015580830</v>
      </c>
      <c r="W506" s="6" t="str">
        <f>IFERROR(__xludf.DUMMYFUNCTION("""COMPUTED_VALUE"""),"ink.ymtirozovvof.2288aa@zarabota.nl")</f>
        <v>ink.ymtirozovvof.2288aa@zarabota.nl</v>
      </c>
      <c r="X506" s="6" t="str">
        <f>IFERROR(__xludf.DUMMYFUNCTION("""COMPUTED_VALUE"""),"ver.ymtirozovvof.2288aa@zarabota.nl")</f>
        <v>ver.ymtirozovvof.2288aa@zarabota.nl</v>
      </c>
      <c r="Y506" s="6" t="str">
        <f>IFERROR(__xludf.DUMMYFUNCTION("""COMPUTED_VALUE"""),"Hr.")</f>
        <v>Hr.</v>
      </c>
      <c r="Z506" s="6" t="str">
        <f>IFERROR(__xludf.DUMMYFUNCTION("""COMPUTED_VALUE"""),"Yusuf Mustafov")</f>
        <v>Yusuf Mustafov</v>
      </c>
      <c r="AA506" s="6" t="str">
        <f>IFERROR(__xludf.DUMMYFUNCTION("""COMPUTED_VALUE"""),"Tirozov")</f>
        <v>Tirozov</v>
      </c>
      <c r="AB506" s="6" t="str">
        <f>IFERROR(__xludf.DUMMYFUNCTION("""COMPUTED_VALUE"""),"Y.M.")</f>
        <v>Y.M.</v>
      </c>
      <c r="AC506" s="6">
        <f>IFERROR(__xludf.DUMMYFUNCTION("""COMPUTED_VALUE"""),3.84839022E8)</f>
        <v>384839022</v>
      </c>
      <c r="AD506" s="9">
        <f>IFERROR(__xludf.DUMMYFUNCTION("""COMPUTED_VALUE"""),28934.0)</f>
        <v>28934</v>
      </c>
      <c r="AE506" s="6" t="str">
        <f>IFERROR(__xludf.DUMMYFUNCTION("""COMPUTED_VALUE"""),"bg")</f>
        <v>bg</v>
      </c>
      <c r="AF506" s="6" t="str">
        <f>IFERROR(__xludf.DUMMYFUNCTION("""COMPUTED_VALUE"""),"Plovdiv")</f>
        <v>Plovdiv</v>
      </c>
      <c r="AG506" s="6" t="str">
        <f>IFERROR(__xludf.DUMMYFUNCTION("""COMPUTED_VALUE"""),"Hr. Y.M. Tirozov")</f>
        <v>Hr. Y.M. Tirozov</v>
      </c>
      <c r="AH506" s="6" t="str">
        <f>IFERROR(__xludf.DUMMYFUNCTION("""COMPUTED_VALUE"""),"NL36INGB0670532533")</f>
        <v>NL36INGB0670532533</v>
      </c>
      <c r="AI506" s="9">
        <f>IFERROR(__xludf.DUMMYFUNCTION("""COMPUTED_VALUE"""),40135.0)</f>
        <v>40135</v>
      </c>
      <c r="AJ506" s="6" t="str">
        <f>IFERROR(__xludf.DUMMYFUNCTION("""COMPUTED_VALUE"""),"ID Kaart")</f>
        <v>ID Kaart</v>
      </c>
      <c r="AK506" s="6">
        <f>IFERROR(__xludf.DUMMYFUNCTION("""COMPUTED_VALUE"""),6.4174879E8)</f>
        <v>641748790</v>
      </c>
      <c r="AL506" s="9">
        <f>IFERROR(__xludf.DUMMYFUNCTION("""COMPUTED_VALUE"""),44194.0)</f>
        <v>44194</v>
      </c>
      <c r="AM506" s="6"/>
      <c r="AN506" s="6" t="str">
        <f>IFERROR(__xludf.DUMMYFUNCTION("""COMPUTED_VALUE"""),"Yusuf Mustafov Tirozov")</f>
        <v>Yusuf Mustafov Tirozov</v>
      </c>
      <c r="AO506" s="6">
        <f>IFERROR(__xludf.DUMMYFUNCTION("""COMPUTED_VALUE"""),493.0)</f>
        <v>493</v>
      </c>
    </row>
    <row r="507">
      <c r="A507" s="6" t="str">
        <f>IFERROR(__xludf.DUMMYFUNCTION("""COMPUTED_VALUE"""),"Yani Yoni VOF")</f>
        <v>Yani Yoni VOF</v>
      </c>
      <c r="B507" s="6" t="str">
        <f>IFERROR(__xludf.DUMMYFUNCTION("""COMPUTED_VALUE"""),"Yani Yoni VOF")</f>
        <v>Yani Yoni VOF</v>
      </c>
      <c r="C507" s="6">
        <f>IFERROR(__xludf.DUMMYFUNCTION("""COMPUTED_VALUE"""),277.0)</f>
        <v>277</v>
      </c>
      <c r="D507" s="7" t="str">
        <f>IFERROR(__xludf.DUMMYFUNCTION("""COMPUTED_VALUE"""),"Dimitar Atanasov Kehayov")</f>
        <v>Dimitar Atanasov Kehayov</v>
      </c>
      <c r="E507" s="7" t="str">
        <f>IFERROR(__xludf.DUMMYFUNCTION("""COMPUTED_VALUE"""),"SBI-code: 4120 - Algemene burgerlijke en utiliteitsbouw")</f>
        <v>SBI-code: 4120 - Algemene burgerlijke en utiliteitsbouw</v>
      </c>
      <c r="F507" s="7" t="str">
        <f>IFERROR(__xludf.DUMMYFUNCTION("""COMPUTED_VALUE"""),"0655135390")</f>
        <v>0655135390</v>
      </c>
      <c r="G507" s="6" t="str">
        <f>IFERROR(__xludf.DUMMYFUNCTION("""COMPUTED_VALUE"""),"facturen@yaniyoni.nl")</f>
        <v>facturen@yaniyoni.nl</v>
      </c>
      <c r="H507" s="6" t="str">
        <f>IFERROR(__xludf.DUMMYFUNCTION("""COMPUTED_VALUE"""),"Miamihof 32")</f>
        <v>Miamihof 32</v>
      </c>
      <c r="I507" s="6" t="str">
        <f>IFERROR(__xludf.DUMMYFUNCTION("""COMPUTED_VALUE"""),"2548JB")</f>
        <v>2548JB</v>
      </c>
      <c r="J507" s="6" t="str">
        <f>IFERROR(__xludf.DUMMYFUNCTION("""COMPUTED_VALUE"""),"s-Gravenhage")</f>
        <v>s-Gravenhage</v>
      </c>
      <c r="K507" s="6" t="str">
        <f>IFERROR(__xludf.DUMMYFUNCTION("""COMPUTED_VALUE"""),"Nederland")</f>
        <v>Nederland</v>
      </c>
      <c r="L507" s="6" t="str">
        <f>IFERROR(__xludf.DUMMYFUNCTION("""COMPUTED_VALUE"""),"Кехайов")</f>
        <v>Кехайов</v>
      </c>
      <c r="M507" s="8">
        <f>IFERROR(__xludf.DUMMYFUNCTION("""COMPUTED_VALUE"""),42370.0)</f>
        <v>42370</v>
      </c>
      <c r="N507" s="6" t="str">
        <f>IFERROR(__xludf.DUMMYFUNCTION("""COMPUTED_VALUE"""),"NL854738265B01")</f>
        <v>NL854738265B01</v>
      </c>
      <c r="O507" s="6">
        <f>IFERROR(__xludf.DUMMYFUNCTION("""COMPUTED_VALUE"""),6.2270656E7)</f>
        <v>62270656</v>
      </c>
      <c r="P507" s="6" t="str">
        <f>IFERROR(__xludf.DUMMYFUNCTION("""COMPUTED_VALUE"""),"NL97INGB0006054857")</f>
        <v>NL97INGB0006054857</v>
      </c>
      <c r="Q507" s="9">
        <f>IFERROR(__xludf.DUMMYFUNCTION("""COMPUTED_VALUE"""),42005.0)</f>
        <v>42005</v>
      </c>
      <c r="R507" s="6"/>
      <c r="S507" s="6" t="str">
        <f>IFERROR(__xludf.DUMMYFUNCTION("""COMPUTED_VALUE"""),"NL854738265B01")</f>
        <v>NL854738265B01</v>
      </c>
      <c r="T507" s="6">
        <f>IFERROR(__xludf.DUMMYFUNCTION("""COMPUTED_VALUE"""),8.54738265E8)</f>
        <v>854738265</v>
      </c>
      <c r="U507" s="7" t="str">
        <f>IFERROR(__xludf.DUMMYFUNCTION("""COMPUTED_VALUE"""),"Vennootschap Onder Firma")</f>
        <v>Vennootschap Onder Firma</v>
      </c>
      <c r="V507" s="7" t="str">
        <f>IFERROR(__xludf.DUMMYFUNCTION("""COMPUTED_VALUE"""),"000022789219")</f>
        <v>000022789219</v>
      </c>
      <c r="W507" s="6" t="str">
        <f>IFERROR(__xludf.DUMMYFUNCTION("""COMPUTED_VALUE"""),"ink.yaniyonivof.2288aa@zarabota.nl")</f>
        <v>ink.yaniyonivof.2288aa@zarabota.nl</v>
      </c>
      <c r="X507" s="6" t="str">
        <f>IFERROR(__xludf.DUMMYFUNCTION("""COMPUTED_VALUE"""),"ver.yaniyonivof.2288aa@zarabota.nl")</f>
        <v>ver.yaniyonivof.2288aa@zarabota.nl</v>
      </c>
      <c r="Y507" s="6" t="str">
        <f>IFERROR(__xludf.DUMMYFUNCTION("""COMPUTED_VALUE"""),"Hr.")</f>
        <v>Hr.</v>
      </c>
      <c r="Z507" s="6" t="str">
        <f>IFERROR(__xludf.DUMMYFUNCTION("""COMPUTED_VALUE"""),"Dimitar Atanasov")</f>
        <v>Dimitar Atanasov</v>
      </c>
      <c r="AA507" s="6" t="str">
        <f>IFERROR(__xludf.DUMMYFUNCTION("""COMPUTED_VALUE"""),"Kehayov")</f>
        <v>Kehayov</v>
      </c>
      <c r="AB507" s="6" t="str">
        <f>IFERROR(__xludf.DUMMYFUNCTION("""COMPUTED_VALUE"""),"D.A.")</f>
        <v>D.A.</v>
      </c>
      <c r="AC507" s="6">
        <f>IFERROR(__xludf.DUMMYFUNCTION("""COMPUTED_VALUE"""),3.7083116E8)</f>
        <v>370831160</v>
      </c>
      <c r="AD507" s="9">
        <f>IFERROR(__xludf.DUMMYFUNCTION("""COMPUTED_VALUE"""),27866.0)</f>
        <v>27866</v>
      </c>
      <c r="AE507" s="6" t="str">
        <f>IFERROR(__xludf.DUMMYFUNCTION("""COMPUTED_VALUE"""),"bg")</f>
        <v>bg</v>
      </c>
      <c r="AF507" s="6"/>
      <c r="AG507" s="6" t="str">
        <f>IFERROR(__xludf.DUMMYFUNCTION("""COMPUTED_VALUE"""),"Hr. D.A. Kehayov")</f>
        <v>Hr. D.A. Kehayov</v>
      </c>
      <c r="AH507" s="6"/>
      <c r="AI507" s="6"/>
      <c r="AJ507" s="6"/>
      <c r="AK507" s="6"/>
      <c r="AL507" s="6"/>
      <c r="AM507" s="6"/>
      <c r="AN507" s="6" t="str">
        <f>IFERROR(__xludf.DUMMYFUNCTION("""COMPUTED_VALUE"""),"Dimitar Atanasov Kehayov")</f>
        <v>Dimitar Atanasov Kehayov</v>
      </c>
      <c r="AO507" s="6">
        <f>IFERROR(__xludf.DUMMYFUNCTION("""COMPUTED_VALUE"""),277.0)</f>
        <v>277</v>
      </c>
    </row>
    <row r="508">
      <c r="A508" s="6" t="str">
        <f>IFERROR(__xludf.DUMMYFUNCTION("""COMPUTED_VALUE"""),"Yanko Daniel")</f>
        <v>Yanko Daniel</v>
      </c>
      <c r="B508" s="6" t="str">
        <f>IFERROR(__xludf.DUMMYFUNCTION("""COMPUTED_VALUE"""),"Yanko Daniel")</f>
        <v>Yanko Daniel</v>
      </c>
      <c r="C508" s="6">
        <f>IFERROR(__xludf.DUMMYFUNCTION("""COMPUTED_VALUE"""),920.0)</f>
        <v>920</v>
      </c>
      <c r="D508" s="7" t="str">
        <f>IFERROR(__xludf.DUMMYFUNCTION("""COMPUTED_VALUE"""),"Yanko Demirev Angelov")</f>
        <v>Yanko Demirev Angelov</v>
      </c>
      <c r="E508" s="7" t="str">
        <f>IFERROR(__xludf.DUMMYFUNCTION("""COMPUTED_VALUE"""),"SBI-code: 4120 - Algemene burgerlijke en utiliteitsbouw")</f>
        <v>SBI-code: 4120 - Algemene burgerlijke en utiliteitsbouw</v>
      </c>
      <c r="F508" s="7" t="str">
        <f>IFERROR(__xludf.DUMMYFUNCTION("""COMPUTED_VALUE"""),"0685356465")</f>
        <v>0685356465</v>
      </c>
      <c r="G508" s="6" t="str">
        <f>IFERROR(__xludf.DUMMYFUNCTION("""COMPUTED_VALUE"""),"yankodaniel2007@gmail.com")</f>
        <v>yankodaniel2007@gmail.com</v>
      </c>
      <c r="H508" s="6" t="str">
        <f>IFERROR(__xludf.DUMMYFUNCTION("""COMPUTED_VALUE"""),"Schalk Burgerstraat 294")</f>
        <v>Schalk Burgerstraat 294</v>
      </c>
      <c r="I508" s="6" t="str">
        <f>IFERROR(__xludf.DUMMYFUNCTION("""COMPUTED_VALUE"""),"2572TG")</f>
        <v>2572TG</v>
      </c>
      <c r="J508" s="6" t="str">
        <f>IFERROR(__xludf.DUMMYFUNCTION("""COMPUTED_VALUE"""),"s-Gravenhage")</f>
        <v>s-Gravenhage</v>
      </c>
      <c r="K508" s="6" t="str">
        <f>IFERROR(__xludf.DUMMYFUNCTION("""COMPUTED_VALUE"""),"Nederland")</f>
        <v>Nederland</v>
      </c>
      <c r="L508" s="6" t="str">
        <f>IFERROR(__xludf.DUMMYFUNCTION("""COMPUTED_VALUE"""),"Ангелов")</f>
        <v>Ангелов</v>
      </c>
      <c r="M508" s="8">
        <f>IFERROR(__xludf.DUMMYFUNCTION("""COMPUTED_VALUE"""),43878.0)</f>
        <v>43878</v>
      </c>
      <c r="N508" s="6" t="str">
        <f>IFERROR(__xludf.DUMMYFUNCTION("""COMPUTED_VALUE"""),"NL682540791B01")</f>
        <v>NL682540791B01</v>
      </c>
      <c r="O508" s="6">
        <f>IFERROR(__xludf.DUMMYFUNCTION("""COMPUTED_VALUE"""),7.7348591E7)</f>
        <v>77348591</v>
      </c>
      <c r="P508" s="6" t="str">
        <f>IFERROR(__xludf.DUMMYFUNCTION("""COMPUTED_VALUE"""),"NL57INGB0006162277")</f>
        <v>NL57INGB0006162277</v>
      </c>
      <c r="Q508" s="9">
        <f>IFERROR(__xludf.DUMMYFUNCTION("""COMPUTED_VALUE"""),43878.0)</f>
        <v>43878</v>
      </c>
      <c r="R508" s="6"/>
      <c r="S508" s="6" t="str">
        <f>IFERROR(__xludf.DUMMYFUNCTION("""COMPUTED_VALUE"""),"NL003184114B48")</f>
        <v>NL003184114B48</v>
      </c>
      <c r="T508" s="6">
        <f>IFERROR(__xludf.DUMMYFUNCTION("""COMPUTED_VALUE"""),6.82540791E8)</f>
        <v>682540791</v>
      </c>
      <c r="U508" s="7" t="str">
        <f>IFERROR(__xludf.DUMMYFUNCTION("""COMPUTED_VALUE"""),"Eenmanszaak")</f>
        <v>Eenmanszaak</v>
      </c>
      <c r="V508" s="7" t="str">
        <f>IFERROR(__xludf.DUMMYFUNCTION("""COMPUTED_VALUE"""),"000045055009")</f>
        <v>000045055009</v>
      </c>
      <c r="W508" s="6" t="str">
        <f>IFERROR(__xludf.DUMMYFUNCTION("""COMPUTED_VALUE"""),"ink.yankodaniel.2288aa@zarabota.nl")</f>
        <v>ink.yankodaniel.2288aa@zarabota.nl</v>
      </c>
      <c r="X508" s="6" t="str">
        <f>IFERROR(__xludf.DUMMYFUNCTION("""COMPUTED_VALUE"""),"ver.yankodaniel.2288aa@zarabota.nl")</f>
        <v>ver.yankodaniel.2288aa@zarabota.nl</v>
      </c>
      <c r="Y508" s="6" t="str">
        <f>IFERROR(__xludf.DUMMYFUNCTION("""COMPUTED_VALUE"""),"Hr.")</f>
        <v>Hr.</v>
      </c>
      <c r="Z508" s="6" t="str">
        <f>IFERROR(__xludf.DUMMYFUNCTION("""COMPUTED_VALUE"""),"Yanko Demirev")</f>
        <v>Yanko Demirev</v>
      </c>
      <c r="AA508" s="6" t="str">
        <f>IFERROR(__xludf.DUMMYFUNCTION("""COMPUTED_VALUE"""),"Angelov")</f>
        <v>Angelov</v>
      </c>
      <c r="AB508" s="6" t="str">
        <f>IFERROR(__xludf.DUMMYFUNCTION("""COMPUTED_VALUE"""),"Y.D.")</f>
        <v>Y.D.</v>
      </c>
      <c r="AC508" s="6">
        <f>IFERROR(__xludf.DUMMYFUNCTION("""COMPUTED_VALUE"""),6.82540791E8)</f>
        <v>682540791</v>
      </c>
      <c r="AD508" s="9">
        <f>IFERROR(__xludf.DUMMYFUNCTION("""COMPUTED_VALUE"""),30878.0)</f>
        <v>30878</v>
      </c>
      <c r="AE508" s="6" t="str">
        <f>IFERROR(__xludf.DUMMYFUNCTION("""COMPUTED_VALUE"""),"bg")</f>
        <v>bg</v>
      </c>
      <c r="AF508" s="6" t="str">
        <f>IFERROR(__xludf.DUMMYFUNCTION("""COMPUTED_VALUE"""),"Haskovo")</f>
        <v>Haskovo</v>
      </c>
      <c r="AG508" s="6" t="str">
        <f>IFERROR(__xludf.DUMMYFUNCTION("""COMPUTED_VALUE"""),"Hr. Y.D. Angelov")</f>
        <v>Hr. Y.D. Angelov</v>
      </c>
      <c r="AH508" s="6" t="str">
        <f>IFERROR(__xludf.DUMMYFUNCTION("""COMPUTED_VALUE"""),"NL38INGB0650764382")</f>
        <v>NL38INGB0650764382</v>
      </c>
      <c r="AI508" s="9">
        <f>IFERROR(__xludf.DUMMYFUNCTION("""COMPUTED_VALUE"""),43705.0)</f>
        <v>43705</v>
      </c>
      <c r="AJ508" s="6" t="str">
        <f>IFERROR(__xludf.DUMMYFUNCTION("""COMPUTED_VALUE"""),"ID Kaart")</f>
        <v>ID Kaart</v>
      </c>
      <c r="AK508" s="6">
        <f>IFERROR(__xludf.DUMMYFUNCTION("""COMPUTED_VALUE"""),6.46772844E8)</f>
        <v>646772844</v>
      </c>
      <c r="AL508" s="9">
        <f>IFERROR(__xludf.DUMMYFUNCTION("""COMPUTED_VALUE"""),46402.0)</f>
        <v>46402</v>
      </c>
      <c r="AM508" s="6" t="str">
        <f>IFERROR(__xludf.DUMMYFUNCTION("""COMPUTED_VALUE"""),"Bulgarije")</f>
        <v>Bulgarije</v>
      </c>
      <c r="AN508" s="6" t="str">
        <f>IFERROR(__xludf.DUMMYFUNCTION("""COMPUTED_VALUE"""),"Yanko Demirev Angelov")</f>
        <v>Yanko Demirev Angelov</v>
      </c>
      <c r="AO508" s="6"/>
    </row>
    <row r="509">
      <c r="A509" s="6" t="str">
        <f>IFERROR(__xludf.DUMMYFUNCTION("""COMPUTED_VALUE"""),"Yanko Semov")</f>
        <v>Yanko Semov</v>
      </c>
      <c r="B509" s="6" t="str">
        <f>IFERROR(__xludf.DUMMYFUNCTION("""COMPUTED_VALUE"""),"Yanko Semov - GEEN DIENSTEN TOT HIJ HEEFT BETAALD")</f>
        <v>Yanko Semov - GEEN DIENSTEN TOT HIJ HEEFT BETAALD</v>
      </c>
      <c r="C509" s="6">
        <f>IFERROR(__xludf.DUMMYFUNCTION("""COMPUTED_VALUE"""),1564.0)</f>
        <v>1564</v>
      </c>
      <c r="D509" s="7" t="str">
        <f>IFERROR(__xludf.DUMMYFUNCTION("""COMPUTED_VALUE"""),"Yanko Dimitrov Semov")</f>
        <v>Yanko Dimitrov Semov</v>
      </c>
      <c r="E509" s="7" t="str">
        <f>IFERROR(__xludf.DUMMYFUNCTION("""COMPUTED_VALUE"""),"SBI-code: 4222 - Leggen van elektriciteits- en telecommunicatiekabels")</f>
        <v>SBI-code: 4222 - Leggen van elektriciteits- en telecommunicatiekabels</v>
      </c>
      <c r="F509" s="7" t="str">
        <f>IFERROR(__xludf.DUMMYFUNCTION("""COMPUTED_VALUE"""),"0687325355")</f>
        <v>0687325355</v>
      </c>
      <c r="G509" s="6" t="str">
        <f>IFERROR(__xludf.DUMMYFUNCTION("""COMPUTED_VALUE"""),"semovyanko62@gmail.com")</f>
        <v>semovyanko62@gmail.com</v>
      </c>
      <c r="H509" s="6" t="str">
        <f>IFERROR(__xludf.DUMMYFUNCTION("""COMPUTED_VALUE"""),"Harderwijkstraat 43")</f>
        <v>Harderwijkstraat 43</v>
      </c>
      <c r="I509" s="6" t="str">
        <f>IFERROR(__xludf.DUMMYFUNCTION("""COMPUTED_VALUE"""),"2573ZB")</f>
        <v>2573ZB</v>
      </c>
      <c r="J509" s="6" t="str">
        <f>IFERROR(__xludf.DUMMYFUNCTION("""COMPUTED_VALUE"""),"s-Gravenhage")</f>
        <v>s-Gravenhage</v>
      </c>
      <c r="K509" s="6" t="str">
        <f>IFERROR(__xludf.DUMMYFUNCTION("""COMPUTED_VALUE"""),"Nederland")</f>
        <v>Nederland</v>
      </c>
      <c r="L509" s="6" t="str">
        <f>IFERROR(__xludf.DUMMYFUNCTION("""COMPUTED_VALUE"""),"Семов")</f>
        <v>Семов</v>
      </c>
      <c r="M509" s="8">
        <f>IFERROR(__xludf.DUMMYFUNCTION("""COMPUTED_VALUE"""),45257.0)</f>
        <v>45257</v>
      </c>
      <c r="N509" s="6" t="str">
        <f>IFERROR(__xludf.DUMMYFUNCTION("""COMPUTED_VALUE"""),"NL570709544B01")</f>
        <v>NL570709544B01</v>
      </c>
      <c r="O509" s="6">
        <f>IFERROR(__xludf.DUMMYFUNCTION("""COMPUTED_VALUE"""),9.2087787E7)</f>
        <v>92087787</v>
      </c>
      <c r="P509" s="6" t="str">
        <f>IFERROR(__xludf.DUMMYFUNCTION("""COMPUTED_VALUE"""),"NL57SNSB8845547957")</f>
        <v>NL57SNSB8845547957</v>
      </c>
      <c r="Q509" s="9">
        <f>IFERROR(__xludf.DUMMYFUNCTION("""COMPUTED_VALUE"""),45257.0)</f>
        <v>45257</v>
      </c>
      <c r="R509" s="6"/>
      <c r="S509" s="6" t="str">
        <f>IFERROR(__xludf.DUMMYFUNCTION("""COMPUTED_VALUE"""),"NL004935744B12")</f>
        <v>NL004935744B12</v>
      </c>
      <c r="T509" s="6">
        <f>IFERROR(__xludf.DUMMYFUNCTION("""COMPUTED_VALUE"""),5.70709544E8)</f>
        <v>570709544</v>
      </c>
      <c r="U509" s="7" t="str">
        <f>IFERROR(__xludf.DUMMYFUNCTION("""COMPUTED_VALUE"""),"Eenmanszaak")</f>
        <v>Eenmanszaak</v>
      </c>
      <c r="V509" s="7" t="str">
        <f>IFERROR(__xludf.DUMMYFUNCTION("""COMPUTED_VALUE"""),"000057732604")</f>
        <v>000057732604</v>
      </c>
      <c r="W509" s="6" t="str">
        <f>IFERROR(__xludf.DUMMYFUNCTION("""COMPUTED_VALUE"""),"ink.yankosemov.2288aa@zarabota.nl")</f>
        <v>ink.yankosemov.2288aa@zarabota.nl</v>
      </c>
      <c r="X509" s="6" t="str">
        <f>IFERROR(__xludf.DUMMYFUNCTION("""COMPUTED_VALUE"""),"ver.yankosemov.2288aa@zarabota.nl")</f>
        <v>ver.yankosemov.2288aa@zarabota.nl</v>
      </c>
      <c r="Y509" s="6" t="str">
        <f>IFERROR(__xludf.DUMMYFUNCTION("""COMPUTED_VALUE"""),"Hr.")</f>
        <v>Hr.</v>
      </c>
      <c r="Z509" s="6" t="str">
        <f>IFERROR(__xludf.DUMMYFUNCTION("""COMPUTED_VALUE"""),"Yanko Dimitrov")</f>
        <v>Yanko Dimitrov</v>
      </c>
      <c r="AA509" s="6" t="str">
        <f>IFERROR(__xludf.DUMMYFUNCTION("""COMPUTED_VALUE"""),"Semov")</f>
        <v>Semov</v>
      </c>
      <c r="AB509" s="6" t="str">
        <f>IFERROR(__xludf.DUMMYFUNCTION("""COMPUTED_VALUE"""),"Y.D.")</f>
        <v>Y.D.</v>
      </c>
      <c r="AC509" s="6">
        <f>IFERROR(__xludf.DUMMYFUNCTION("""COMPUTED_VALUE"""),5.70709544E8)</f>
        <v>570709544</v>
      </c>
      <c r="AD509" s="9">
        <f>IFERROR(__xludf.DUMMYFUNCTION("""COMPUTED_VALUE"""),37700.0)</f>
        <v>37700</v>
      </c>
      <c r="AE509" s="6" t="str">
        <f>IFERROR(__xludf.DUMMYFUNCTION("""COMPUTED_VALUE"""),"bg")</f>
        <v>bg</v>
      </c>
      <c r="AF509" s="6" t="str">
        <f>IFERROR(__xludf.DUMMYFUNCTION("""COMPUTED_VALUE"""),"Parvomay")</f>
        <v>Parvomay</v>
      </c>
      <c r="AG509" s="6" t="str">
        <f>IFERROR(__xludf.DUMMYFUNCTION("""COMPUTED_VALUE"""),"Hr. Y.D. Semov")</f>
        <v>Hr. Y.D. Semov</v>
      </c>
      <c r="AH509" s="6" t="str">
        <f>IFERROR(__xludf.DUMMYFUNCTION("""COMPUTED_VALUE"""),"LT743250078137894389")</f>
        <v>LT743250078137894389</v>
      </c>
      <c r="AI509" s="6"/>
      <c r="AJ509" s="6" t="str">
        <f>IFERROR(__xludf.DUMMYFUNCTION("""COMPUTED_VALUE"""),"ID Kaart")</f>
        <v>ID Kaart</v>
      </c>
      <c r="AK509" s="6">
        <f>IFERROR(__xludf.DUMMYFUNCTION("""COMPUTED_VALUE"""),6.5093523E8)</f>
        <v>650935230</v>
      </c>
      <c r="AL509" s="9">
        <f>IFERROR(__xludf.DUMMYFUNCTION("""COMPUTED_VALUE"""),48092.0)</f>
        <v>48092</v>
      </c>
      <c r="AM509" s="6" t="str">
        <f>IFERROR(__xludf.DUMMYFUNCTION("""COMPUTED_VALUE"""),"Bulgarije")</f>
        <v>Bulgarije</v>
      </c>
      <c r="AN509" s="6" t="str">
        <f>IFERROR(__xludf.DUMMYFUNCTION("""COMPUTED_VALUE"""),"Yanko Dimitrov Semov")</f>
        <v>Yanko Dimitrov Semov</v>
      </c>
      <c r="AO509" s="6">
        <f>IFERROR(__xludf.DUMMYFUNCTION("""COMPUTED_VALUE"""),1564.0)</f>
        <v>1564</v>
      </c>
    </row>
    <row r="510">
      <c r="A510" s="6" t="str">
        <f>IFERROR(__xludf.DUMMYFUNCTION("""COMPUTED_VALUE"""),"Yankov Bouw")</f>
        <v>Yankov Bouw</v>
      </c>
      <c r="B510" s="6" t="str">
        <f>IFERROR(__xludf.DUMMYFUNCTION("""COMPUTED_VALUE"""),"Yankov Bouw")</f>
        <v>Yankov Bouw</v>
      </c>
      <c r="C510" s="6">
        <f>IFERROR(__xludf.DUMMYFUNCTION("""COMPUTED_VALUE"""),703.0)</f>
        <v>703</v>
      </c>
      <c r="D510" s="7" t="str">
        <f>IFERROR(__xludf.DUMMYFUNCTION("""COMPUTED_VALUE"""),"Hristo Mitkov Yankov")</f>
        <v>Hristo Mitkov Yankov</v>
      </c>
      <c r="E510" s="7" t="str">
        <f>IFERROR(__xludf.DUMMYFUNCTION("""COMPUTED_VALUE"""),"SBI-code: 4120 - Algemene burgerlijke en utiliteitsbouw")</f>
        <v>SBI-code: 4120 - Algemene burgerlijke en utiliteitsbouw</v>
      </c>
      <c r="F510" s="7" t="str">
        <f>IFERROR(__xludf.DUMMYFUNCTION("""COMPUTED_VALUE"""),"0684883707")</f>
        <v>0684883707</v>
      </c>
      <c r="G510" s="6" t="str">
        <f>IFERROR(__xludf.DUMMYFUNCTION("""COMPUTED_VALUE"""),"icoiankow@gmail.com")</f>
        <v>icoiankow@gmail.com</v>
      </c>
      <c r="H510" s="6" t="str">
        <f>IFERROR(__xludf.DUMMYFUNCTION("""COMPUTED_VALUE"""),"Coevordenstraat 120")</f>
        <v>Coevordenstraat 120</v>
      </c>
      <c r="I510" s="6" t="str">
        <f>IFERROR(__xludf.DUMMYFUNCTION("""COMPUTED_VALUE"""),"2541SN")</f>
        <v>2541SN</v>
      </c>
      <c r="J510" s="6" t="str">
        <f>IFERROR(__xludf.DUMMYFUNCTION("""COMPUTED_VALUE"""),"s-Gravenhage")</f>
        <v>s-Gravenhage</v>
      </c>
      <c r="K510" s="6" t="str">
        <f>IFERROR(__xludf.DUMMYFUNCTION("""COMPUTED_VALUE"""),"Nederland")</f>
        <v>Nederland</v>
      </c>
      <c r="L510" s="6" t="str">
        <f>IFERROR(__xludf.DUMMYFUNCTION("""COMPUTED_VALUE"""),"Янков")</f>
        <v>Янков</v>
      </c>
      <c r="M510" s="8">
        <f>IFERROR(__xludf.DUMMYFUNCTION("""COMPUTED_VALUE"""),43514.0)</f>
        <v>43514</v>
      </c>
      <c r="N510" s="6" t="str">
        <f>IFERROR(__xludf.DUMMYFUNCTION("""COMPUTED_VALUE"""),"NL439333131B01")</f>
        <v>NL439333131B01</v>
      </c>
      <c r="O510" s="6">
        <f>IFERROR(__xludf.DUMMYFUNCTION("""COMPUTED_VALUE"""),7.397554E7)</f>
        <v>73975540</v>
      </c>
      <c r="P510" s="6" t="str">
        <f>IFERROR(__xludf.DUMMYFUNCTION("""COMPUTED_VALUE"""),"NL35INGB0009205272")</f>
        <v>NL35INGB0009205272</v>
      </c>
      <c r="Q510" s="9">
        <f>IFERROR(__xludf.DUMMYFUNCTION("""COMPUTED_VALUE"""),43514.0)</f>
        <v>43514</v>
      </c>
      <c r="R510" s="6"/>
      <c r="S510" s="6" t="str">
        <f>IFERROR(__xludf.DUMMYFUNCTION("""COMPUTED_VALUE"""),"NL002484173B46")</f>
        <v>NL002484173B46</v>
      </c>
      <c r="T510" s="6">
        <f>IFERROR(__xludf.DUMMYFUNCTION("""COMPUTED_VALUE"""),4.39333131E8)</f>
        <v>439333131</v>
      </c>
      <c r="U510" s="7" t="str">
        <f>IFERROR(__xludf.DUMMYFUNCTION("""COMPUTED_VALUE"""),"Eenmanszaak")</f>
        <v>Eenmanszaak</v>
      </c>
      <c r="V510" s="7" t="str">
        <f>IFERROR(__xludf.DUMMYFUNCTION("""COMPUTED_VALUE"""),"000041967763")</f>
        <v>000041967763</v>
      </c>
      <c r="W510" s="6" t="str">
        <f>IFERROR(__xludf.DUMMYFUNCTION("""COMPUTED_VALUE"""),"ink.yankovbouw.2288aa@zarabota.nl")</f>
        <v>ink.yankovbouw.2288aa@zarabota.nl</v>
      </c>
      <c r="X510" s="6" t="str">
        <f>IFERROR(__xludf.DUMMYFUNCTION("""COMPUTED_VALUE"""),"ver.yankovbouw.2288aa@zarabota.nl")</f>
        <v>ver.yankovbouw.2288aa@zarabota.nl</v>
      </c>
      <c r="Y510" s="6" t="str">
        <f>IFERROR(__xludf.DUMMYFUNCTION("""COMPUTED_VALUE"""),"Hr.")</f>
        <v>Hr.</v>
      </c>
      <c r="Z510" s="6" t="str">
        <f>IFERROR(__xludf.DUMMYFUNCTION("""COMPUTED_VALUE"""),"Hristo Mitkov")</f>
        <v>Hristo Mitkov</v>
      </c>
      <c r="AA510" s="6" t="str">
        <f>IFERROR(__xludf.DUMMYFUNCTION("""COMPUTED_VALUE"""),"Yankov")</f>
        <v>Yankov</v>
      </c>
      <c r="AB510" s="6" t="str">
        <f>IFERROR(__xludf.DUMMYFUNCTION("""COMPUTED_VALUE"""),"H.M.")</f>
        <v>H.M.</v>
      </c>
      <c r="AC510" s="6">
        <f>IFERROR(__xludf.DUMMYFUNCTION("""COMPUTED_VALUE"""),4.39333131E8)</f>
        <v>439333131</v>
      </c>
      <c r="AD510" s="9">
        <f>IFERROR(__xludf.DUMMYFUNCTION("""COMPUTED_VALUE"""),30064.0)</f>
        <v>30064</v>
      </c>
      <c r="AE510" s="6" t="str">
        <f>IFERROR(__xludf.DUMMYFUNCTION("""COMPUTED_VALUE"""),"bg")</f>
        <v>bg</v>
      </c>
      <c r="AF510" s="6" t="str">
        <f>IFERROR(__xludf.DUMMYFUNCTION("""COMPUTED_VALUE"""),"Haskovo")</f>
        <v>Haskovo</v>
      </c>
      <c r="AG510" s="6" t="str">
        <f>IFERROR(__xludf.DUMMYFUNCTION("""COMPUTED_VALUE"""),"Hr. H.M. Yankov")</f>
        <v>Hr. H.M. Yankov</v>
      </c>
      <c r="AH510" s="6"/>
      <c r="AI510" s="6"/>
      <c r="AJ510" s="6"/>
      <c r="AK510" s="6"/>
      <c r="AL510" s="6"/>
      <c r="AM510" s="6"/>
      <c r="AN510" s="6" t="str">
        <f>IFERROR(__xludf.DUMMYFUNCTION("""COMPUTED_VALUE"""),"Hristo Mitkov Yankov")</f>
        <v>Hristo Mitkov Yankov</v>
      </c>
      <c r="AO510" s="6"/>
    </row>
    <row r="511">
      <c r="A511" s="6" t="str">
        <f>IFERROR(__xludf.DUMMYFUNCTION("""COMPUTED_VALUE"""),"Yazdan")</f>
        <v>Yazdan</v>
      </c>
      <c r="B511" s="6" t="str">
        <f>IFERROR(__xludf.DUMMYFUNCTION("""COMPUTED_VALUE"""),"Yazdan")</f>
        <v>Yazdan</v>
      </c>
      <c r="C511" s="6">
        <f>IFERROR(__xludf.DUMMYFUNCTION("""COMPUTED_VALUE"""),1531.0)</f>
        <v>1531</v>
      </c>
      <c r="D511" s="7" t="str">
        <f>IFERROR(__xludf.DUMMYFUNCTION("""COMPUTED_VALUE"""),"Ghulam Zakriya Rasouli")</f>
        <v>Ghulam Zakriya Rasouli</v>
      </c>
      <c r="E511" s="7" t="str">
        <f>IFERROR(__xludf.DUMMYFUNCTION("""COMPUTED_VALUE"""),"SBI-code: 4941 - Goederenvervoer over de weg (geen verhuizingen)")</f>
        <v>SBI-code: 4941 - Goederenvervoer over de weg (geen verhuizingen)</v>
      </c>
      <c r="F511" s="7" t="str">
        <f>IFERROR(__xludf.DUMMYFUNCTION("""COMPUTED_VALUE"""),"0640121026")</f>
        <v>0640121026</v>
      </c>
      <c r="G511" s="6" t="str">
        <f>IFERROR(__xludf.DUMMYFUNCTION("""COMPUTED_VALUE"""),"sty1e@hotmail.com")</f>
        <v>sty1e@hotmail.com</v>
      </c>
      <c r="H511" s="6" t="str">
        <f>IFERROR(__xludf.DUMMYFUNCTION("""COMPUTED_VALUE"""),"Digna Johannaweg 217")</f>
        <v>Digna Johannaweg 217</v>
      </c>
      <c r="I511" s="6" t="str">
        <f>IFERROR(__xludf.DUMMYFUNCTION("""COMPUTED_VALUE"""),"3193PE")</f>
        <v>3193PE</v>
      </c>
      <c r="J511" s="6" t="str">
        <f>IFERROR(__xludf.DUMMYFUNCTION("""COMPUTED_VALUE"""),"Hoogvliet Rotterdam")</f>
        <v>Hoogvliet Rotterdam</v>
      </c>
      <c r="K511" s="6" t="str">
        <f>IFERROR(__xludf.DUMMYFUNCTION("""COMPUTED_VALUE"""),"Nederland")</f>
        <v>Nederland</v>
      </c>
      <c r="L511" s="6" t="str">
        <f>IFERROR(__xludf.DUMMYFUNCTION("""COMPUTED_VALUE"""),"Rasouli")</f>
        <v>Rasouli</v>
      </c>
      <c r="M511" s="8">
        <f>IFERROR(__xludf.DUMMYFUNCTION("""COMPUTED_VALUE"""),45097.0)</f>
        <v>45097</v>
      </c>
      <c r="N511" s="6" t="str">
        <f>IFERROR(__xludf.DUMMYFUNCTION("""COMPUTED_VALUE"""),"NL343270481B01")</f>
        <v>NL343270481B01</v>
      </c>
      <c r="O511" s="6">
        <f>IFERROR(__xludf.DUMMYFUNCTION("""COMPUTED_VALUE"""),9.0528263E7)</f>
        <v>90528263</v>
      </c>
      <c r="P511" s="6" t="str">
        <f>IFERROR(__xludf.DUMMYFUNCTION("""COMPUTED_VALUE"""),"NL85ABNA0123446856")</f>
        <v>NL85ABNA0123446856</v>
      </c>
      <c r="Q511" s="9">
        <f>IFERROR(__xludf.DUMMYFUNCTION("""COMPUTED_VALUE"""),45097.0)</f>
        <v>45097</v>
      </c>
      <c r="R511" s="6"/>
      <c r="S511" s="6" t="str">
        <f>IFERROR(__xludf.DUMMYFUNCTION("""COMPUTED_VALUE"""),"NL004823113B41")</f>
        <v>NL004823113B41</v>
      </c>
      <c r="T511" s="6">
        <f>IFERROR(__xludf.DUMMYFUNCTION("""COMPUTED_VALUE"""),3.43270481E8)</f>
        <v>343270481</v>
      </c>
      <c r="U511" s="7" t="str">
        <f>IFERROR(__xludf.DUMMYFUNCTION("""COMPUTED_VALUE"""),"Eenmanszaak")</f>
        <v>Eenmanszaak</v>
      </c>
      <c r="V511" s="7" t="str">
        <f>IFERROR(__xludf.DUMMYFUNCTION("""COMPUTED_VALUE"""),"000056253370")</f>
        <v>000056253370</v>
      </c>
      <c r="W511" s="6" t="str">
        <f>IFERROR(__xludf.DUMMYFUNCTION("""COMPUTED_VALUE"""),"ink.yazdan.2288aa@zarabota.nl")</f>
        <v>ink.yazdan.2288aa@zarabota.nl</v>
      </c>
      <c r="X511" s="6" t="str">
        <f>IFERROR(__xludf.DUMMYFUNCTION("""COMPUTED_VALUE"""),"ver.yazdan.2288aa@zarabota.nl")</f>
        <v>ver.yazdan.2288aa@zarabota.nl</v>
      </c>
      <c r="Y511" s="6" t="str">
        <f>IFERROR(__xludf.DUMMYFUNCTION("""COMPUTED_VALUE"""),"Hr.")</f>
        <v>Hr.</v>
      </c>
      <c r="Z511" s="6" t="str">
        <f>IFERROR(__xludf.DUMMYFUNCTION("""COMPUTED_VALUE"""),"Ghulam Zakriya")</f>
        <v>Ghulam Zakriya</v>
      </c>
      <c r="AA511" s="6" t="str">
        <f>IFERROR(__xludf.DUMMYFUNCTION("""COMPUTED_VALUE"""),"Rasouli")</f>
        <v>Rasouli</v>
      </c>
      <c r="AB511" s="6" t="str">
        <f>IFERROR(__xludf.DUMMYFUNCTION("""COMPUTED_VALUE"""),"G.Z.R.")</f>
        <v>G.Z.R.</v>
      </c>
      <c r="AC511" s="6">
        <f>IFERROR(__xludf.DUMMYFUNCTION("""COMPUTED_VALUE"""),3.43270481E8)</f>
        <v>343270481</v>
      </c>
      <c r="AD511" s="9">
        <f>IFERROR(__xludf.DUMMYFUNCTION("""COMPUTED_VALUE"""),32518.0)</f>
        <v>32518</v>
      </c>
      <c r="AE511" s="6" t="str">
        <f>IFERROR(__xludf.DUMMYFUNCTION("""COMPUTED_VALUE"""),"bg")</f>
        <v>bg</v>
      </c>
      <c r="AF511" s="6" t="str">
        <f>IFERROR(__xludf.DUMMYFUNCTION("""COMPUTED_VALUE"""),"Kandahar")</f>
        <v>Kandahar</v>
      </c>
      <c r="AG511" s="6" t="str">
        <f>IFERROR(__xludf.DUMMYFUNCTION("""COMPUTED_VALUE"""),"Hr. G.Z.R. Rasouli")</f>
        <v>Hr. G.Z.R. Rasouli</v>
      </c>
      <c r="AH511" s="6"/>
      <c r="AI511" s="6"/>
      <c r="AJ511" s="6" t="str">
        <f>IFERROR(__xludf.DUMMYFUNCTION("""COMPUTED_VALUE"""),"Verblijf Kaart")</f>
        <v>Verblijf Kaart</v>
      </c>
      <c r="AK511" s="6" t="str">
        <f>IFERROR(__xludf.DUMMYFUNCTION("""COMPUTED_VALUE"""),"NLD85901334")</f>
        <v>NLD85901334</v>
      </c>
      <c r="AL511" s="9">
        <f>IFERROR(__xludf.DUMMYFUNCTION("""COMPUTED_VALUE"""),45231.0)</f>
        <v>45231</v>
      </c>
      <c r="AM511" s="6" t="str">
        <f>IFERROR(__xludf.DUMMYFUNCTION("""COMPUTED_VALUE"""),"Filipijnen")</f>
        <v>Filipijnen</v>
      </c>
      <c r="AN511" s="6" t="str">
        <f>IFERROR(__xludf.DUMMYFUNCTION("""COMPUTED_VALUE"""),"Ghulam Zakriya Rasouli")</f>
        <v>Ghulam Zakriya Rasouli</v>
      </c>
      <c r="AO511" s="6">
        <f>IFERROR(__xludf.DUMMYFUNCTION("""COMPUTED_VALUE"""),1531.0)</f>
        <v>1531</v>
      </c>
    </row>
    <row r="512">
      <c r="A512" s="6" t="str">
        <f>IFERROR(__xludf.DUMMYFUNCTION("""COMPUTED_VALUE"""),"YIY Services")</f>
        <v>YIY Services</v>
      </c>
      <c r="B512" s="6" t="str">
        <f>IFERROR(__xludf.DUMMYFUNCTION("""COMPUTED_VALUE"""),"YIY Services")</f>
        <v>YIY Services</v>
      </c>
      <c r="C512" s="6">
        <f>IFERROR(__xludf.DUMMYFUNCTION("""COMPUTED_VALUE"""),1708.0)</f>
        <v>1708</v>
      </c>
      <c r="D512" s="7" t="str">
        <f>IFERROR(__xludf.DUMMYFUNCTION("""COMPUTED_VALUE"""),"Yuliyan Iliev Yulianov")</f>
        <v>Yuliyan Iliev Yulianov</v>
      </c>
      <c r="E512" s="7" t="str">
        <f>IFERROR(__xludf.DUMMYFUNCTION("""COMPUTED_VALUE"""),"SBI-code: 0161 - Dienstverlening voor de akker- en/of tuinbouw")</f>
        <v>SBI-code: 0161 - Dienstverlening voor de akker- en/of tuinbouw</v>
      </c>
      <c r="F512" s="7" t="str">
        <f>IFERROR(__xludf.DUMMYFUNCTION("""COMPUTED_VALUE"""),"0687311941")</f>
        <v>0687311941</v>
      </c>
      <c r="G512" s="6" t="str">
        <f>IFERROR(__xludf.DUMMYFUNCTION("""COMPUTED_VALUE"""),"ylianiliev40@gmail.com")</f>
        <v>ylianiliev40@gmail.com</v>
      </c>
      <c r="H512" s="6" t="str">
        <f>IFERROR(__xludf.DUMMYFUNCTION("""COMPUTED_VALUE"""),"Harderwijkstraat 119")</f>
        <v>Harderwijkstraat 119</v>
      </c>
      <c r="I512" s="6" t="str">
        <f>IFERROR(__xludf.DUMMYFUNCTION("""COMPUTED_VALUE"""),"2573 ZC")</f>
        <v>2573 ZC</v>
      </c>
      <c r="J512" s="6" t="str">
        <f>IFERROR(__xludf.DUMMYFUNCTION("""COMPUTED_VALUE"""),"s-Gravenhage")</f>
        <v>s-Gravenhage</v>
      </c>
      <c r="K512" s="6" t="str">
        <f>IFERROR(__xludf.DUMMYFUNCTION("""COMPUTED_VALUE"""),"Nederland")</f>
        <v>Nederland</v>
      </c>
      <c r="L512" s="6" t="str">
        <f>IFERROR(__xludf.DUMMYFUNCTION("""COMPUTED_VALUE"""),"Юлианов")</f>
        <v>Юлианов</v>
      </c>
      <c r="M512" s="8">
        <f>IFERROR(__xludf.DUMMYFUNCTION("""COMPUTED_VALUE"""),45748.0)</f>
        <v>45748</v>
      </c>
      <c r="N512" s="6" t="str">
        <f>IFERROR(__xludf.DUMMYFUNCTION("""COMPUTED_VALUE"""),"NL419582277B01")</f>
        <v>NL419582277B01</v>
      </c>
      <c r="O512" s="6">
        <f>IFERROR(__xludf.DUMMYFUNCTION("""COMPUTED_VALUE"""),9.331641E7)</f>
        <v>93316410</v>
      </c>
      <c r="P512" s="6" t="str">
        <f>IFERROR(__xludf.DUMMYFUNCTION("""COMPUTED_VALUE"""),"NL38RABO0383284880")</f>
        <v>NL38RABO0383284880</v>
      </c>
      <c r="Q512" s="9">
        <f>IFERROR(__xludf.DUMMYFUNCTION("""COMPUTED_VALUE"""),45371.0)</f>
        <v>45371</v>
      </c>
      <c r="R512" s="6"/>
      <c r="S512" s="6" t="str">
        <f>IFERROR(__xludf.DUMMYFUNCTION("""COMPUTED_VALUE"""),"NL005013206B90")</f>
        <v>NL005013206B90</v>
      </c>
      <c r="T512" s="6">
        <f>IFERROR(__xludf.DUMMYFUNCTION("""COMPUTED_VALUE"""),4.19582277E8)</f>
        <v>419582277</v>
      </c>
      <c r="U512" s="7" t="str">
        <f>IFERROR(__xludf.DUMMYFUNCTION("""COMPUTED_VALUE"""),"Eenmanszaak")</f>
        <v>Eenmanszaak</v>
      </c>
      <c r="V512" s="7" t="str">
        <f>IFERROR(__xludf.DUMMYFUNCTION("""COMPUTED_VALUE"""),"000058871055")</f>
        <v>000058871055</v>
      </c>
      <c r="W512" s="6" t="str">
        <f>IFERROR(__xludf.DUMMYFUNCTION("""COMPUTED_VALUE"""),"ink.yiyservices.2288aa@zarabota.nl")</f>
        <v>ink.yiyservices.2288aa@zarabota.nl</v>
      </c>
      <c r="X512" s="6" t="str">
        <f>IFERROR(__xludf.DUMMYFUNCTION("""COMPUTED_VALUE"""),"ver.yiyservices.2288aa@zarabota.nl")</f>
        <v>ver.yiyservices.2288aa@zarabota.nl</v>
      </c>
      <c r="Y512" s="6" t="str">
        <f>IFERROR(__xludf.DUMMYFUNCTION("""COMPUTED_VALUE"""),"Hr.")</f>
        <v>Hr.</v>
      </c>
      <c r="Z512" s="6" t="str">
        <f>IFERROR(__xludf.DUMMYFUNCTION("""COMPUTED_VALUE"""),"Yuliyan Iliev")</f>
        <v>Yuliyan Iliev</v>
      </c>
      <c r="AA512" s="6" t="str">
        <f>IFERROR(__xludf.DUMMYFUNCTION("""COMPUTED_VALUE"""),"Yulianov")</f>
        <v>Yulianov</v>
      </c>
      <c r="AB512" s="6" t="str">
        <f>IFERROR(__xludf.DUMMYFUNCTION("""COMPUTED_VALUE"""),"Y.I.")</f>
        <v>Y.I.</v>
      </c>
      <c r="AC512" s="6">
        <f>IFERROR(__xludf.DUMMYFUNCTION("""COMPUTED_VALUE"""),4.19582277E8)</f>
        <v>419582277</v>
      </c>
      <c r="AD512" s="9">
        <f>IFERROR(__xludf.DUMMYFUNCTION("""COMPUTED_VALUE"""),38014.0)</f>
        <v>38014</v>
      </c>
      <c r="AE512" s="6" t="str">
        <f>IFERROR(__xludf.DUMMYFUNCTION("""COMPUTED_VALUE"""),"bg")</f>
        <v>bg</v>
      </c>
      <c r="AF512" s="6" t="str">
        <f>IFERROR(__xludf.DUMMYFUNCTION("""COMPUTED_VALUE"""),"Haskovo")</f>
        <v>Haskovo</v>
      </c>
      <c r="AG512" s="6" t="str">
        <f>IFERROR(__xludf.DUMMYFUNCTION("""COMPUTED_VALUE"""),"Hr. Y.I. Yulianov")</f>
        <v>Hr. Y.I. Yulianov</v>
      </c>
      <c r="AH512" s="6" t="str">
        <f>IFERROR(__xludf.DUMMYFUNCTION("""COMPUTED_VALUE"""),"NL33RABO0356328961")</f>
        <v>NL33RABO0356328961</v>
      </c>
      <c r="AI512" s="9">
        <f>IFERROR(__xludf.DUMMYFUNCTION("""COMPUTED_VALUE"""),45344.0)</f>
        <v>45344</v>
      </c>
      <c r="AJ512" s="6" t="str">
        <f>IFERROR(__xludf.DUMMYFUNCTION("""COMPUTED_VALUE"""),"ID Kaart")</f>
        <v>ID Kaart</v>
      </c>
      <c r="AK512" s="6">
        <f>IFERROR(__xludf.DUMMYFUNCTION("""COMPUTED_VALUE"""),6.52181386E8)</f>
        <v>652181386</v>
      </c>
      <c r="AL512" s="9">
        <f>IFERROR(__xludf.DUMMYFUNCTION("""COMPUTED_VALUE"""),48591.0)</f>
        <v>48591</v>
      </c>
      <c r="AM512" s="6" t="str">
        <f>IFERROR(__xludf.DUMMYFUNCTION("""COMPUTED_VALUE"""),"Bulgarije")</f>
        <v>Bulgarije</v>
      </c>
      <c r="AN512" s="6" t="str">
        <f>IFERROR(__xludf.DUMMYFUNCTION("""COMPUTED_VALUE"""),"Yuliyan Iliev Yulianov")</f>
        <v>Yuliyan Iliev Yulianov</v>
      </c>
      <c r="AO512" s="6">
        <f>IFERROR(__xludf.DUMMYFUNCTION("""COMPUTED_VALUE"""),1708.0)</f>
        <v>1708</v>
      </c>
    </row>
    <row r="513">
      <c r="A513" s="6" t="str">
        <f>IFERROR(__xludf.DUMMYFUNCTION("""COMPUTED_VALUE"""),"YLEM")</f>
        <v>YLEM</v>
      </c>
      <c r="B513" s="6" t="str">
        <f>IFERROR(__xludf.DUMMYFUNCTION("""COMPUTED_VALUE"""),"YLEM")</f>
        <v>YLEM</v>
      </c>
      <c r="C513" s="6">
        <f>IFERROR(__xludf.DUMMYFUNCTION("""COMPUTED_VALUE"""),1374.0)</f>
        <v>1374</v>
      </c>
      <c r="D513" s="7" t="str">
        <f>IFERROR(__xludf.DUMMYFUNCTION("""COMPUTED_VALUE"""),"Yuriy Nyshta")</f>
        <v>Yuriy Nyshta</v>
      </c>
      <c r="E513" s="7" t="str">
        <f>IFERROR(__xludf.DUMMYFUNCTION("""COMPUTED_VALUE"""),"SBI-code: 4331 - Stukadoren")</f>
        <v>SBI-code: 4331 - Stukadoren</v>
      </c>
      <c r="F513" s="7" t="str">
        <f>IFERROR(__xludf.DUMMYFUNCTION("""COMPUTED_VALUE"""),"0686434249")</f>
        <v>0686434249</v>
      </c>
      <c r="G513" s="6" t="str">
        <f>IFERROR(__xludf.DUMMYFUNCTION("""COMPUTED_VALUE"""),"yuriynyshta@gmail.com")</f>
        <v>yuriynyshta@gmail.com</v>
      </c>
      <c r="H513" s="6" t="str">
        <f>IFERROR(__xludf.DUMMYFUNCTION("""COMPUTED_VALUE"""),"Dierenselaan 110")</f>
        <v>Dierenselaan 110</v>
      </c>
      <c r="I513" s="6" t="str">
        <f>IFERROR(__xludf.DUMMYFUNCTION("""COMPUTED_VALUE"""),"2573KK")</f>
        <v>2573KK</v>
      </c>
      <c r="J513" s="6" t="str">
        <f>IFERROR(__xludf.DUMMYFUNCTION("""COMPUTED_VALUE"""),"s-Gravenhage")</f>
        <v>s-Gravenhage</v>
      </c>
      <c r="K513" s="6" t="str">
        <f>IFERROR(__xludf.DUMMYFUNCTION("""COMPUTED_VALUE"""),"Nederland")</f>
        <v>Nederland</v>
      </c>
      <c r="L513" s="6" t="str">
        <f>IFERROR(__xludf.DUMMYFUNCTION("""COMPUTED_VALUE"""),"Ништа")</f>
        <v>Ништа</v>
      </c>
      <c r="M513" s="8">
        <f>IFERROR(__xludf.DUMMYFUNCTION("""COMPUTED_VALUE"""),44743.0)</f>
        <v>44743</v>
      </c>
      <c r="N513" s="6" t="str">
        <f>IFERROR(__xludf.DUMMYFUNCTION("""COMPUTED_VALUE"""),"NL526425209B01")</f>
        <v>NL526425209B01</v>
      </c>
      <c r="O513" s="6">
        <f>IFERROR(__xludf.DUMMYFUNCTION("""COMPUTED_VALUE"""),8.6817191E7)</f>
        <v>86817191</v>
      </c>
      <c r="P513" s="6" t="str">
        <f>IFERROR(__xludf.DUMMYFUNCTION("""COMPUTED_VALUE"""),"NL79INGB0396090435")</f>
        <v>NL79INGB0396090435</v>
      </c>
      <c r="Q513" s="9">
        <f>IFERROR(__xludf.DUMMYFUNCTION("""COMPUTED_VALUE"""),44743.0)</f>
        <v>44743</v>
      </c>
      <c r="R513" s="6"/>
      <c r="S513" s="6" t="str">
        <f>IFERROR(__xludf.DUMMYFUNCTION("""COMPUTED_VALUE"""),"NL004311638B84")</f>
        <v>NL004311638B84</v>
      </c>
      <c r="T513" s="6">
        <f>IFERROR(__xludf.DUMMYFUNCTION("""COMPUTED_VALUE"""),5.26425209E8)</f>
        <v>526425209</v>
      </c>
      <c r="U513" s="7" t="str">
        <f>IFERROR(__xludf.DUMMYFUNCTION("""COMPUTED_VALUE"""),"Eenmanszaak")</f>
        <v>Eenmanszaak</v>
      </c>
      <c r="V513" s="7" t="str">
        <f>IFERROR(__xludf.DUMMYFUNCTION("""COMPUTED_VALUE"""),"000052768376")</f>
        <v>000052768376</v>
      </c>
      <c r="W513" s="6" t="str">
        <f>IFERROR(__xludf.DUMMYFUNCTION("""COMPUTED_VALUE"""),"ink.ylem.2288aa@zarabota.nl")</f>
        <v>ink.ylem.2288aa@zarabota.nl</v>
      </c>
      <c r="X513" s="6" t="str">
        <f>IFERROR(__xludf.DUMMYFUNCTION("""COMPUTED_VALUE"""),"ver.ylem.2288aa@zarabota.nl")</f>
        <v>ver.ylem.2288aa@zarabota.nl</v>
      </c>
      <c r="Y513" s="6" t="str">
        <f>IFERROR(__xludf.DUMMYFUNCTION("""COMPUTED_VALUE"""),"Hr.")</f>
        <v>Hr.</v>
      </c>
      <c r="Z513" s="6" t="str">
        <f>IFERROR(__xludf.DUMMYFUNCTION("""COMPUTED_VALUE"""),"Yuriy")</f>
        <v>Yuriy</v>
      </c>
      <c r="AA513" s="6" t="str">
        <f>IFERROR(__xludf.DUMMYFUNCTION("""COMPUTED_VALUE"""),"Nyshta")</f>
        <v>Nyshta</v>
      </c>
      <c r="AB513" s="6" t="str">
        <f>IFERROR(__xludf.DUMMYFUNCTION("""COMPUTED_VALUE"""),"Y.")</f>
        <v>Y.</v>
      </c>
      <c r="AC513" s="6">
        <f>IFERROR(__xludf.DUMMYFUNCTION("""COMPUTED_VALUE"""),5.26425209E8)</f>
        <v>526425209</v>
      </c>
      <c r="AD513" s="9">
        <f>IFERROR(__xludf.DUMMYFUNCTION("""COMPUTED_VALUE"""),26345.0)</f>
        <v>26345</v>
      </c>
      <c r="AE513" s="6" t="str">
        <f>IFERROR(__xludf.DUMMYFUNCTION("""COMPUTED_VALUE"""),"bg")</f>
        <v>bg</v>
      </c>
      <c r="AF513" s="6" t="str">
        <f>IFERROR(__xludf.DUMMYFUNCTION("""COMPUTED_VALUE"""),"Zalistsi")</f>
        <v>Zalistsi</v>
      </c>
      <c r="AG513" s="6" t="str">
        <f>IFERROR(__xludf.DUMMYFUNCTION("""COMPUTED_VALUE"""),"Hr. Y. Nyshta")</f>
        <v>Hr. Y. Nyshta</v>
      </c>
      <c r="AH513" s="6" t="str">
        <f>IFERROR(__xludf.DUMMYFUNCTION("""COMPUTED_VALUE"""),"NL25INGB0391331035")</f>
        <v>NL25INGB0391331035</v>
      </c>
      <c r="AI513" s="6"/>
      <c r="AJ513" s="6" t="str">
        <f>IFERROR(__xludf.DUMMYFUNCTION("""COMPUTED_VALUE"""),"Paspoort")</f>
        <v>Paspoort</v>
      </c>
      <c r="AK513" s="6" t="str">
        <f>IFERROR(__xludf.DUMMYFUNCTION("""COMPUTED_VALUE"""),"FU898520")</f>
        <v>FU898520</v>
      </c>
      <c r="AL513" s="9">
        <f>IFERROR(__xludf.DUMMYFUNCTION("""COMPUTED_VALUE"""),47230.0)</f>
        <v>47230</v>
      </c>
      <c r="AM513" s="6" t="str">
        <f>IFERROR(__xludf.DUMMYFUNCTION("""COMPUTED_VALUE"""),"Oekraïne")</f>
        <v>Oekraïne</v>
      </c>
      <c r="AN513" s="6" t="str">
        <f>IFERROR(__xludf.DUMMYFUNCTION("""COMPUTED_VALUE"""),"Yuriy Nyshta")</f>
        <v>Yuriy Nyshta</v>
      </c>
      <c r="AO513" s="6">
        <f>IFERROR(__xludf.DUMMYFUNCTION("""COMPUTED_VALUE"""),1374.0)</f>
        <v>1374</v>
      </c>
    </row>
    <row r="514">
      <c r="A514" s="6" t="str">
        <f>IFERROR(__xludf.DUMMYFUNCTION("""COMPUTED_VALUE"""),"YMD Onderhoud")</f>
        <v>YMD Onderhoud</v>
      </c>
      <c r="B514" s="6" t="str">
        <f>IFERROR(__xludf.DUMMYFUNCTION("""COMPUTED_VALUE"""),"YMD Onderhoud")</f>
        <v>YMD Onderhoud</v>
      </c>
      <c r="C514" s="6">
        <f>IFERROR(__xludf.DUMMYFUNCTION("""COMPUTED_VALUE"""),367.0)</f>
        <v>367</v>
      </c>
      <c r="D514" s="7" t="str">
        <f>IFERROR(__xludf.DUMMYFUNCTION("""COMPUTED_VALUE"""),"Yordan Milanov Dobrev")</f>
        <v>Yordan Milanov Dobrev</v>
      </c>
      <c r="E514" s="7" t="str">
        <f>IFERROR(__xludf.DUMMYFUNCTION("""COMPUTED_VALUE"""),"SBI-code: 4120 - Algemene burgerlijke en utiliteitsbouw")</f>
        <v>SBI-code: 4120 - Algemene burgerlijke en utiliteitsbouw</v>
      </c>
      <c r="F514" s="7" t="str">
        <f>IFERROR(__xludf.DUMMYFUNCTION("""COMPUTED_VALUE"""),"0682779736")</f>
        <v>0682779736</v>
      </c>
      <c r="G514" s="6" t="str">
        <f>IFERROR(__xludf.DUMMYFUNCTION("""COMPUTED_VALUE"""),"dobrevm86@gmail.com")</f>
        <v>dobrevm86@gmail.com</v>
      </c>
      <c r="H514" s="6" t="str">
        <f>IFERROR(__xludf.DUMMYFUNCTION("""COMPUTED_VALUE"""),"Waarderstraat 51")</f>
        <v>Waarderstraat 51</v>
      </c>
      <c r="I514" s="6" t="str">
        <f>IFERROR(__xludf.DUMMYFUNCTION("""COMPUTED_VALUE"""),"2729MA")</f>
        <v>2729MA</v>
      </c>
      <c r="J514" s="6" t="str">
        <f>IFERROR(__xludf.DUMMYFUNCTION("""COMPUTED_VALUE"""),"Zoetermeer")</f>
        <v>Zoetermeer</v>
      </c>
      <c r="K514" s="6" t="str">
        <f>IFERROR(__xludf.DUMMYFUNCTION("""COMPUTED_VALUE"""),"Nederland")</f>
        <v>Nederland</v>
      </c>
      <c r="L514" s="6" t="str">
        <f>IFERROR(__xludf.DUMMYFUNCTION("""COMPUTED_VALUE"""),"Добрев")</f>
        <v>Добрев</v>
      </c>
      <c r="M514" s="8">
        <f>IFERROR(__xludf.DUMMYFUNCTION("""COMPUTED_VALUE"""),43175.0)</f>
        <v>43175</v>
      </c>
      <c r="N514" s="6" t="str">
        <f>IFERROR(__xludf.DUMMYFUNCTION("""COMPUTED_VALUE"""),"NL577406140B01")</f>
        <v>NL577406140B01</v>
      </c>
      <c r="O514" s="6">
        <f>IFERROR(__xludf.DUMMYFUNCTION("""COMPUTED_VALUE"""),6.7854419E7)</f>
        <v>67854419</v>
      </c>
      <c r="P514" s="6" t="str">
        <f>IFERROR(__xludf.DUMMYFUNCTION("""COMPUTED_VALUE"""),"NL44INGB0007621294")</f>
        <v>NL44INGB0007621294</v>
      </c>
      <c r="Q514" s="9">
        <f>IFERROR(__xludf.DUMMYFUNCTION("""COMPUTED_VALUE"""),42748.0)</f>
        <v>42748</v>
      </c>
      <c r="R514" s="6"/>
      <c r="S514" s="6" t="str">
        <f>IFERROR(__xludf.DUMMYFUNCTION("""COMPUTED_VALUE"""),"NL002502760B88")</f>
        <v>NL002502760B88</v>
      </c>
      <c r="T514" s="6">
        <f>IFERROR(__xludf.DUMMYFUNCTION("""COMPUTED_VALUE"""),5.7740614E8)</f>
        <v>577406140</v>
      </c>
      <c r="U514" s="7" t="str">
        <f>IFERROR(__xludf.DUMMYFUNCTION("""COMPUTED_VALUE"""),"Eenmanszaak")</f>
        <v>Eenmanszaak</v>
      </c>
      <c r="V514" s="7" t="str">
        <f>IFERROR(__xludf.DUMMYFUNCTION("""COMPUTED_VALUE"""),"000036348473")</f>
        <v>000036348473</v>
      </c>
      <c r="W514" s="6" t="str">
        <f>IFERROR(__xludf.DUMMYFUNCTION("""COMPUTED_VALUE"""),"ink.ymdonderhoud.2288aa@zarabota.nl")</f>
        <v>ink.ymdonderhoud.2288aa@zarabota.nl</v>
      </c>
      <c r="X514" s="6" t="str">
        <f>IFERROR(__xludf.DUMMYFUNCTION("""COMPUTED_VALUE"""),"ver.ymdonderhoud.2288aa@zarabota.nl")</f>
        <v>ver.ymdonderhoud.2288aa@zarabota.nl</v>
      </c>
      <c r="Y514" s="6" t="str">
        <f>IFERROR(__xludf.DUMMYFUNCTION("""COMPUTED_VALUE"""),"Hr.")</f>
        <v>Hr.</v>
      </c>
      <c r="Z514" s="6" t="str">
        <f>IFERROR(__xludf.DUMMYFUNCTION("""COMPUTED_VALUE"""),"Yordan Milanov")</f>
        <v>Yordan Milanov</v>
      </c>
      <c r="AA514" s="6" t="str">
        <f>IFERROR(__xludf.DUMMYFUNCTION("""COMPUTED_VALUE"""),"Dobrev")</f>
        <v>Dobrev</v>
      </c>
      <c r="AB514" s="6" t="str">
        <f>IFERROR(__xludf.DUMMYFUNCTION("""COMPUTED_VALUE"""),"Y.M.")</f>
        <v>Y.M.</v>
      </c>
      <c r="AC514" s="6">
        <f>IFERROR(__xludf.DUMMYFUNCTION("""COMPUTED_VALUE"""),5.7740614E8)</f>
        <v>577406140</v>
      </c>
      <c r="AD514" s="9">
        <f>IFERROR(__xludf.DUMMYFUNCTION("""COMPUTED_VALUE"""),31563.0)</f>
        <v>31563</v>
      </c>
      <c r="AE514" s="6" t="str">
        <f>IFERROR(__xludf.DUMMYFUNCTION("""COMPUTED_VALUE"""),"bg")</f>
        <v>bg</v>
      </c>
      <c r="AF514" s="6"/>
      <c r="AG514" s="6" t="str">
        <f>IFERROR(__xludf.DUMMYFUNCTION("""COMPUTED_VALUE"""),"Hr. Y.M. Dobrev")</f>
        <v>Hr. Y.M. Dobrev</v>
      </c>
      <c r="AH514" s="6" t="str">
        <f>IFERROR(__xludf.DUMMYFUNCTION("""COMPUTED_VALUE"""),"NL94INGB0705321800")</f>
        <v>NL94INGB0705321800</v>
      </c>
      <c r="AI514" s="9">
        <f>IFERROR(__xludf.DUMMYFUNCTION("""COMPUTED_VALUE"""),42671.0)</f>
        <v>42671</v>
      </c>
      <c r="AJ514" s="6"/>
      <c r="AK514" s="6"/>
      <c r="AL514" s="6"/>
      <c r="AM514" s="6"/>
      <c r="AN514" s="6" t="str">
        <f>IFERROR(__xludf.DUMMYFUNCTION("""COMPUTED_VALUE"""),"Yordan Milanov Dobrev")</f>
        <v>Yordan Milanov Dobrev</v>
      </c>
      <c r="AO514" s="6"/>
    </row>
    <row r="515">
      <c r="A515" s="6" t="str">
        <f>IFERROR(__xludf.DUMMYFUNCTION("""COMPUTED_VALUE"""),"YMF Bouw")</f>
        <v>YMF Bouw</v>
      </c>
      <c r="B515" s="6" t="str">
        <f>IFERROR(__xludf.DUMMYFUNCTION("""COMPUTED_VALUE"""),"YMF Bouw")</f>
        <v>YMF Bouw</v>
      </c>
      <c r="C515" s="6">
        <f>IFERROR(__xludf.DUMMYFUNCTION("""COMPUTED_VALUE"""),408.0)</f>
        <v>408</v>
      </c>
      <c r="D515" s="7" t="str">
        <f>IFERROR(__xludf.DUMMYFUNCTION("""COMPUTED_VALUE"""),"Yuri Milchev Filipov")</f>
        <v>Yuri Milchev Filipov</v>
      </c>
      <c r="E515" s="7" t="str">
        <f>IFERROR(__xludf.DUMMYFUNCTION("""COMPUTED_VALUE"""),"SBI-code: 4120 - Algemene burgerlijke en utiliteitsbouw")</f>
        <v>SBI-code: 4120 - Algemene burgerlijke en utiliteitsbouw</v>
      </c>
      <c r="F515" s="7" t="str">
        <f>IFERROR(__xludf.DUMMYFUNCTION("""COMPUTED_VALUE"""),"0626507840")</f>
        <v>0626507840</v>
      </c>
      <c r="G515" s="6" t="str">
        <f>IFERROR(__xludf.DUMMYFUNCTION("""COMPUTED_VALUE"""),"yuri.filipov95@gmail.com")</f>
        <v>yuri.filipov95@gmail.com</v>
      </c>
      <c r="H515" s="6" t="str">
        <f>IFERROR(__xludf.DUMMYFUNCTION("""COMPUTED_VALUE"""),"Van Diesenstraat 255")</f>
        <v>Van Diesenstraat 255</v>
      </c>
      <c r="I515" s="6" t="str">
        <f>IFERROR(__xludf.DUMMYFUNCTION("""COMPUTED_VALUE"""),"2521EH")</f>
        <v>2521EH</v>
      </c>
      <c r="J515" s="6" t="str">
        <f>IFERROR(__xludf.DUMMYFUNCTION("""COMPUTED_VALUE"""),"`s-Gravenhage")</f>
        <v>`s-Gravenhage</v>
      </c>
      <c r="K515" s="6" t="str">
        <f>IFERROR(__xludf.DUMMYFUNCTION("""COMPUTED_VALUE"""),"Nederland")</f>
        <v>Nederland</v>
      </c>
      <c r="L515" s="6" t="str">
        <f>IFERROR(__xludf.DUMMYFUNCTION("""COMPUTED_VALUE"""),"Филипов")</f>
        <v>Филипов</v>
      </c>
      <c r="M515" s="8">
        <f>IFERROR(__xludf.DUMMYFUNCTION("""COMPUTED_VALUE"""),43175.0)</f>
        <v>43175</v>
      </c>
      <c r="N515" s="6" t="str">
        <f>IFERROR(__xludf.DUMMYFUNCTION("""COMPUTED_VALUE"""),"NL455563482B01")</f>
        <v>NL455563482B01</v>
      </c>
      <c r="O515" s="6">
        <f>IFERROR(__xludf.DUMMYFUNCTION("""COMPUTED_VALUE"""),6.8870426E7)</f>
        <v>68870426</v>
      </c>
      <c r="P515" s="6" t="str">
        <f>IFERROR(__xludf.DUMMYFUNCTION("""COMPUTED_VALUE"""),"NL49INGB0007820345")</f>
        <v>NL49INGB0007820345</v>
      </c>
      <c r="Q515" s="9">
        <f>IFERROR(__xludf.DUMMYFUNCTION("""COMPUTED_VALUE"""),42870.0)</f>
        <v>42870</v>
      </c>
      <c r="R515" s="6"/>
      <c r="S515" s="6" t="str">
        <f>IFERROR(__xludf.DUMMYFUNCTION("""COMPUTED_VALUE"""),"NL002486226B96")</f>
        <v>NL002486226B96</v>
      </c>
      <c r="T515" s="6">
        <f>IFERROR(__xludf.DUMMYFUNCTION("""COMPUTED_VALUE"""),4.55563482E8)</f>
        <v>455563482</v>
      </c>
      <c r="U515" s="7" t="str">
        <f>IFERROR(__xludf.DUMMYFUNCTION("""COMPUTED_VALUE"""),"Eenmanszaak")</f>
        <v>Eenmanszaak</v>
      </c>
      <c r="V515" s="7" t="str">
        <f>IFERROR(__xludf.DUMMYFUNCTION("""COMPUTED_VALUE"""),"000037272934")</f>
        <v>000037272934</v>
      </c>
      <c r="W515" s="6" t="str">
        <f>IFERROR(__xludf.DUMMYFUNCTION("""COMPUTED_VALUE"""),"ink.ymfbouw.2288aa@zarabota.nl")</f>
        <v>ink.ymfbouw.2288aa@zarabota.nl</v>
      </c>
      <c r="X515" s="6" t="str">
        <f>IFERROR(__xludf.DUMMYFUNCTION("""COMPUTED_VALUE"""),"ver.ymfbouw.2288aa@zarabota.nl")</f>
        <v>ver.ymfbouw.2288aa@zarabota.nl</v>
      </c>
      <c r="Y515" s="6" t="str">
        <f>IFERROR(__xludf.DUMMYFUNCTION("""COMPUTED_VALUE"""),"Hr.")</f>
        <v>Hr.</v>
      </c>
      <c r="Z515" s="6" t="str">
        <f>IFERROR(__xludf.DUMMYFUNCTION("""COMPUTED_VALUE"""),"Yuri Milchev")</f>
        <v>Yuri Milchev</v>
      </c>
      <c r="AA515" s="6" t="str">
        <f>IFERROR(__xludf.DUMMYFUNCTION("""COMPUTED_VALUE"""),"Filipov")</f>
        <v>Filipov</v>
      </c>
      <c r="AB515" s="6" t="str">
        <f>IFERROR(__xludf.DUMMYFUNCTION("""COMPUTED_VALUE"""),"Y.M.")</f>
        <v>Y.M.</v>
      </c>
      <c r="AC515" s="6">
        <f>IFERROR(__xludf.DUMMYFUNCTION("""COMPUTED_VALUE"""),4.55563482E8)</f>
        <v>455563482</v>
      </c>
      <c r="AD515" s="9">
        <f>IFERROR(__xludf.DUMMYFUNCTION("""COMPUTED_VALUE"""),34942.0)</f>
        <v>34942</v>
      </c>
      <c r="AE515" s="6" t="str">
        <f>IFERROR(__xludf.DUMMYFUNCTION("""COMPUTED_VALUE"""),"bg")</f>
        <v>bg</v>
      </c>
      <c r="AF515" s="6" t="str">
        <f>IFERROR(__xludf.DUMMYFUNCTION("""COMPUTED_VALUE"""),"Kardzhali")</f>
        <v>Kardzhali</v>
      </c>
      <c r="AG515" s="6" t="str">
        <f>IFERROR(__xludf.DUMMYFUNCTION("""COMPUTED_VALUE"""),"Hr. Y.M. Filipov")</f>
        <v>Hr. Y.M. Filipov</v>
      </c>
      <c r="AH515" s="6" t="str">
        <f>IFERROR(__xludf.DUMMYFUNCTION("""COMPUTED_VALUE"""),"NL19INGB0675017149")</f>
        <v>NL19INGB0675017149</v>
      </c>
      <c r="AI515" s="9">
        <f>IFERROR(__xludf.DUMMYFUNCTION("""COMPUTED_VALUE"""),41285.0)</f>
        <v>41285</v>
      </c>
      <c r="AJ515" s="6" t="str">
        <f>IFERROR(__xludf.DUMMYFUNCTION("""COMPUTED_VALUE"""),"ID Kaart")</f>
        <v>ID Kaart</v>
      </c>
      <c r="AK515" s="6">
        <f>IFERROR(__xludf.DUMMYFUNCTION("""COMPUTED_VALUE"""),6.46573603E8)</f>
        <v>646573603</v>
      </c>
      <c r="AL515" s="9">
        <f>IFERROR(__xludf.DUMMYFUNCTION("""COMPUTED_VALUE"""),46249.0)</f>
        <v>46249</v>
      </c>
      <c r="AM515" s="6"/>
      <c r="AN515" s="6" t="str">
        <f>IFERROR(__xludf.DUMMYFUNCTION("""COMPUTED_VALUE"""),"Yuri Milchev Filipov")</f>
        <v>Yuri Milchev Filipov</v>
      </c>
      <c r="AO515" s="6"/>
    </row>
    <row r="516">
      <c r="A516" s="6" t="str">
        <f>IFERROR(__xludf.DUMMYFUNCTION("""COMPUTED_VALUE"""),"YOLE Services")</f>
        <v>YOLE Services</v>
      </c>
      <c r="B516" s="6" t="str">
        <f>IFERROR(__xludf.DUMMYFUNCTION("""COMPUTED_VALUE"""),"YOLE Services")</f>
        <v>YOLE Services</v>
      </c>
      <c r="C516" s="6">
        <f>IFERROR(__xludf.DUMMYFUNCTION("""COMPUTED_VALUE"""),833.0)</f>
        <v>833</v>
      </c>
      <c r="D516" s="7" t="str">
        <f>IFERROR(__xludf.DUMMYFUNCTION("""COMPUTED_VALUE"""),"Alexandar Madzhovski")</f>
        <v>Alexandar Madzhovski</v>
      </c>
      <c r="E516" s="7" t="str">
        <f>IFERROR(__xludf.DUMMYFUNCTION("""COMPUTED_VALUE"""),"SBI-code: 4120 - Algemene burgerlijke en utiliteitsbouw")</f>
        <v>SBI-code: 4120 - Algemene burgerlijke en utiliteitsbouw</v>
      </c>
      <c r="F516" s="7" t="str">
        <f>IFERROR(__xludf.DUMMYFUNCTION("""COMPUTED_VALUE"""),"0626289135")</f>
        <v>0626289135</v>
      </c>
      <c r="G516" s="6" t="str">
        <f>IFERROR(__xludf.DUMMYFUNCTION("""COMPUTED_VALUE"""),"mirjanamadzovska@yahoo.com")</f>
        <v>mirjanamadzovska@yahoo.com</v>
      </c>
      <c r="H516" s="6" t="str">
        <f>IFERROR(__xludf.DUMMYFUNCTION("""COMPUTED_VALUE"""),"Burg Caan van Necklaan 63")</f>
        <v>Burg Caan van Necklaan 63</v>
      </c>
      <c r="I516" s="6" t="str">
        <f>IFERROR(__xludf.DUMMYFUNCTION("""COMPUTED_VALUE"""),"2262GC")</f>
        <v>2262GC</v>
      </c>
      <c r="J516" s="6" t="str">
        <f>IFERROR(__xludf.DUMMYFUNCTION("""COMPUTED_VALUE"""),"Leidschendam")</f>
        <v>Leidschendam</v>
      </c>
      <c r="K516" s="6" t="str">
        <f>IFERROR(__xludf.DUMMYFUNCTION("""COMPUTED_VALUE"""),"Nederland")</f>
        <v>Nederland</v>
      </c>
      <c r="L516" s="6" t="str">
        <f>IFERROR(__xludf.DUMMYFUNCTION("""COMPUTED_VALUE"""),"Александър")</f>
        <v>Александър</v>
      </c>
      <c r="M516" s="8">
        <f>IFERROR(__xludf.DUMMYFUNCTION("""COMPUTED_VALUE"""),43617.0)</f>
        <v>43617</v>
      </c>
      <c r="N516" s="6" t="str">
        <f>IFERROR(__xludf.DUMMYFUNCTION("""COMPUTED_VALUE"""),"NL860344393B01")</f>
        <v>NL860344393B01</v>
      </c>
      <c r="O516" s="6">
        <f>IFERROR(__xludf.DUMMYFUNCTION("""COMPUTED_VALUE"""),7.5626403E7)</f>
        <v>75626403</v>
      </c>
      <c r="P516" s="6" t="str">
        <f>IFERROR(__xludf.DUMMYFUNCTION("""COMPUTED_VALUE"""),"NL58INGB0009495955")</f>
        <v>NL58INGB0009495955</v>
      </c>
      <c r="Q516" s="9">
        <f>IFERROR(__xludf.DUMMYFUNCTION("""COMPUTED_VALUE"""),43617.0)</f>
        <v>43617</v>
      </c>
      <c r="R516" s="6"/>
      <c r="S516" s="6" t="str">
        <f>IFERROR(__xludf.DUMMYFUNCTION("""COMPUTED_VALUE"""),"NL860344393B01")</f>
        <v>NL860344393B01</v>
      </c>
      <c r="T516" s="6">
        <f>IFERROR(__xludf.DUMMYFUNCTION("""COMPUTED_VALUE"""),8.60344393E8)</f>
        <v>860344393</v>
      </c>
      <c r="U516" s="7" t="str">
        <f>IFERROR(__xludf.DUMMYFUNCTION("""COMPUTED_VALUE"""),"Vennootschap Onder Firma")</f>
        <v>Vennootschap Onder Firma</v>
      </c>
      <c r="V516" s="7" t="str">
        <f>IFERROR(__xludf.DUMMYFUNCTION("""COMPUTED_VALUE"""),"000043284310")</f>
        <v>000043284310</v>
      </c>
      <c r="W516" s="6" t="str">
        <f>IFERROR(__xludf.DUMMYFUNCTION("""COMPUTED_VALUE"""),"ink.yoletransvof.2288aa@zarabota.nl")</f>
        <v>ink.yoletransvof.2288aa@zarabota.nl</v>
      </c>
      <c r="X516" s="6" t="str">
        <f>IFERROR(__xludf.DUMMYFUNCTION("""COMPUTED_VALUE"""),"ver.yoletransvof.2288aa@zarabota.nl")</f>
        <v>ver.yoletransvof.2288aa@zarabota.nl</v>
      </c>
      <c r="Y516" s="6" t="str">
        <f>IFERROR(__xludf.DUMMYFUNCTION("""COMPUTED_VALUE"""),"Hr.")</f>
        <v>Hr.</v>
      </c>
      <c r="Z516" s="6" t="str">
        <f>IFERROR(__xludf.DUMMYFUNCTION("""COMPUTED_VALUE"""),"Alexandar")</f>
        <v>Alexandar</v>
      </c>
      <c r="AA516" s="6" t="str">
        <f>IFERROR(__xludf.DUMMYFUNCTION("""COMPUTED_VALUE"""),"Madzhovski")</f>
        <v>Madzhovski</v>
      </c>
      <c r="AB516" s="6" t="str">
        <f>IFERROR(__xludf.DUMMYFUNCTION("""COMPUTED_VALUE"""),"A.")</f>
        <v>A.</v>
      </c>
      <c r="AC516" s="6">
        <f>IFERROR(__xludf.DUMMYFUNCTION("""COMPUTED_VALUE"""),4.05498846E8)</f>
        <v>405498846</v>
      </c>
      <c r="AD516" s="9">
        <f>IFERROR(__xludf.DUMMYFUNCTION("""COMPUTED_VALUE"""),27939.0)</f>
        <v>27939</v>
      </c>
      <c r="AE516" s="6" t="str">
        <f>IFERROR(__xludf.DUMMYFUNCTION("""COMPUTED_VALUE"""),"mc")</f>
        <v>mc</v>
      </c>
      <c r="AF516" s="6" t="str">
        <f>IFERROR(__xludf.DUMMYFUNCTION("""COMPUTED_VALUE"""),"Skopje")</f>
        <v>Skopje</v>
      </c>
      <c r="AG516" s="6" t="str">
        <f>IFERROR(__xludf.DUMMYFUNCTION("""COMPUTED_VALUE"""),"Hr. A. Madzhovski")</f>
        <v>Hr. A. Madzhovski</v>
      </c>
      <c r="AH516" s="6" t="str">
        <f>IFERROR(__xludf.DUMMYFUNCTION("""COMPUTED_VALUE"""),"NL44INGB0795604092")</f>
        <v>NL44INGB0795604092</v>
      </c>
      <c r="AI516" s="9">
        <f>IFERROR(__xludf.DUMMYFUNCTION("""COMPUTED_VALUE"""),43620.0)</f>
        <v>43620</v>
      </c>
      <c r="AJ516" s="6" t="str">
        <f>IFERROR(__xludf.DUMMYFUNCTION("""COMPUTED_VALUE"""),"Paspoort")</f>
        <v>Paspoort</v>
      </c>
      <c r="AK516" s="6">
        <f>IFERROR(__xludf.DUMMYFUNCTION("""COMPUTED_VALUE"""),3.85002849E8)</f>
        <v>385002849</v>
      </c>
      <c r="AL516" s="9">
        <f>IFERROR(__xludf.DUMMYFUNCTION("""COMPUTED_VALUE"""),44941.0)</f>
        <v>44941</v>
      </c>
      <c r="AM516" s="6"/>
      <c r="AN516" s="6" t="str">
        <f>IFERROR(__xludf.DUMMYFUNCTION("""COMPUTED_VALUE"""),"Alexandar Madzhovski")</f>
        <v>Alexandar Madzhovski</v>
      </c>
      <c r="AO516" s="6">
        <f>IFERROR(__xludf.DUMMYFUNCTION("""COMPUTED_VALUE"""),833.0)</f>
        <v>833</v>
      </c>
    </row>
    <row r="517">
      <c r="A517" s="6" t="str">
        <f>IFERROR(__xludf.DUMMYFUNCTION("""COMPUTED_VALUE"""),"YorgovBuild")</f>
        <v>YorgovBuild</v>
      </c>
      <c r="B517" s="6" t="str">
        <f>IFERROR(__xludf.DUMMYFUNCTION("""COMPUTED_VALUE"""),"YorgovBuild")</f>
        <v>YorgovBuild</v>
      </c>
      <c r="C517" s="6">
        <f>IFERROR(__xludf.DUMMYFUNCTION("""COMPUTED_VALUE"""),1682.0)</f>
        <v>1682</v>
      </c>
      <c r="D517" s="7" t="str">
        <f>IFERROR(__xludf.DUMMYFUNCTION("""COMPUTED_VALUE"""),"Mario Todorov Yorgov")</f>
        <v>Mario Todorov Yorgov</v>
      </c>
      <c r="E517" s="7" t="str">
        <f>IFERROR(__xludf.DUMMYFUNCTION("""COMPUTED_VALUE"""),"SBI-code: 4120 - Algemene burgerlijke en utiliteitsbouw")</f>
        <v>SBI-code: 4120 - Algemene burgerlijke en utiliteitsbouw</v>
      </c>
      <c r="F517" s="7" t="str">
        <f>IFERROR(__xludf.DUMMYFUNCTION("""COMPUTED_VALUE"""),"0644458035")</f>
        <v>0644458035</v>
      </c>
      <c r="G517" s="6" t="str">
        <f>IFERROR(__xludf.DUMMYFUNCTION("""COMPUTED_VALUE"""),"marioyorgoov@gmail.com")</f>
        <v>marioyorgoov@gmail.com</v>
      </c>
      <c r="H517" s="6" t="str">
        <f>IFERROR(__xludf.DUMMYFUNCTION("""COMPUTED_VALUE"""),"Bastion 429")</f>
        <v>Bastion 429</v>
      </c>
      <c r="I517" s="6" t="str">
        <f>IFERROR(__xludf.DUMMYFUNCTION("""COMPUTED_VALUE"""),"8223 GS")</f>
        <v>8223 GS</v>
      </c>
      <c r="J517" s="6" t="str">
        <f>IFERROR(__xludf.DUMMYFUNCTION("""COMPUTED_VALUE"""),"Lelystad")</f>
        <v>Lelystad</v>
      </c>
      <c r="K517" s="6" t="str">
        <f>IFERROR(__xludf.DUMMYFUNCTION("""COMPUTED_VALUE"""),"Nederland")</f>
        <v>Nederland</v>
      </c>
      <c r="L517" s="6" t="str">
        <f>IFERROR(__xludf.DUMMYFUNCTION("""COMPUTED_VALUE"""),"Йоргов")</f>
        <v>Йоргов</v>
      </c>
      <c r="M517" s="8">
        <f>IFERROR(__xludf.DUMMYFUNCTION("""COMPUTED_VALUE"""),45681.0)</f>
        <v>45681</v>
      </c>
      <c r="N517" s="6" t="str">
        <f>IFERROR(__xludf.DUMMYFUNCTION("""COMPUTED_VALUE"""),"NL636135755B01")</f>
        <v>NL636135755B01</v>
      </c>
      <c r="O517" s="6">
        <f>IFERROR(__xludf.DUMMYFUNCTION("""COMPUTED_VALUE"""),9.6245794E7)</f>
        <v>96245794</v>
      </c>
      <c r="P517" s="6" t="str">
        <f>IFERROR(__xludf.DUMMYFUNCTION("""COMPUTED_VALUE"""),"NL31INGB0111056896")</f>
        <v>NL31INGB0111056896</v>
      </c>
      <c r="Q517" s="9">
        <f>IFERROR(__xludf.DUMMYFUNCTION("""COMPUTED_VALUE"""),45681.0)</f>
        <v>45681</v>
      </c>
      <c r="R517" s="6"/>
      <c r="S517" s="6" t="str">
        <f>IFERROR(__xludf.DUMMYFUNCTION("""COMPUTED_VALUE"""),"NL005197497B74")</f>
        <v>NL005197497B74</v>
      </c>
      <c r="T517" s="6">
        <f>IFERROR(__xludf.DUMMYFUNCTION("""COMPUTED_VALUE"""),6.36135755E8)</f>
        <v>636135755</v>
      </c>
      <c r="U517" s="7" t="str">
        <f>IFERROR(__xludf.DUMMYFUNCTION("""COMPUTED_VALUE"""),"Eenmanszaak")</f>
        <v>Eenmanszaak</v>
      </c>
      <c r="V517" s="7" t="str">
        <f>IFERROR(__xludf.DUMMYFUNCTION("""COMPUTED_VALUE"""),"000061584843")</f>
        <v>000061584843</v>
      </c>
      <c r="W517" s="6" t="str">
        <f>IFERROR(__xludf.DUMMYFUNCTION("""COMPUTED_VALUE"""),"ink.yorgovbuild.2288aa@zarabota.nl")</f>
        <v>ink.yorgovbuild.2288aa@zarabota.nl</v>
      </c>
      <c r="X517" s="6" t="str">
        <f>IFERROR(__xludf.DUMMYFUNCTION("""COMPUTED_VALUE"""),"ver.yorgovbuild.2288aa@zarabota.nl")</f>
        <v>ver.yorgovbuild.2288aa@zarabota.nl</v>
      </c>
      <c r="Y517" s="6" t="str">
        <f>IFERROR(__xludf.DUMMYFUNCTION("""COMPUTED_VALUE"""),"Hr.")</f>
        <v>Hr.</v>
      </c>
      <c r="Z517" s="6" t="str">
        <f>IFERROR(__xludf.DUMMYFUNCTION("""COMPUTED_VALUE"""),"Mario Todorov")</f>
        <v>Mario Todorov</v>
      </c>
      <c r="AA517" s="6" t="str">
        <f>IFERROR(__xludf.DUMMYFUNCTION("""COMPUTED_VALUE"""),"Yorgov")</f>
        <v>Yorgov</v>
      </c>
      <c r="AB517" s="6" t="str">
        <f>IFERROR(__xludf.DUMMYFUNCTION("""COMPUTED_VALUE"""),"M.T.Y.")</f>
        <v>M.T.Y.</v>
      </c>
      <c r="AC517" s="6">
        <f>IFERROR(__xludf.DUMMYFUNCTION("""COMPUTED_VALUE"""),6.36135755E8)</f>
        <v>636135755</v>
      </c>
      <c r="AD517" s="9">
        <f>IFERROR(__xludf.DUMMYFUNCTION("""COMPUTED_VALUE"""),36507.0)</f>
        <v>36507</v>
      </c>
      <c r="AE517" s="6" t="str">
        <f>IFERROR(__xludf.DUMMYFUNCTION("""COMPUTED_VALUE"""),"bg")</f>
        <v>bg</v>
      </c>
      <c r="AF517" s="6" t="str">
        <f>IFERROR(__xludf.DUMMYFUNCTION("""COMPUTED_VALUE"""),"Dobrich")</f>
        <v>Dobrich</v>
      </c>
      <c r="AG517" s="6" t="str">
        <f>IFERROR(__xludf.DUMMYFUNCTION("""COMPUTED_VALUE"""),"Hr. M.T.Y. Yorgov")</f>
        <v>Hr. M.T.Y. Yorgov</v>
      </c>
      <c r="AH517" s="6"/>
      <c r="AI517" s="6"/>
      <c r="AJ517" s="6" t="str">
        <f>IFERROR(__xludf.DUMMYFUNCTION("""COMPUTED_VALUE"""),"ID Kaart")</f>
        <v>ID Kaart</v>
      </c>
      <c r="AK517" s="6">
        <f>IFERROR(__xludf.DUMMYFUNCTION("""COMPUTED_VALUE"""),6.50914825E8)</f>
        <v>650914825</v>
      </c>
      <c r="AL517" s="9">
        <f>IFERROR(__xludf.DUMMYFUNCTION("""COMPUTED_VALUE"""),48157.0)</f>
        <v>48157</v>
      </c>
      <c r="AM517" s="6" t="str">
        <f>IFERROR(__xludf.DUMMYFUNCTION("""COMPUTED_VALUE"""),"Bulgarije")</f>
        <v>Bulgarije</v>
      </c>
      <c r="AN517" s="6" t="str">
        <f>IFERROR(__xludf.DUMMYFUNCTION("""COMPUTED_VALUE"""),"Mario Todorov Yorgov")</f>
        <v>Mario Todorov Yorgov</v>
      </c>
      <c r="AO517" s="6"/>
    </row>
    <row r="518">
      <c r="A518" s="6" t="str">
        <f>IFERROR(__xludf.DUMMYFUNCTION("""COMPUTED_VALUE"""),"Ypivon VOF")</f>
        <v>Ypivon VOF</v>
      </c>
      <c r="B518" s="6" t="str">
        <f>IFERROR(__xludf.DUMMYFUNCTION("""COMPUTED_VALUE"""),"Ypivon VOF")</f>
        <v>Ypivon VOF</v>
      </c>
      <c r="C518" s="6">
        <f>IFERROR(__xludf.DUMMYFUNCTION("""COMPUTED_VALUE"""),503.0)</f>
        <v>503</v>
      </c>
      <c r="D518" s="7" t="str">
        <f>IFERROR(__xludf.DUMMYFUNCTION("""COMPUTED_VALUE"""),"Yanko Petrov Stoyanov")</f>
        <v>Yanko Petrov Stoyanov</v>
      </c>
      <c r="E518" s="7" t="str">
        <f>IFERROR(__xludf.DUMMYFUNCTION("""COMPUTED_VALUE"""),"SBI-code: 4120 - Algemene burgerlijke en utiliteitsbouw")</f>
        <v>SBI-code: 4120 - Algemene burgerlijke en utiliteitsbouw</v>
      </c>
      <c r="F518" s="7" t="str">
        <f>IFERROR(__xludf.DUMMYFUNCTION("""COMPUTED_VALUE"""),"0684157676")</f>
        <v>0684157676</v>
      </c>
      <c r="G518" s="6" t="str">
        <f>IFERROR(__xludf.DUMMYFUNCTION("""COMPUTED_VALUE"""),"ivona7902@gmail.com")</f>
        <v>ivona7902@gmail.com</v>
      </c>
      <c r="H518" s="6" t="str">
        <f>IFERROR(__xludf.DUMMYFUNCTION("""COMPUTED_VALUE"""),"Van Ruysbroekstraat 141")</f>
        <v>Van Ruysbroekstraat 141</v>
      </c>
      <c r="I518" s="6" t="str">
        <f>IFERROR(__xludf.DUMMYFUNCTION("""COMPUTED_VALUE"""),"2531TJ")</f>
        <v>2531TJ</v>
      </c>
      <c r="J518" s="6" t="str">
        <f>IFERROR(__xludf.DUMMYFUNCTION("""COMPUTED_VALUE"""),"s-Gravenhage")</f>
        <v>s-Gravenhage</v>
      </c>
      <c r="K518" s="6" t="str">
        <f>IFERROR(__xludf.DUMMYFUNCTION("""COMPUTED_VALUE"""),"Nederland")</f>
        <v>Nederland</v>
      </c>
      <c r="L518" s="6" t="str">
        <f>IFERROR(__xludf.DUMMYFUNCTION("""COMPUTED_VALUE"""),"Стоянов")</f>
        <v>Стоянов</v>
      </c>
      <c r="M518" s="8">
        <f>IFERROR(__xludf.DUMMYFUNCTION("""COMPUTED_VALUE"""),43175.0)</f>
        <v>43175</v>
      </c>
      <c r="N518" s="6" t="str">
        <f>IFERROR(__xludf.DUMMYFUNCTION("""COMPUTED_VALUE"""),"NL858425579B01")</f>
        <v>NL858425579B01</v>
      </c>
      <c r="O518" s="6">
        <f>IFERROR(__xludf.DUMMYFUNCTION("""COMPUTED_VALUE"""),7.0696578E7)</f>
        <v>70696578</v>
      </c>
      <c r="P518" s="6" t="str">
        <f>IFERROR(__xludf.DUMMYFUNCTION("""COMPUTED_VALUE"""),"NL89INGB0006757475")</f>
        <v>NL89INGB0006757475</v>
      </c>
      <c r="Q518" s="9">
        <f>IFERROR(__xludf.DUMMYFUNCTION("""COMPUTED_VALUE"""),43115.0)</f>
        <v>43115</v>
      </c>
      <c r="R518" s="6"/>
      <c r="S518" s="6" t="str">
        <f>IFERROR(__xludf.DUMMYFUNCTION("""COMPUTED_VALUE"""),"NL858425579B01")</f>
        <v>NL858425579B01</v>
      </c>
      <c r="T518" s="6">
        <f>IFERROR(__xludf.DUMMYFUNCTION("""COMPUTED_VALUE"""),8.58425579E8)</f>
        <v>858425579</v>
      </c>
      <c r="U518" s="7" t="str">
        <f>IFERROR(__xludf.DUMMYFUNCTION("""COMPUTED_VALUE"""),"Vennootschap Onder Firma")</f>
        <v>Vennootschap Onder Firma</v>
      </c>
      <c r="V518" s="7" t="str">
        <f>IFERROR(__xludf.DUMMYFUNCTION("""COMPUTED_VALUE"""),"000038940698")</f>
        <v>000038940698</v>
      </c>
      <c r="W518" s="6" t="str">
        <f>IFERROR(__xludf.DUMMYFUNCTION("""COMPUTED_VALUE"""),"ink.ypivonvof.2288aa@zarabota.nl")</f>
        <v>ink.ypivonvof.2288aa@zarabota.nl</v>
      </c>
      <c r="X518" s="6" t="str">
        <f>IFERROR(__xludf.DUMMYFUNCTION("""COMPUTED_VALUE"""),"ver.ypivonvof.2288aa@zarabota.nl")</f>
        <v>ver.ypivonvof.2288aa@zarabota.nl</v>
      </c>
      <c r="Y518" s="6" t="str">
        <f>IFERROR(__xludf.DUMMYFUNCTION("""COMPUTED_VALUE"""),"Hr.")</f>
        <v>Hr.</v>
      </c>
      <c r="Z518" s="6" t="str">
        <f>IFERROR(__xludf.DUMMYFUNCTION("""COMPUTED_VALUE"""),"Yanko Petkov")</f>
        <v>Yanko Petkov</v>
      </c>
      <c r="AA518" s="6" t="str">
        <f>IFERROR(__xludf.DUMMYFUNCTION("""COMPUTED_VALUE"""),"Stoyanov")</f>
        <v>Stoyanov</v>
      </c>
      <c r="AB518" s="6" t="str">
        <f>IFERROR(__xludf.DUMMYFUNCTION("""COMPUTED_VALUE"""),"Y.P.")</f>
        <v>Y.P.</v>
      </c>
      <c r="AC518" s="6">
        <f>IFERROR(__xludf.DUMMYFUNCTION("""COMPUTED_VALUE"""),3.26050516E8)</f>
        <v>326050516</v>
      </c>
      <c r="AD518" s="9">
        <f>IFERROR(__xludf.DUMMYFUNCTION("""COMPUTED_VALUE"""),27947.0)</f>
        <v>27947</v>
      </c>
      <c r="AE518" s="6" t="str">
        <f>IFERROR(__xludf.DUMMYFUNCTION("""COMPUTED_VALUE"""),"bg")</f>
        <v>bg</v>
      </c>
      <c r="AF518" s="6" t="str">
        <f>IFERROR(__xludf.DUMMYFUNCTION("""COMPUTED_VALUE"""),"Sredets")</f>
        <v>Sredets</v>
      </c>
      <c r="AG518" s="6" t="str">
        <f>IFERROR(__xludf.DUMMYFUNCTION("""COMPUTED_VALUE"""),"Hr. Y.P. Stoyanov")</f>
        <v>Hr. Y.P. Stoyanov</v>
      </c>
      <c r="AH518" s="6"/>
      <c r="AI518" s="6"/>
      <c r="AJ518" s="6"/>
      <c r="AK518" s="6"/>
      <c r="AL518" s="6"/>
      <c r="AM518" s="6"/>
      <c r="AN518" s="6" t="str">
        <f>IFERROR(__xludf.DUMMYFUNCTION("""COMPUTED_VALUE"""),"Yanko Petkov Stoyanov")</f>
        <v>Yanko Petkov Stoyanov</v>
      </c>
      <c r="AO518" s="6"/>
    </row>
    <row r="519">
      <c r="A519" s="6" t="str">
        <f>IFERROR(__xludf.DUMMYFUNCTION("""COMPUTED_VALUE"""),"Yufa Bouw")</f>
        <v>Yufa Bouw</v>
      </c>
      <c r="B519" s="6" t="str">
        <f>IFERROR(__xludf.DUMMYFUNCTION("""COMPUTED_VALUE"""),"Yufa Bouw")</f>
        <v>Yufa Bouw</v>
      </c>
      <c r="C519" s="6">
        <f>IFERROR(__xludf.DUMMYFUNCTION("""COMPUTED_VALUE"""),1227.0)</f>
        <v>1227</v>
      </c>
      <c r="D519" s="7" t="str">
        <f>IFERROR(__xludf.DUMMYFUNCTION("""COMPUTED_VALUE"""),"Yusuf Mustafa Ahmed")</f>
        <v>Yusuf Mustafa Ahmed</v>
      </c>
      <c r="E519" s="7" t="str">
        <f>IFERROR(__xludf.DUMMYFUNCTION("""COMPUTED_VALUE"""),"SBI-code: 4120 - Algemene burgerlijke en utiliteitsbouw")</f>
        <v>SBI-code: 4120 - Algemene burgerlijke en utiliteitsbouw</v>
      </c>
      <c r="F519" s="7" t="str">
        <f>IFERROR(__xludf.DUMMYFUNCTION("""COMPUTED_VALUE"""),"0616635161")</f>
        <v>0616635161</v>
      </c>
      <c r="G519" s="6" t="str">
        <f>IFERROR(__xludf.DUMMYFUNCTION("""COMPUTED_VALUE"""),"yosko9234@gmail.com")</f>
        <v>yosko9234@gmail.com</v>
      </c>
      <c r="H519" s="6" t="str">
        <f>IFERROR(__xludf.DUMMYFUNCTION("""COMPUTED_VALUE"""),"Noorderbeekdwarsstraat 81")</f>
        <v>Noorderbeekdwarsstraat 81</v>
      </c>
      <c r="I519" s="6" t="str">
        <f>IFERROR(__xludf.DUMMYFUNCTION("""COMPUTED_VALUE"""),"2562XN")</f>
        <v>2562XN</v>
      </c>
      <c r="J519" s="6" t="str">
        <f>IFERROR(__xludf.DUMMYFUNCTION("""COMPUTED_VALUE"""),"s-Gravenhage")</f>
        <v>s-Gravenhage</v>
      </c>
      <c r="K519" s="6" t="str">
        <f>IFERROR(__xludf.DUMMYFUNCTION("""COMPUTED_VALUE"""),"Nederland")</f>
        <v>Nederland</v>
      </c>
      <c r="L519" s="6" t="str">
        <f>IFERROR(__xludf.DUMMYFUNCTION("""COMPUTED_VALUE"""),"Ахмед")</f>
        <v>Ахмед</v>
      </c>
      <c r="M519" s="8">
        <f>IFERROR(__xludf.DUMMYFUNCTION("""COMPUTED_VALUE"""),44444.0)</f>
        <v>44444</v>
      </c>
      <c r="N519" s="6" t="str">
        <f>IFERROR(__xludf.DUMMYFUNCTION("""COMPUTED_VALUE"""),"NL388084352B01")</f>
        <v>NL388084352B01</v>
      </c>
      <c r="O519" s="6">
        <f>IFERROR(__xludf.DUMMYFUNCTION("""COMPUTED_VALUE"""),8.4219254E7)</f>
        <v>84219254</v>
      </c>
      <c r="P519" s="6" t="str">
        <f>IFERROR(__xludf.DUMMYFUNCTION("""COMPUTED_VALUE"""),"NL56INGB0000173030")</f>
        <v>NL56INGB0000173030</v>
      </c>
      <c r="Q519" s="9">
        <f>IFERROR(__xludf.DUMMYFUNCTION("""COMPUTED_VALUE"""),44484.0)</f>
        <v>44484</v>
      </c>
      <c r="R519" s="6"/>
      <c r="S519" s="6" t="str">
        <f>IFERROR(__xludf.DUMMYFUNCTION("""COMPUTED_VALUE"""),"NL003928678B23")</f>
        <v>NL003928678B23</v>
      </c>
      <c r="T519" s="6">
        <f>IFERROR(__xludf.DUMMYFUNCTION("""COMPUTED_VALUE"""),3.88084352E8)</f>
        <v>388084352</v>
      </c>
      <c r="U519" s="7" t="str">
        <f>IFERROR(__xludf.DUMMYFUNCTION("""COMPUTED_VALUE"""),"Eenmanszaak")</f>
        <v>Eenmanszaak</v>
      </c>
      <c r="V519" s="7" t="str">
        <f>IFERROR(__xludf.DUMMYFUNCTION("""COMPUTED_VALUE"""),"000050348469")</f>
        <v>000050348469</v>
      </c>
      <c r="W519" s="6" t="str">
        <f>IFERROR(__xludf.DUMMYFUNCTION("""COMPUTED_VALUE"""),"ink.yufabouw.2288aa@zarabota.nl")</f>
        <v>ink.yufabouw.2288aa@zarabota.nl</v>
      </c>
      <c r="X519" s="6" t="str">
        <f>IFERROR(__xludf.DUMMYFUNCTION("""COMPUTED_VALUE"""),"ver.yufabouw.2288aa@zarabota.nl")</f>
        <v>ver.yufabouw.2288aa@zarabota.nl</v>
      </c>
      <c r="Y519" s="6" t="str">
        <f>IFERROR(__xludf.DUMMYFUNCTION("""COMPUTED_VALUE"""),"Hr.")</f>
        <v>Hr.</v>
      </c>
      <c r="Z519" s="6" t="str">
        <f>IFERROR(__xludf.DUMMYFUNCTION("""COMPUTED_VALUE"""),"Yusuf Mustafa")</f>
        <v>Yusuf Mustafa</v>
      </c>
      <c r="AA519" s="6" t="str">
        <f>IFERROR(__xludf.DUMMYFUNCTION("""COMPUTED_VALUE"""),"Ahmed")</f>
        <v>Ahmed</v>
      </c>
      <c r="AB519" s="6" t="str">
        <f>IFERROR(__xludf.DUMMYFUNCTION("""COMPUTED_VALUE"""),"Y.M.")</f>
        <v>Y.M.</v>
      </c>
      <c r="AC519" s="6">
        <f>IFERROR(__xludf.DUMMYFUNCTION("""COMPUTED_VALUE"""),3.88084352E8)</f>
        <v>388084352</v>
      </c>
      <c r="AD519" s="9">
        <f>IFERROR(__xludf.DUMMYFUNCTION("""COMPUTED_VALUE"""),33035.0)</f>
        <v>33035</v>
      </c>
      <c r="AE519" s="6" t="str">
        <f>IFERROR(__xludf.DUMMYFUNCTION("""COMPUTED_VALUE"""),"bg")</f>
        <v>bg</v>
      </c>
      <c r="AF519" s="6" t="str">
        <f>IFERROR(__xludf.DUMMYFUNCTION("""COMPUTED_VALUE"""),"Kardzhali")</f>
        <v>Kardzhali</v>
      </c>
      <c r="AG519" s="6" t="str">
        <f>IFERROR(__xludf.DUMMYFUNCTION("""COMPUTED_VALUE"""),"Hr. Y.M. Ahmed")</f>
        <v>Hr. Y.M. Ahmed</v>
      </c>
      <c r="AH519" s="6" t="str">
        <f>IFERROR(__xludf.DUMMYFUNCTION("""COMPUTED_VALUE"""),"NL21INGB0522344933")</f>
        <v>NL21INGB0522344933</v>
      </c>
      <c r="AI519" s="6"/>
      <c r="AJ519" s="6" t="str">
        <f>IFERROR(__xludf.DUMMYFUNCTION("""COMPUTED_VALUE"""),"ID Kaart")</f>
        <v>ID Kaart</v>
      </c>
      <c r="AK519" s="6">
        <f>IFERROR(__xludf.DUMMYFUNCTION("""COMPUTED_VALUE"""),6.46000544E8)</f>
        <v>646000544</v>
      </c>
      <c r="AL519" s="9">
        <f>IFERROR(__xludf.DUMMYFUNCTION("""COMPUTED_VALUE"""),46029.0)</f>
        <v>46029</v>
      </c>
      <c r="AM519" s="6" t="str">
        <f>IFERROR(__xludf.DUMMYFUNCTION("""COMPUTED_VALUE"""),"Bulgarije")</f>
        <v>Bulgarije</v>
      </c>
      <c r="AN519" s="6" t="str">
        <f>IFERROR(__xludf.DUMMYFUNCTION("""COMPUTED_VALUE"""),"Yusuf Mustafa Ahmed")</f>
        <v>Yusuf Mustafa Ahmed</v>
      </c>
      <c r="AO519" s="6">
        <f>IFERROR(__xludf.DUMMYFUNCTION("""COMPUTED_VALUE"""),1227.0)</f>
        <v>1227</v>
      </c>
    </row>
    <row r="520">
      <c r="A520" s="6" t="str">
        <f>IFERROR(__xludf.DUMMYFUNCTION("""COMPUTED_VALUE"""),"Yuli Bouw")</f>
        <v>Yuli Bouw</v>
      </c>
      <c r="B520" s="6" t="str">
        <f>IFERROR(__xludf.DUMMYFUNCTION("""COMPUTED_VALUE"""),"Yuli Bouw")</f>
        <v>Yuli Bouw</v>
      </c>
      <c r="C520" s="6">
        <f>IFERROR(__xludf.DUMMYFUNCTION("""COMPUTED_VALUE"""),233.0)</f>
        <v>233</v>
      </c>
      <c r="D520" s="7" t="str">
        <f>IFERROR(__xludf.DUMMYFUNCTION("""COMPUTED_VALUE"""),"Yuliyan Dinkov Kusheliev")</f>
        <v>Yuliyan Dinkov Kusheliev</v>
      </c>
      <c r="E520" s="7" t="str">
        <f>IFERROR(__xludf.DUMMYFUNCTION("""COMPUTED_VALUE"""),"SBI-code: 4120 - Algemene burgerlijke en utiliteitsbouw")</f>
        <v>SBI-code: 4120 - Algemene burgerlijke en utiliteitsbouw</v>
      </c>
      <c r="F520" s="7" t="str">
        <f>IFERROR(__xludf.DUMMYFUNCTION("""COMPUTED_VALUE"""),"0638642610")</f>
        <v>0638642610</v>
      </c>
      <c r="G520" s="6" t="str">
        <f>IFERROR(__xludf.DUMMYFUNCTION("""COMPUTED_VALUE"""),"uliandinkov83@gmail.com")</f>
        <v>uliandinkov83@gmail.com</v>
      </c>
      <c r="H520" s="6" t="str">
        <f>IFERROR(__xludf.DUMMYFUNCTION("""COMPUTED_VALUE"""),"Rijswijkseweg 532E")</f>
        <v>Rijswijkseweg 532E</v>
      </c>
      <c r="I520" s="6" t="str">
        <f>IFERROR(__xludf.DUMMYFUNCTION("""COMPUTED_VALUE"""),"2516HT")</f>
        <v>2516HT</v>
      </c>
      <c r="J520" s="6" t="str">
        <f>IFERROR(__xludf.DUMMYFUNCTION("""COMPUTED_VALUE"""),"s-Gravenhage")</f>
        <v>s-Gravenhage</v>
      </c>
      <c r="K520" s="6" t="str">
        <f>IFERROR(__xludf.DUMMYFUNCTION("""COMPUTED_VALUE"""),"Nederland")</f>
        <v>Nederland</v>
      </c>
      <c r="L520" s="6" t="str">
        <f>IFERROR(__xludf.DUMMYFUNCTION("""COMPUTED_VALUE"""),"Кушелиев")</f>
        <v>Кушелиев</v>
      </c>
      <c r="M520" s="8">
        <f>IFERROR(__xludf.DUMMYFUNCTION("""COMPUTED_VALUE"""),43175.0)</f>
        <v>43175</v>
      </c>
      <c r="N520" s="6" t="str">
        <f>IFERROR(__xludf.DUMMYFUNCTION("""COMPUTED_VALUE"""),"NL537368486B01")</f>
        <v>NL537368486B01</v>
      </c>
      <c r="O520" s="6">
        <f>IFERROR(__xludf.DUMMYFUNCTION("""COMPUTED_VALUE"""),6.3763273E7)</f>
        <v>63763273</v>
      </c>
      <c r="P520" s="6" t="str">
        <f>IFERROR(__xludf.DUMMYFUNCTION("""COMPUTED_VALUE"""),"NL40INGB0006919474")</f>
        <v>NL40INGB0006919474</v>
      </c>
      <c r="Q520" s="9">
        <f>IFERROR(__xludf.DUMMYFUNCTION("""COMPUTED_VALUE"""),42193.0)</f>
        <v>42193</v>
      </c>
      <c r="R520" s="6"/>
      <c r="S520" s="6" t="str">
        <f>IFERROR(__xludf.DUMMYFUNCTION("""COMPUTED_VALUE"""),"NL002497855B98")</f>
        <v>NL002497855B98</v>
      </c>
      <c r="T520" s="6">
        <f>IFERROR(__xludf.DUMMYFUNCTION("""COMPUTED_VALUE"""),5.37368486E8)</f>
        <v>537368486</v>
      </c>
      <c r="U520" s="7" t="str">
        <f>IFERROR(__xludf.DUMMYFUNCTION("""COMPUTED_VALUE"""),"Eenmanszaak")</f>
        <v>Eenmanszaak</v>
      </c>
      <c r="V520" s="7" t="str">
        <f>IFERROR(__xludf.DUMMYFUNCTION("""COMPUTED_VALUE"""),"000032645783")</f>
        <v>000032645783</v>
      </c>
      <c r="W520" s="6" t="str">
        <f>IFERROR(__xludf.DUMMYFUNCTION("""COMPUTED_VALUE"""),"ink.yulibouw.2288aa@zarabota.nl")</f>
        <v>ink.yulibouw.2288aa@zarabota.nl</v>
      </c>
      <c r="X520" s="6" t="str">
        <f>IFERROR(__xludf.DUMMYFUNCTION("""COMPUTED_VALUE"""),"ver.yulibouw.2288aa@zarabota.nl")</f>
        <v>ver.yulibouw.2288aa@zarabota.nl</v>
      </c>
      <c r="Y520" s="6" t="str">
        <f>IFERROR(__xludf.DUMMYFUNCTION("""COMPUTED_VALUE"""),"Hr.")</f>
        <v>Hr.</v>
      </c>
      <c r="Z520" s="6" t="str">
        <f>IFERROR(__xludf.DUMMYFUNCTION("""COMPUTED_VALUE"""),"Yuliyan Dinkov")</f>
        <v>Yuliyan Dinkov</v>
      </c>
      <c r="AA520" s="6" t="str">
        <f>IFERROR(__xludf.DUMMYFUNCTION("""COMPUTED_VALUE"""),"Kusheliev")</f>
        <v>Kusheliev</v>
      </c>
      <c r="AB520" s="6" t="str">
        <f>IFERROR(__xludf.DUMMYFUNCTION("""COMPUTED_VALUE"""),"Y.M.")</f>
        <v>Y.M.</v>
      </c>
      <c r="AC520" s="6">
        <f>IFERROR(__xludf.DUMMYFUNCTION("""COMPUTED_VALUE"""),5.37368486E8)</f>
        <v>537368486</v>
      </c>
      <c r="AD520" s="9">
        <f>IFERROR(__xludf.DUMMYFUNCTION("""COMPUTED_VALUE"""),27595.0)</f>
        <v>27595</v>
      </c>
      <c r="AE520" s="6" t="str">
        <f>IFERROR(__xludf.DUMMYFUNCTION("""COMPUTED_VALUE"""),"bg")</f>
        <v>bg</v>
      </c>
      <c r="AF520" s="6" t="str">
        <f>IFERROR(__xludf.DUMMYFUNCTION("""COMPUTED_VALUE"""),"Startsevo")</f>
        <v>Startsevo</v>
      </c>
      <c r="AG520" s="6" t="str">
        <f>IFERROR(__xludf.DUMMYFUNCTION("""COMPUTED_VALUE"""),"Hr. Y.M. Kusheliev")</f>
        <v>Hr. Y.M. Kusheliev</v>
      </c>
      <c r="AH520" s="6" t="str">
        <f>IFERROR(__xludf.DUMMYFUNCTION("""COMPUTED_VALUE"""),"NL53INGB0674108035")</f>
        <v>NL53INGB0674108035</v>
      </c>
      <c r="AI520" s="6"/>
      <c r="AJ520" s="6"/>
      <c r="AK520" s="6"/>
      <c r="AL520" s="6"/>
      <c r="AM520" s="6"/>
      <c r="AN520" s="6" t="str">
        <f>IFERROR(__xludf.DUMMYFUNCTION("""COMPUTED_VALUE"""),"Yuliyan Dinkov Kusheliev")</f>
        <v>Yuliyan Dinkov Kusheliev</v>
      </c>
      <c r="AO520" s="6"/>
    </row>
    <row r="521">
      <c r="A521" s="6" t="str">
        <f>IFERROR(__xludf.DUMMYFUNCTION("""COMPUTED_VALUE"""),"Yuliyan")</f>
        <v>Yuliyan</v>
      </c>
      <c r="B521" s="6" t="str">
        <f>IFERROR(__xludf.DUMMYFUNCTION("""COMPUTED_VALUE"""),"Yuliyan")</f>
        <v>Yuliyan</v>
      </c>
      <c r="C521" s="6">
        <f>IFERROR(__xludf.DUMMYFUNCTION("""COMPUTED_VALUE"""),790.0)</f>
        <v>790</v>
      </c>
      <c r="D521" s="7" t="str">
        <f>IFERROR(__xludf.DUMMYFUNCTION("""COMPUTED_VALUE"""),"Iliya Yuliyanov Iliev")</f>
        <v>Iliya Yuliyanov Iliev</v>
      </c>
      <c r="E521" s="7" t="str">
        <f>IFERROR(__xludf.DUMMYFUNCTION("""COMPUTED_VALUE"""),"SBI-code: 4120 - Algemene burgerlijke en utiliteitsbouw")</f>
        <v>SBI-code: 4120 - Algemene burgerlijke en utiliteitsbouw</v>
      </c>
      <c r="F521" s="7" t="str">
        <f>IFERROR(__xludf.DUMMYFUNCTION("""COMPUTED_VALUE"""),"0685462864")</f>
        <v>0685462864</v>
      </c>
      <c r="G521" s="6" t="str">
        <f>IFERROR(__xludf.DUMMYFUNCTION("""COMPUTED_VALUE"""),"iliev0134@gmail.com")</f>
        <v>iliev0134@gmail.com</v>
      </c>
      <c r="H521" s="6" t="str">
        <f>IFERROR(__xludf.DUMMYFUNCTION("""COMPUTED_VALUE"""),"Harderwijkstraat 119")</f>
        <v>Harderwijkstraat 119</v>
      </c>
      <c r="I521" s="6" t="str">
        <f>IFERROR(__xludf.DUMMYFUNCTION("""COMPUTED_VALUE"""),"2573 ZC")</f>
        <v>2573 ZC</v>
      </c>
      <c r="J521" s="6" t="str">
        <f>IFERROR(__xludf.DUMMYFUNCTION("""COMPUTED_VALUE"""),"s-Gravenhage")</f>
        <v>s-Gravenhage</v>
      </c>
      <c r="K521" s="6" t="str">
        <f>IFERROR(__xludf.DUMMYFUNCTION("""COMPUTED_VALUE"""),"Nederland")</f>
        <v>Nederland</v>
      </c>
      <c r="L521" s="6" t="str">
        <f>IFERROR(__xludf.DUMMYFUNCTION("""COMPUTED_VALUE"""),"Илиев")</f>
        <v>Илиев</v>
      </c>
      <c r="M521" s="8">
        <f>IFERROR(__xludf.DUMMYFUNCTION("""COMPUTED_VALUE"""),43586.0)</f>
        <v>43586</v>
      </c>
      <c r="N521" s="6" t="str">
        <f>IFERROR(__xludf.DUMMYFUNCTION("""COMPUTED_VALUE"""),"NL589221826B01")</f>
        <v>NL589221826B01</v>
      </c>
      <c r="O521" s="6">
        <f>IFERROR(__xludf.DUMMYFUNCTION("""COMPUTED_VALUE"""),7.4803018E7)</f>
        <v>74803018</v>
      </c>
      <c r="P521" s="6" t="str">
        <f>IFERROR(__xludf.DUMMYFUNCTION("""COMPUTED_VALUE"""),"NL05INGB0006103558")</f>
        <v>NL05INGB0006103558</v>
      </c>
      <c r="Q521" s="9">
        <f>IFERROR(__xludf.DUMMYFUNCTION("""COMPUTED_VALUE"""),43595.0)</f>
        <v>43595</v>
      </c>
      <c r="R521" s="6"/>
      <c r="S521" s="6" t="str">
        <f>IFERROR(__xludf.DUMMYFUNCTION("""COMPUTED_VALUE"""),"NL002504747B53")</f>
        <v>NL002504747B53</v>
      </c>
      <c r="T521" s="6">
        <f>IFERROR(__xludf.DUMMYFUNCTION("""COMPUTED_VALUE"""),5.89221826E8)</f>
        <v>589221826</v>
      </c>
      <c r="U521" s="7" t="str">
        <f>IFERROR(__xludf.DUMMYFUNCTION("""COMPUTED_VALUE"""),"Eenmanszaak")</f>
        <v>Eenmanszaak</v>
      </c>
      <c r="V521" s="7" t="str">
        <f>IFERROR(__xludf.DUMMYFUNCTION("""COMPUTED_VALUE"""),"000042734142")</f>
        <v>000042734142</v>
      </c>
      <c r="W521" s="6" t="str">
        <f>IFERROR(__xludf.DUMMYFUNCTION("""COMPUTED_VALUE"""),"ink.yuliyan.2288aa@zarabota.nl")</f>
        <v>ink.yuliyan.2288aa@zarabota.nl</v>
      </c>
      <c r="X521" s="6" t="str">
        <f>IFERROR(__xludf.DUMMYFUNCTION("""COMPUTED_VALUE"""),"ver.yuliyan.2288aa@zarabota.nl")</f>
        <v>ver.yuliyan.2288aa@zarabota.nl</v>
      </c>
      <c r="Y521" s="6" t="str">
        <f>IFERROR(__xludf.DUMMYFUNCTION("""COMPUTED_VALUE"""),"Hr.")</f>
        <v>Hr.</v>
      </c>
      <c r="Z521" s="6" t="str">
        <f>IFERROR(__xludf.DUMMYFUNCTION("""COMPUTED_VALUE"""),"Iliya Yuliyanov")</f>
        <v>Iliya Yuliyanov</v>
      </c>
      <c r="AA521" s="6" t="str">
        <f>IFERROR(__xludf.DUMMYFUNCTION("""COMPUTED_VALUE"""),"Iliev")</f>
        <v>Iliev</v>
      </c>
      <c r="AB521" s="6" t="str">
        <f>IFERROR(__xludf.DUMMYFUNCTION("""COMPUTED_VALUE"""),"I.Y.")</f>
        <v>I.Y.</v>
      </c>
      <c r="AC521" s="6">
        <f>IFERROR(__xludf.DUMMYFUNCTION("""COMPUTED_VALUE"""),5.89221826E8)</f>
        <v>589221826</v>
      </c>
      <c r="AD521" s="9">
        <f>IFERROR(__xludf.DUMMYFUNCTION("""COMPUTED_VALUE"""),29408.0)</f>
        <v>29408</v>
      </c>
      <c r="AE521" s="6" t="str">
        <f>IFERROR(__xludf.DUMMYFUNCTION("""COMPUTED_VALUE"""),"bg")</f>
        <v>bg</v>
      </c>
      <c r="AF521" s="6" t="str">
        <f>IFERROR(__xludf.DUMMYFUNCTION("""COMPUTED_VALUE"""),"Haskovo")</f>
        <v>Haskovo</v>
      </c>
      <c r="AG521" s="6" t="str">
        <f>IFERROR(__xludf.DUMMYFUNCTION("""COMPUTED_VALUE"""),"Hr. I.Y. Iliev")</f>
        <v>Hr. I.Y. Iliev</v>
      </c>
      <c r="AH521" s="6" t="str">
        <f>IFERROR(__xludf.DUMMYFUNCTION("""COMPUTED_VALUE"""),"NL79INGB0652853315")</f>
        <v>NL79INGB0652853315</v>
      </c>
      <c r="AI521" s="9">
        <f>IFERROR(__xludf.DUMMYFUNCTION("""COMPUTED_VALUE"""),42829.0)</f>
        <v>42829</v>
      </c>
      <c r="AJ521" s="6" t="str">
        <f>IFERROR(__xludf.DUMMYFUNCTION("""COMPUTED_VALUE"""),"ID Kaart")</f>
        <v>ID Kaart</v>
      </c>
      <c r="AK521" s="6">
        <f>IFERROR(__xludf.DUMMYFUNCTION("""COMPUTED_VALUE"""),6.40794597E8)</f>
        <v>640794597</v>
      </c>
      <c r="AL521" s="9">
        <f>IFERROR(__xludf.DUMMYFUNCTION("""COMPUTED_VALUE"""),44068.0)</f>
        <v>44068</v>
      </c>
      <c r="AM521" s="6"/>
      <c r="AN521" s="6" t="str">
        <f>IFERROR(__xludf.DUMMYFUNCTION("""COMPUTED_VALUE"""),"Iliya Yuliyanov Iliev")</f>
        <v>Iliya Yuliyanov Iliev</v>
      </c>
      <c r="AO521" s="6"/>
    </row>
    <row r="522">
      <c r="A522" s="6" t="str">
        <f>IFERROR(__xludf.DUMMYFUNCTION("""COMPUTED_VALUE"""),"Yunuzov85")</f>
        <v>Yunuzov85</v>
      </c>
      <c r="B522" s="6" t="str">
        <f>IFERROR(__xludf.DUMMYFUNCTION("""COMPUTED_VALUE"""),"Yunuzov85")</f>
        <v>Yunuzov85</v>
      </c>
      <c r="C522" s="6">
        <f>IFERROR(__xludf.DUMMYFUNCTION("""COMPUTED_VALUE"""),617.0)</f>
        <v>617</v>
      </c>
      <c r="D522" s="7" t="str">
        <f>IFERROR(__xludf.DUMMYFUNCTION("""COMPUTED_VALUE"""),"Yuzel Aynurov Yunuzov")</f>
        <v>Yuzel Aynurov Yunuzov</v>
      </c>
      <c r="E522" s="7" t="str">
        <f>IFERROR(__xludf.DUMMYFUNCTION("""COMPUTED_VALUE"""),"SBI-code: 4120 - Algemene burgerlijke en utiliteitsbouw")</f>
        <v>SBI-code: 4120 - Algemene burgerlijke en utiliteitsbouw</v>
      </c>
      <c r="F522" s="7" t="str">
        <f>IFERROR(__xludf.DUMMYFUNCTION("""COMPUTED_VALUE"""),"0617408436")</f>
        <v>0617408436</v>
      </c>
      <c r="G522" s="6" t="str">
        <f>IFERROR(__xludf.DUMMYFUNCTION("""COMPUTED_VALUE"""),"yuzelyunuzov85@gmail.com")</f>
        <v>yuzelyunuzov85@gmail.com</v>
      </c>
      <c r="H522" s="6" t="str">
        <f>IFERROR(__xludf.DUMMYFUNCTION("""COMPUTED_VALUE"""),"Velpsestraat 37")</f>
        <v>Velpsestraat 37</v>
      </c>
      <c r="I522" s="6" t="str">
        <f>IFERROR(__xludf.DUMMYFUNCTION("""COMPUTED_VALUE"""),"2573SC")</f>
        <v>2573SC</v>
      </c>
      <c r="J522" s="6" t="str">
        <f>IFERROR(__xludf.DUMMYFUNCTION("""COMPUTED_VALUE"""),"s-Gravenhage")</f>
        <v>s-Gravenhage</v>
      </c>
      <c r="K522" s="6" t="str">
        <f>IFERROR(__xludf.DUMMYFUNCTION("""COMPUTED_VALUE"""),"Nederland")</f>
        <v>Nederland</v>
      </c>
      <c r="L522" s="6" t="str">
        <f>IFERROR(__xludf.DUMMYFUNCTION("""COMPUTED_VALUE"""),"Юнузов")</f>
        <v>Юнузов</v>
      </c>
      <c r="M522" s="8">
        <f>IFERROR(__xludf.DUMMYFUNCTION("""COMPUTED_VALUE"""),45292.0)</f>
        <v>45292</v>
      </c>
      <c r="N522" s="6" t="str">
        <f>IFERROR(__xludf.DUMMYFUNCTION("""COMPUTED_VALUE"""),"NL265693159B03")</f>
        <v>NL265693159B03</v>
      </c>
      <c r="O522" s="6">
        <f>IFERROR(__xludf.DUMMYFUNCTION("""COMPUTED_VALUE"""),9.2494404E7)</f>
        <v>92494404</v>
      </c>
      <c r="P522" s="6" t="str">
        <f>IFERROR(__xludf.DUMMYFUNCTION("""COMPUTED_VALUE"""),"NL26INGB0104748591")</f>
        <v>NL26INGB0104748591</v>
      </c>
      <c r="Q522" s="9">
        <f>IFERROR(__xludf.DUMMYFUNCTION("""COMPUTED_VALUE"""),45292.0)</f>
        <v>45292</v>
      </c>
      <c r="R522" s="6"/>
      <c r="S522" s="6" t="str">
        <f>IFERROR(__xludf.DUMMYFUNCTION("""COMPUTED_VALUE"""),"NL004954693B94")</f>
        <v>NL004954693B94</v>
      </c>
      <c r="T522" s="6">
        <f>IFERROR(__xludf.DUMMYFUNCTION("""COMPUTED_VALUE"""),2.65693159E8)</f>
        <v>265693159</v>
      </c>
      <c r="U522" s="7" t="str">
        <f>IFERROR(__xludf.DUMMYFUNCTION("""COMPUTED_VALUE"""),"Eenmanszaak")</f>
        <v>Eenmanszaak</v>
      </c>
      <c r="V522" s="7" t="str">
        <f>IFERROR(__xludf.DUMMYFUNCTION("""COMPUTED_VALUE"""),"000058096299")</f>
        <v>000058096299</v>
      </c>
      <c r="W522" s="6" t="str">
        <f>IFERROR(__xludf.DUMMYFUNCTION("""COMPUTED_VALUE"""),"ink.unikas.2288aa@zarabota.nl")</f>
        <v>ink.unikas.2288aa@zarabota.nl</v>
      </c>
      <c r="X522" s="6" t="str">
        <f>IFERROR(__xludf.DUMMYFUNCTION("""COMPUTED_VALUE"""),"ver.unikas.2288aa@zarabota.nl")</f>
        <v>ver.unikas.2288aa@zarabota.nl</v>
      </c>
      <c r="Y522" s="6" t="str">
        <f>IFERROR(__xludf.DUMMYFUNCTION("""COMPUTED_VALUE"""),"Hr.")</f>
        <v>Hr.</v>
      </c>
      <c r="Z522" s="6" t="str">
        <f>IFERROR(__xludf.DUMMYFUNCTION("""COMPUTED_VALUE"""),"Yuzel Aynurov")</f>
        <v>Yuzel Aynurov</v>
      </c>
      <c r="AA522" s="6" t="str">
        <f>IFERROR(__xludf.DUMMYFUNCTION("""COMPUTED_VALUE"""),"Yunuzov")</f>
        <v>Yunuzov</v>
      </c>
      <c r="AB522" s="6" t="str">
        <f>IFERROR(__xludf.DUMMYFUNCTION("""COMPUTED_VALUE"""),"Y.A.")</f>
        <v>Y.A.</v>
      </c>
      <c r="AC522" s="6" t="str">
        <f>IFERROR(__xludf.DUMMYFUNCTION("""COMPUTED_VALUE"""),"NL265693159B03")</f>
        <v>NL265693159B03</v>
      </c>
      <c r="AD522" s="9">
        <f>IFERROR(__xludf.DUMMYFUNCTION("""COMPUTED_VALUE"""),31134.0)</f>
        <v>31134</v>
      </c>
      <c r="AE522" s="6" t="str">
        <f>IFERROR(__xludf.DUMMYFUNCTION("""COMPUTED_VALUE"""),"bg")</f>
        <v>bg</v>
      </c>
      <c r="AF522" s="6"/>
      <c r="AG522" s="6" t="str">
        <f>IFERROR(__xludf.DUMMYFUNCTION("""COMPUTED_VALUE"""),"Hr. Y.A. Yunuzov")</f>
        <v>Hr. Y.A. Yunuzov</v>
      </c>
      <c r="AH522" s="6" t="str">
        <f>IFERROR(__xludf.DUMMYFUNCTION("""COMPUTED_VALUE"""),"NL40INGB0660654466")</f>
        <v>NL40INGB0660654466</v>
      </c>
      <c r="AI522" s="6"/>
      <c r="AJ522" s="6" t="str">
        <f>IFERROR(__xludf.DUMMYFUNCTION("""COMPUTED_VALUE"""),"ID Kaart")</f>
        <v>ID Kaart</v>
      </c>
      <c r="AK522" s="6">
        <f>IFERROR(__xludf.DUMMYFUNCTION("""COMPUTED_VALUE"""),6.41459135E8)</f>
        <v>641459135</v>
      </c>
      <c r="AL522" s="9">
        <f>IFERROR(__xludf.DUMMYFUNCTION("""COMPUTED_VALUE"""),44164.0)</f>
        <v>44164</v>
      </c>
      <c r="AM522" s="6" t="str">
        <f>IFERROR(__xludf.DUMMYFUNCTION("""COMPUTED_VALUE"""),"Bulgarije")</f>
        <v>Bulgarije</v>
      </c>
      <c r="AN522" s="6" t="str">
        <f>IFERROR(__xludf.DUMMYFUNCTION("""COMPUTED_VALUE"""),"Yuzel Aynurov Yunuzov")</f>
        <v>Yuzel Aynurov Yunuzov</v>
      </c>
      <c r="AO522" s="6"/>
    </row>
    <row r="523">
      <c r="A523" s="6" t="str">
        <f>IFERROR(__xludf.DUMMYFUNCTION("""COMPUTED_VALUE"""),"Z.S. ZDRAVEV V.O.F.")</f>
        <v>Z.S. ZDRAVEV V.O.F.</v>
      </c>
      <c r="B523" s="6" t="str">
        <f>IFERROR(__xludf.DUMMYFUNCTION("""COMPUTED_VALUE"""),"Z.S. ZDRAVEV V.O.F.")</f>
        <v>Z.S. ZDRAVEV V.O.F.</v>
      </c>
      <c r="C523" s="6">
        <f>IFERROR(__xludf.DUMMYFUNCTION("""COMPUTED_VALUE"""),1522.0)</f>
        <v>1522</v>
      </c>
      <c r="D523" s="7" t="str">
        <f>IFERROR(__xludf.DUMMYFUNCTION("""COMPUTED_VALUE"""),"Zaharin Spasov Zdravev")</f>
        <v>Zaharin Spasov Zdravev</v>
      </c>
      <c r="E523" s="7" t="str">
        <f>IFERROR(__xludf.DUMMYFUNCTION("""COMPUTED_VALUE"""),"SBI-code: 4941 - Goederenvervoer over de weg (geen verhuizingen)")</f>
        <v>SBI-code: 4941 - Goederenvervoer over de weg (geen verhuizingen)</v>
      </c>
      <c r="F523" s="7" t="str">
        <f>IFERROR(__xludf.DUMMYFUNCTION("""COMPUTED_VALUE"""),"0683959621")</f>
        <v>0683959621</v>
      </c>
      <c r="G523" s="6" t="str">
        <f>IFERROR(__xludf.DUMMYFUNCTION("""COMPUTED_VALUE"""),"zaharin_zdravev@hotmail.com")</f>
        <v>zaharin_zdravev@hotmail.com</v>
      </c>
      <c r="H523" s="6" t="str">
        <f>IFERROR(__xludf.DUMMYFUNCTION("""COMPUTED_VALUE"""),"Beumershoek 34")</f>
        <v>Beumershoek 34</v>
      </c>
      <c r="I523" s="6" t="str">
        <f>IFERROR(__xludf.DUMMYFUNCTION("""COMPUTED_VALUE"""),"3085EA")</f>
        <v>3085EA</v>
      </c>
      <c r="J523" s="6" t="str">
        <f>IFERROR(__xludf.DUMMYFUNCTION("""COMPUTED_VALUE"""),"Rotterdam")</f>
        <v>Rotterdam</v>
      </c>
      <c r="K523" s="6" t="str">
        <f>IFERROR(__xludf.DUMMYFUNCTION("""COMPUTED_VALUE"""),"Nederland")</f>
        <v>Nederland</v>
      </c>
      <c r="L523" s="6" t="str">
        <f>IFERROR(__xludf.DUMMYFUNCTION("""COMPUTED_VALUE"""),"Здравев")</f>
        <v>Здравев</v>
      </c>
      <c r="M523" s="8">
        <f>IFERROR(__xludf.DUMMYFUNCTION("""COMPUTED_VALUE"""),45017.0)</f>
        <v>45017</v>
      </c>
      <c r="N523" s="6" t="str">
        <f>IFERROR(__xludf.DUMMYFUNCTION("""COMPUTED_VALUE"""),"NL865108845B01")</f>
        <v>NL865108845B01</v>
      </c>
      <c r="O523" s="6">
        <f>IFERROR(__xludf.DUMMYFUNCTION("""COMPUTED_VALUE"""),8.9786734E7)</f>
        <v>89786734</v>
      </c>
      <c r="P523" s="6" t="str">
        <f>IFERROR(__xludf.DUMMYFUNCTION("""COMPUTED_VALUE"""),"NL96INGB0006037609")</f>
        <v>NL96INGB0006037609</v>
      </c>
      <c r="Q523" s="9">
        <f>IFERROR(__xludf.DUMMYFUNCTION("""COMPUTED_VALUE"""),45017.0)</f>
        <v>45017</v>
      </c>
      <c r="R523" s="6"/>
      <c r="S523" s="6" t="str">
        <f>IFERROR(__xludf.DUMMYFUNCTION("""COMPUTED_VALUE"""),"NL865108845B01")</f>
        <v>NL865108845B01</v>
      </c>
      <c r="T523" s="6">
        <f>IFERROR(__xludf.DUMMYFUNCTION("""COMPUTED_VALUE"""),8.65108845E8)</f>
        <v>865108845</v>
      </c>
      <c r="U523" s="7" t="str">
        <f>IFERROR(__xludf.DUMMYFUNCTION("""COMPUTED_VALUE"""),"Eenmanszaak")</f>
        <v>Eenmanszaak</v>
      </c>
      <c r="V523" s="7" t="str">
        <f>IFERROR(__xludf.DUMMYFUNCTION("""COMPUTED_VALUE"""),"000013838407")</f>
        <v>000013838407</v>
      </c>
      <c r="W523" s="6" t="str">
        <f>IFERROR(__xludf.DUMMYFUNCTION("""COMPUTED_VALUE"""),"ink.z.s.zdravev.2288aa@zarabota.nl")</f>
        <v>ink.z.s.zdravev.2288aa@zarabota.nl</v>
      </c>
      <c r="X523" s="6" t="str">
        <f>IFERROR(__xludf.DUMMYFUNCTION("""COMPUTED_VALUE"""),"ver.z.s.zdravev.2288aa@zarabota.nl")</f>
        <v>ver.z.s.zdravev.2288aa@zarabota.nl</v>
      </c>
      <c r="Y523" s="6" t="str">
        <f>IFERROR(__xludf.DUMMYFUNCTION("""COMPUTED_VALUE"""),"Hr.")</f>
        <v>Hr.</v>
      </c>
      <c r="Z523" s="6" t="str">
        <f>IFERROR(__xludf.DUMMYFUNCTION("""COMPUTED_VALUE"""),"Zaharin Spasov")</f>
        <v>Zaharin Spasov</v>
      </c>
      <c r="AA523" s="6" t="str">
        <f>IFERROR(__xludf.DUMMYFUNCTION("""COMPUTED_VALUE"""),"Zdravev")</f>
        <v>Zdravev</v>
      </c>
      <c r="AB523" s="6" t="str">
        <f>IFERROR(__xludf.DUMMYFUNCTION("""COMPUTED_VALUE"""),"Z.S.")</f>
        <v>Z.S.</v>
      </c>
      <c r="AC523" s="6">
        <f>IFERROR(__xludf.DUMMYFUNCTION("""COMPUTED_VALUE"""),2.65689661E8)</f>
        <v>265689661</v>
      </c>
      <c r="AD523" s="9">
        <f>IFERROR(__xludf.DUMMYFUNCTION("""COMPUTED_VALUE"""),21903.0)</f>
        <v>21903</v>
      </c>
      <c r="AE523" s="6" t="str">
        <f>IFERROR(__xludf.DUMMYFUNCTION("""COMPUTED_VALUE"""),"bg")</f>
        <v>bg</v>
      </c>
      <c r="AF523" s="6"/>
      <c r="AG523" s="6" t="str">
        <f>IFERROR(__xludf.DUMMYFUNCTION("""COMPUTED_VALUE"""),"Hr. Z.S. Zdravev")</f>
        <v>Hr. Z.S. Zdravev</v>
      </c>
      <c r="AH523" s="6"/>
      <c r="AI523" s="6"/>
      <c r="AJ523" s="6"/>
      <c r="AK523" s="6"/>
      <c r="AL523" s="6"/>
      <c r="AM523" s="6"/>
      <c r="AN523" s="6" t="str">
        <f>IFERROR(__xludf.DUMMYFUNCTION("""COMPUTED_VALUE"""),"Zaharin Spasov Zdravev")</f>
        <v>Zaharin Spasov Zdravev</v>
      </c>
      <c r="AO523" s="6">
        <f>IFERROR(__xludf.DUMMYFUNCTION("""COMPUTED_VALUE"""),1522.0)</f>
        <v>1522</v>
      </c>
    </row>
    <row r="524">
      <c r="A524" s="6" t="str">
        <f>IFERROR(__xludf.DUMMYFUNCTION("""COMPUTED_VALUE"""),"Zahariev")</f>
        <v>Zahariev</v>
      </c>
      <c r="B524" s="6" t="str">
        <f>IFERROR(__xludf.DUMMYFUNCTION("""COMPUTED_VALUE"""),"Zahariev - ACHTERSTAND - GEMAILD")</f>
        <v>Zahariev - ACHTERSTAND - GEMAILD</v>
      </c>
      <c r="C524" s="6">
        <f>IFERROR(__xludf.DUMMYFUNCTION("""COMPUTED_VALUE"""),1726.0)</f>
        <v>1726</v>
      </c>
      <c r="D524" s="7" t="str">
        <f>IFERROR(__xludf.DUMMYFUNCTION("""COMPUTED_VALUE"""),"Georgi Stefanov Zahariev")</f>
        <v>Georgi Stefanov Zahariev</v>
      </c>
      <c r="E524" s="7" t="str">
        <f>IFERROR(__xludf.DUMMYFUNCTION("""COMPUTED_VALUE"""),"SBI-code: 0161 - Dienstverlening voor de akker- en/of tuinbouw")</f>
        <v>SBI-code: 0161 - Dienstverlening voor de akker- en/of tuinbouw</v>
      </c>
      <c r="F524" s="7" t="str">
        <f>IFERROR(__xludf.DUMMYFUNCTION("""COMPUTED_VALUE"""),"0610240039")</f>
        <v>0610240039</v>
      </c>
      <c r="G524" s="6" t="str">
        <f>IFERROR(__xludf.DUMMYFUNCTION("""COMPUTED_VALUE"""),"georgizahariev62@gmail.com")</f>
        <v>georgizahariev62@gmail.com</v>
      </c>
      <c r="H524" s="6" t="str">
        <f>IFERROR(__xludf.DUMMYFUNCTION("""COMPUTED_VALUE"""),"Boele van Hensbroekstraat 31")</f>
        <v>Boele van Hensbroekstraat 31</v>
      </c>
      <c r="I524" s="6" t="str">
        <f>IFERROR(__xludf.DUMMYFUNCTION("""COMPUTED_VALUE"""),"2522HJ")</f>
        <v>2522HJ</v>
      </c>
      <c r="J524" s="6" t="str">
        <f>IFERROR(__xludf.DUMMYFUNCTION("""COMPUTED_VALUE"""),"s-Gravenhage")</f>
        <v>s-Gravenhage</v>
      </c>
      <c r="K524" s="6" t="str">
        <f>IFERROR(__xludf.DUMMYFUNCTION("""COMPUTED_VALUE"""),"Nederland")</f>
        <v>Nederland</v>
      </c>
      <c r="L524" s="6" t="str">
        <f>IFERROR(__xludf.DUMMYFUNCTION("""COMPUTED_VALUE"""),"Захариев")</f>
        <v>Захариев</v>
      </c>
      <c r="M524" s="8">
        <f>IFERROR(__xludf.DUMMYFUNCTION("""COMPUTED_VALUE"""),45839.0)</f>
        <v>45839</v>
      </c>
      <c r="N524" s="6" t="str">
        <f>IFERROR(__xludf.DUMMYFUNCTION("""COMPUTED_VALUE"""),"NL671583682B02")</f>
        <v>NL671583682B02</v>
      </c>
      <c r="O524" s="6">
        <f>IFERROR(__xludf.DUMMYFUNCTION("""COMPUTED_VALUE"""),9.7673722E7)</f>
        <v>97673722</v>
      </c>
      <c r="P524" s="6" t="str">
        <f>IFERROR(__xludf.DUMMYFUNCTION("""COMPUTED_VALUE"""),"NL60INGB0008401468")</f>
        <v>NL60INGB0008401468</v>
      </c>
      <c r="Q524" s="9">
        <f>IFERROR(__xludf.DUMMYFUNCTION("""COMPUTED_VALUE"""),45839.0)</f>
        <v>45839</v>
      </c>
      <c r="R524" s="6"/>
      <c r="S524" s="6" t="str">
        <f>IFERROR(__xludf.DUMMYFUNCTION("""COMPUTED_VALUE"""),"NL005284358B48")</f>
        <v>NL005284358B48</v>
      </c>
      <c r="T524" s="6">
        <f>IFERROR(__xludf.DUMMYFUNCTION("""COMPUTED_VALUE"""),6.71583682E8)</f>
        <v>671583682</v>
      </c>
      <c r="U524" s="7" t="str">
        <f>IFERROR(__xludf.DUMMYFUNCTION("""COMPUTED_VALUE"""),"Eenmanszaak")</f>
        <v>Eenmanszaak</v>
      </c>
      <c r="V524" s="7" t="str">
        <f>IFERROR(__xludf.DUMMYFUNCTION("""COMPUTED_VALUE"""),"00003980171")</f>
        <v>00003980171</v>
      </c>
      <c r="W524" s="6" t="str">
        <f>IFERROR(__xludf.DUMMYFUNCTION("""COMPUTED_VALUE"""),"ink.zaharievvof.2288aa@zarabota.nl")</f>
        <v>ink.zaharievvof.2288aa@zarabota.nl</v>
      </c>
      <c r="X524" s="6" t="str">
        <f>IFERROR(__xludf.DUMMYFUNCTION("""COMPUTED_VALUE"""),"ver.zaharievvof.2288aa@zarabota.nl")</f>
        <v>ver.zaharievvof.2288aa@zarabota.nl</v>
      </c>
      <c r="Y524" s="6" t="str">
        <f>IFERROR(__xludf.DUMMYFUNCTION("""COMPUTED_VALUE"""),"Hr.")</f>
        <v>Hr.</v>
      </c>
      <c r="Z524" s="6" t="str">
        <f>IFERROR(__xludf.DUMMYFUNCTION("""COMPUTED_VALUE"""),"Georgi Stefanov")</f>
        <v>Georgi Stefanov</v>
      </c>
      <c r="AA524" s="6" t="str">
        <f>IFERROR(__xludf.DUMMYFUNCTION("""COMPUTED_VALUE"""),"Zahariev")</f>
        <v>Zahariev</v>
      </c>
      <c r="AB524" s="6" t="str">
        <f>IFERROR(__xludf.DUMMYFUNCTION("""COMPUTED_VALUE"""),"G.S.")</f>
        <v>G.S.</v>
      </c>
      <c r="AC524" s="6">
        <f>IFERROR(__xludf.DUMMYFUNCTION("""COMPUTED_VALUE"""),6.71583682E8)</f>
        <v>671583682</v>
      </c>
      <c r="AD524" s="9">
        <f>IFERROR(__xludf.DUMMYFUNCTION("""COMPUTED_VALUE"""),30511.0)</f>
        <v>30511</v>
      </c>
      <c r="AE524" s="6" t="str">
        <f>IFERROR(__xludf.DUMMYFUNCTION("""COMPUTED_VALUE"""),"bg")</f>
        <v>bg</v>
      </c>
      <c r="AF524" s="6" t="str">
        <f>IFERROR(__xludf.DUMMYFUNCTION("""COMPUTED_VALUE"""),"Kazanlak")</f>
        <v>Kazanlak</v>
      </c>
      <c r="AG524" s="6" t="str">
        <f>IFERROR(__xludf.DUMMYFUNCTION("""COMPUTED_VALUE"""),"Hr. G.S. Zahariev")</f>
        <v>Hr. G.S. Zahariev</v>
      </c>
      <c r="AH524" s="6" t="str">
        <f>IFERROR(__xludf.DUMMYFUNCTION("""COMPUTED_VALUE"""),"NL03INGB0704584395")</f>
        <v>NL03INGB0704584395</v>
      </c>
      <c r="AI524" s="6"/>
      <c r="AJ524" s="6" t="str">
        <f>IFERROR(__xludf.DUMMYFUNCTION("""COMPUTED_VALUE"""),"ID Kaart")</f>
        <v>ID Kaart</v>
      </c>
      <c r="AK524" s="6">
        <f>IFERROR(__xludf.DUMMYFUNCTION("""COMPUTED_VALUE"""),6.46656027E8)</f>
        <v>646656027</v>
      </c>
      <c r="AL524" s="9">
        <f>IFERROR(__xludf.DUMMYFUNCTION("""COMPUTED_VALUE"""),46259.0)</f>
        <v>46259</v>
      </c>
      <c r="AM524" s="6" t="str">
        <f>IFERROR(__xludf.DUMMYFUNCTION("""COMPUTED_VALUE"""),"Bulgarije")</f>
        <v>Bulgarije</v>
      </c>
      <c r="AN524" s="6" t="str">
        <f>IFERROR(__xludf.DUMMYFUNCTION("""COMPUTED_VALUE"""),"Georgi Stefanov Zahariev")</f>
        <v>Georgi Stefanov Zahariev</v>
      </c>
      <c r="AO524" s="6">
        <f>IFERROR(__xludf.DUMMYFUNCTION("""COMPUTED_VALUE"""),1727.0)</f>
        <v>1727</v>
      </c>
    </row>
    <row r="525">
      <c r="A525" s="6" t="str">
        <f>IFERROR(__xludf.DUMMYFUNCTION("""COMPUTED_VALUE"""),"Zaro Las en Constructiebedrijf VOF")</f>
        <v>Zaro Las en Constructiebedrijf VOF</v>
      </c>
      <c r="B525" s="6" t="str">
        <f>IFERROR(__xludf.DUMMYFUNCTION("""COMPUTED_VALUE"""),"Zaro Las en Constructiebedrijf VOF")</f>
        <v>Zaro Las en Constructiebedrijf VOF</v>
      </c>
      <c r="C525" s="6">
        <f>IFERROR(__xludf.DUMMYFUNCTION("""COMPUTED_VALUE"""),496.0)</f>
        <v>496</v>
      </c>
      <c r="D525" s="7" t="str">
        <f>IFERROR(__xludf.DUMMYFUNCTION("""COMPUTED_VALUE"""),"Milko Velizarov Pergelov")</f>
        <v>Milko Velizarov Pergelov</v>
      </c>
      <c r="E525" s="7" t="str">
        <f>IFERROR(__xludf.DUMMYFUNCTION("""COMPUTED_VALUE"""),"SBI-code: 4120 - Algemene burgerlijke en utiliteitsbouw")</f>
        <v>SBI-code: 4120 - Algemene burgerlijke en utiliteitsbouw</v>
      </c>
      <c r="F525" s="7" t="str">
        <f>IFERROR(__xludf.DUMMYFUNCTION("""COMPUTED_VALUE"""),"0683857207")</f>
        <v>0683857207</v>
      </c>
      <c r="G525" s="6" t="str">
        <f>IFERROR(__xludf.DUMMYFUNCTION("""COMPUTED_VALUE"""),"milko100859pergelov@gmail.com")</f>
        <v>milko100859pergelov@gmail.com</v>
      </c>
      <c r="H525" s="6" t="str">
        <f>IFERROR(__xludf.DUMMYFUNCTION("""COMPUTED_VALUE"""),"Rondebosstraat 6")</f>
        <v>Rondebosstraat 6</v>
      </c>
      <c r="I525" s="6" t="str">
        <f>IFERROR(__xludf.DUMMYFUNCTION("""COMPUTED_VALUE"""),"2572NB")</f>
        <v>2572NB</v>
      </c>
      <c r="J525" s="6" t="str">
        <f>IFERROR(__xludf.DUMMYFUNCTION("""COMPUTED_VALUE"""),"`s-Gravenhage")</f>
        <v>`s-Gravenhage</v>
      </c>
      <c r="K525" s="6" t="str">
        <f>IFERROR(__xludf.DUMMYFUNCTION("""COMPUTED_VALUE"""),"Nederland")</f>
        <v>Nederland</v>
      </c>
      <c r="L525" s="6" t="str">
        <f>IFERROR(__xludf.DUMMYFUNCTION("""COMPUTED_VALUE"""),"Пергелов")</f>
        <v>Пергелов</v>
      </c>
      <c r="M525" s="8">
        <f>IFERROR(__xludf.DUMMYFUNCTION("""COMPUTED_VALUE"""),43101.0)</f>
        <v>43101</v>
      </c>
      <c r="N525" s="6" t="str">
        <f>IFERROR(__xludf.DUMMYFUNCTION("""COMPUTED_VALUE"""),"NL858449730B01")</f>
        <v>NL858449730B01</v>
      </c>
      <c r="O525" s="6">
        <f>IFERROR(__xludf.DUMMYFUNCTION("""COMPUTED_VALUE"""),7.0762821E7)</f>
        <v>70762821</v>
      </c>
      <c r="P525" s="6" t="str">
        <f>IFERROR(__xludf.DUMMYFUNCTION("""COMPUTED_VALUE"""),"NL16INGB0004610142")</f>
        <v>NL16INGB0004610142</v>
      </c>
      <c r="Q525" s="9">
        <f>IFERROR(__xludf.DUMMYFUNCTION("""COMPUTED_VALUE"""),43101.0)</f>
        <v>43101</v>
      </c>
      <c r="R525" s="6"/>
      <c r="S525" s="6" t="str">
        <f>IFERROR(__xludf.DUMMYFUNCTION("""COMPUTED_VALUE"""),"NL858449730B01")</f>
        <v>NL858449730B01</v>
      </c>
      <c r="T525" s="6">
        <f>IFERROR(__xludf.DUMMYFUNCTION("""COMPUTED_VALUE"""),8.5844973E8)</f>
        <v>858449730</v>
      </c>
      <c r="U525" s="7" t="str">
        <f>IFERROR(__xludf.DUMMYFUNCTION("""COMPUTED_VALUE"""),"Vennootschap Onder Firma")</f>
        <v>Vennootschap Onder Firma</v>
      </c>
      <c r="V525" s="7" t="str">
        <f>IFERROR(__xludf.DUMMYFUNCTION("""COMPUTED_VALUE"""),"000023176261")</f>
        <v>000023176261</v>
      </c>
      <c r="W525" s="6" t="str">
        <f>IFERROR(__xludf.DUMMYFUNCTION("""COMPUTED_VALUE"""),"ink.zarolasenconstructiebedrijfvof.2288aa@zarabota")</f>
        <v>ink.zarolasenconstructiebedrijfvof.2288aa@zarabota</v>
      </c>
      <c r="X525" s="6" t="str">
        <f>IFERROR(__xludf.DUMMYFUNCTION("""COMPUTED_VALUE"""),"ver.zarolasenconstructiebedrijfvof.2288aa@zarabota")</f>
        <v>ver.zarolasenconstructiebedrijfvof.2288aa@zarabota</v>
      </c>
      <c r="Y525" s="6" t="str">
        <f>IFERROR(__xludf.DUMMYFUNCTION("""COMPUTED_VALUE"""),"Hr.")</f>
        <v>Hr.</v>
      </c>
      <c r="Z525" s="6" t="str">
        <f>IFERROR(__xludf.DUMMYFUNCTION("""COMPUTED_VALUE"""),"Milko Velizarov")</f>
        <v>Milko Velizarov</v>
      </c>
      <c r="AA525" s="6" t="str">
        <f>IFERROR(__xludf.DUMMYFUNCTION("""COMPUTED_VALUE"""),"Pergelov")</f>
        <v>Pergelov</v>
      </c>
      <c r="AB525" s="6" t="str">
        <f>IFERROR(__xludf.DUMMYFUNCTION("""COMPUTED_VALUE"""),"M.V.")</f>
        <v>M.V.</v>
      </c>
      <c r="AC525" s="6">
        <f>IFERROR(__xludf.DUMMYFUNCTION("""COMPUTED_VALUE"""),2.64437378E8)</f>
        <v>264437378</v>
      </c>
      <c r="AD525" s="9">
        <f>IFERROR(__xludf.DUMMYFUNCTION("""COMPUTED_VALUE"""),21772.0)</f>
        <v>21772</v>
      </c>
      <c r="AE525" s="6" t="str">
        <f>IFERROR(__xludf.DUMMYFUNCTION("""COMPUTED_VALUE"""),"bg")</f>
        <v>bg</v>
      </c>
      <c r="AF525" s="6" t="str">
        <f>IFERROR(__xludf.DUMMYFUNCTION("""COMPUTED_VALUE"""),"Banite")</f>
        <v>Banite</v>
      </c>
      <c r="AG525" s="6" t="str">
        <f>IFERROR(__xludf.DUMMYFUNCTION("""COMPUTED_VALUE"""),"Hr. M.V. Pergelov")</f>
        <v>Hr. M.V. Pergelov</v>
      </c>
      <c r="AH525" s="6"/>
      <c r="AI525" s="6"/>
      <c r="AJ525" s="6"/>
      <c r="AK525" s="6"/>
      <c r="AL525" s="6"/>
      <c r="AM525" s="6"/>
      <c r="AN525" s="6" t="str">
        <f>IFERROR(__xludf.DUMMYFUNCTION("""COMPUTED_VALUE"""),"Milko Velizarov Pergelov")</f>
        <v>Milko Velizarov Pergelov</v>
      </c>
      <c r="AO525" s="6"/>
    </row>
    <row r="526">
      <c r="A526" s="6" t="str">
        <f>IFERROR(__xludf.DUMMYFUNCTION("""COMPUTED_VALUE"""),"Zdravko IJzervlechter")</f>
        <v>Zdravko IJzervlechter</v>
      </c>
      <c r="B526" s="6" t="str">
        <f>IFERROR(__xludf.DUMMYFUNCTION("""COMPUTED_VALUE"""),"Zdravko IJzervlechter")</f>
        <v>Zdravko IJzervlechter</v>
      </c>
      <c r="C526" s="6">
        <f>IFERROR(__xludf.DUMMYFUNCTION("""COMPUTED_VALUE"""),532.0)</f>
        <v>532</v>
      </c>
      <c r="D526" s="7" t="str">
        <f>IFERROR(__xludf.DUMMYFUNCTION("""COMPUTED_VALUE"""),"Zdravko Angelov Romanov")</f>
        <v>Zdravko Angelov Romanov</v>
      </c>
      <c r="E526" s="7" t="str">
        <f>IFERROR(__xludf.DUMMYFUNCTION("""COMPUTED_VALUE"""),"SBI-code: 4120 - Algemene burgerlijke en utiliteitsbouw")</f>
        <v>SBI-code: 4120 - Algemene burgerlijke en utiliteitsbouw</v>
      </c>
      <c r="F526" s="7" t="str">
        <f>IFERROR(__xludf.DUMMYFUNCTION("""COMPUTED_VALUE"""),"0684637861")</f>
        <v>0684637861</v>
      </c>
      <c r="G526" s="6" t="str">
        <f>IFERROR(__xludf.DUMMYFUNCTION("""COMPUTED_VALUE"""),"zdrvkoangelov@gmail.com")</f>
        <v>zdrvkoangelov@gmail.com</v>
      </c>
      <c r="H526" s="6" t="str">
        <f>IFERROR(__xludf.DUMMYFUNCTION("""COMPUTED_VALUE"""),"Schalk Burgerstraat 256")</f>
        <v>Schalk Burgerstraat 256</v>
      </c>
      <c r="I526" s="6" t="str">
        <f>IFERROR(__xludf.DUMMYFUNCTION("""COMPUTED_VALUE"""),"2572TE")</f>
        <v>2572TE</v>
      </c>
      <c r="J526" s="6" t="str">
        <f>IFERROR(__xludf.DUMMYFUNCTION("""COMPUTED_VALUE"""),"s-Gravenhage")</f>
        <v>s-Gravenhage</v>
      </c>
      <c r="K526" s="6" t="str">
        <f>IFERROR(__xludf.DUMMYFUNCTION("""COMPUTED_VALUE"""),"Nederland")</f>
        <v>Nederland</v>
      </c>
      <c r="L526" s="6" t="str">
        <f>IFERROR(__xludf.DUMMYFUNCTION("""COMPUTED_VALUE"""),"Романов")</f>
        <v>Романов</v>
      </c>
      <c r="M526" s="8">
        <f>IFERROR(__xludf.DUMMYFUNCTION("""COMPUTED_VALUE"""),43175.0)</f>
        <v>43175</v>
      </c>
      <c r="N526" s="6" t="str">
        <f>IFERROR(__xludf.DUMMYFUNCTION("""COMPUTED_VALUE"""),"NL590594278B01")</f>
        <v>NL590594278B01</v>
      </c>
      <c r="O526" s="6">
        <f>IFERROR(__xludf.DUMMYFUNCTION("""COMPUTED_VALUE"""),6.7147038E7)</f>
        <v>67147038</v>
      </c>
      <c r="P526" s="6" t="str">
        <f>IFERROR(__xludf.DUMMYFUNCTION("""COMPUTED_VALUE"""),"NL67INGB0007521746")</f>
        <v>NL67INGB0007521746</v>
      </c>
      <c r="Q526" s="9">
        <f>IFERROR(__xludf.DUMMYFUNCTION("""COMPUTED_VALUE"""),42632.0)</f>
        <v>42632</v>
      </c>
      <c r="R526" s="6"/>
      <c r="S526" s="6" t="str">
        <f>IFERROR(__xludf.DUMMYFUNCTION("""COMPUTED_VALUE"""),"NL002504904B95")</f>
        <v>NL002504904B95</v>
      </c>
      <c r="T526" s="6">
        <f>IFERROR(__xludf.DUMMYFUNCTION("""COMPUTED_VALUE"""),5.90594278E8)</f>
        <v>590594278</v>
      </c>
      <c r="U526" s="7" t="str">
        <f>IFERROR(__xludf.DUMMYFUNCTION("""COMPUTED_VALUE"""),"Eenmanszaak")</f>
        <v>Eenmanszaak</v>
      </c>
      <c r="V526" s="7" t="str">
        <f>IFERROR(__xludf.DUMMYFUNCTION("""COMPUTED_VALUE"""),"000035712783")</f>
        <v>000035712783</v>
      </c>
      <c r="W526" s="6" t="str">
        <f>IFERROR(__xludf.DUMMYFUNCTION("""COMPUTED_VALUE"""),"ink.zdravkoijzervlechter.2288aa@zarabota.nl")</f>
        <v>ink.zdravkoijzervlechter.2288aa@zarabota.nl</v>
      </c>
      <c r="X526" s="6" t="str">
        <f>IFERROR(__xludf.DUMMYFUNCTION("""COMPUTED_VALUE"""),"ver.zdravkoijzervlechter.2288aa@zarabota.nl")</f>
        <v>ver.zdravkoijzervlechter.2288aa@zarabota.nl</v>
      </c>
      <c r="Y526" s="6" t="str">
        <f>IFERROR(__xludf.DUMMYFUNCTION("""COMPUTED_VALUE"""),"Hr.")</f>
        <v>Hr.</v>
      </c>
      <c r="Z526" s="6" t="str">
        <f>IFERROR(__xludf.DUMMYFUNCTION("""COMPUTED_VALUE"""),"Zdravko Angelov")</f>
        <v>Zdravko Angelov</v>
      </c>
      <c r="AA526" s="6" t="str">
        <f>IFERROR(__xludf.DUMMYFUNCTION("""COMPUTED_VALUE"""),"Romanov")</f>
        <v>Romanov</v>
      </c>
      <c r="AB526" s="6" t="str">
        <f>IFERROR(__xludf.DUMMYFUNCTION("""COMPUTED_VALUE"""),"Z.A.")</f>
        <v>Z.A.</v>
      </c>
      <c r="AC526" s="6">
        <f>IFERROR(__xludf.DUMMYFUNCTION("""COMPUTED_VALUE"""),5.90594278E8)</f>
        <v>590594278</v>
      </c>
      <c r="AD526" s="9">
        <f>IFERROR(__xludf.DUMMYFUNCTION("""COMPUTED_VALUE"""),27851.0)</f>
        <v>27851</v>
      </c>
      <c r="AE526" s="6" t="str">
        <f>IFERROR(__xludf.DUMMYFUNCTION("""COMPUTED_VALUE"""),"bg")</f>
        <v>bg</v>
      </c>
      <c r="AF526" s="6" t="str">
        <f>IFERROR(__xludf.DUMMYFUNCTION("""COMPUTED_VALUE"""),"Dimitrovgrad")</f>
        <v>Dimitrovgrad</v>
      </c>
      <c r="AG526" s="6" t="str">
        <f>IFERROR(__xludf.DUMMYFUNCTION("""COMPUTED_VALUE"""),"Hr. Z.A. Romanov")</f>
        <v>Hr. Z.A. Romanov</v>
      </c>
      <c r="AH526" s="6"/>
      <c r="AI526" s="6"/>
      <c r="AJ526" s="6"/>
      <c r="AK526" s="6"/>
      <c r="AL526" s="6"/>
      <c r="AM526" s="6"/>
      <c r="AN526" s="6" t="str">
        <f>IFERROR(__xludf.DUMMYFUNCTION("""COMPUTED_VALUE"""),"Zdravko Angelov Romanov")</f>
        <v>Zdravko Angelov Romanov</v>
      </c>
      <c r="AO526" s="6"/>
    </row>
    <row r="527">
      <c r="A527" s="6" t="str">
        <f>IFERROR(__xludf.DUMMYFUNCTION("""COMPUTED_VALUE"""),"Zekirov")</f>
        <v>Zekirov</v>
      </c>
      <c r="B527" s="6" t="str">
        <f>IFERROR(__xludf.DUMMYFUNCTION("""COMPUTED_VALUE"""),"Zekirov")</f>
        <v>Zekirov</v>
      </c>
      <c r="C527" s="6">
        <f>IFERROR(__xludf.DUMMYFUNCTION("""COMPUTED_VALUE"""),687.0)</f>
        <v>687</v>
      </c>
      <c r="D527" s="7" t="str">
        <f>IFERROR(__xludf.DUMMYFUNCTION("""COMPUTED_VALUE"""),"Zekir Sabriev Zekirov")</f>
        <v>Zekir Sabriev Zekirov</v>
      </c>
      <c r="E527" s="7" t="str">
        <f>IFERROR(__xludf.DUMMYFUNCTION("""COMPUTED_VALUE"""),"SBI-code: 4120 - Algemene burgerlijke en utiliteitsbouw")</f>
        <v>SBI-code: 4120 - Algemene burgerlijke en utiliteitsbouw</v>
      </c>
      <c r="F527" s="7" t="str">
        <f>IFERROR(__xludf.DUMMYFUNCTION("""COMPUTED_VALUE"""),"0686225790")</f>
        <v>0686225790</v>
      </c>
      <c r="G527" s="6" t="str">
        <f>IFERROR(__xludf.DUMMYFUNCTION("""COMPUTED_VALUE"""),"zlatevleven4@gmail.com")</f>
        <v>zlatevleven4@gmail.com</v>
      </c>
      <c r="H527" s="6" t="str">
        <f>IFERROR(__xludf.DUMMYFUNCTION("""COMPUTED_VALUE"""),"Pasteurstraat 105")</f>
        <v>Pasteurstraat 105</v>
      </c>
      <c r="I527" s="6" t="str">
        <f>IFERROR(__xludf.DUMMYFUNCTION("""COMPUTED_VALUE"""),"2522RG")</f>
        <v>2522RG</v>
      </c>
      <c r="J527" s="6" t="str">
        <f>IFERROR(__xludf.DUMMYFUNCTION("""COMPUTED_VALUE"""),"s-Gravenhage")</f>
        <v>s-Gravenhage</v>
      </c>
      <c r="K527" s="6" t="str">
        <f>IFERROR(__xludf.DUMMYFUNCTION("""COMPUTED_VALUE"""),"Nederland")</f>
        <v>Nederland</v>
      </c>
      <c r="L527" s="6" t="str">
        <f>IFERROR(__xludf.DUMMYFUNCTION("""COMPUTED_VALUE"""),"Зекиров")</f>
        <v>Зекиров</v>
      </c>
      <c r="M527" s="8">
        <f>IFERROR(__xludf.DUMMYFUNCTION("""COMPUTED_VALUE"""),43476.0)</f>
        <v>43476</v>
      </c>
      <c r="N527" s="6" t="str">
        <f>IFERROR(__xludf.DUMMYFUNCTION("""COMPUTED_VALUE"""),"NL554924833B01")</f>
        <v>NL554924833B01</v>
      </c>
      <c r="O527" s="6">
        <f>IFERROR(__xludf.DUMMYFUNCTION("""COMPUTED_VALUE"""),7.3667323E7)</f>
        <v>73667323</v>
      </c>
      <c r="P527" s="6" t="str">
        <f>IFERROR(__xludf.DUMMYFUNCTION("""COMPUTED_VALUE"""),"NL70INGB0008840698")</f>
        <v>NL70INGB0008840698</v>
      </c>
      <c r="Q527" s="9">
        <f>IFERROR(__xludf.DUMMYFUNCTION("""COMPUTED_VALUE"""),43476.0)</f>
        <v>43476</v>
      </c>
      <c r="R527" s="6"/>
      <c r="S527" s="6" t="str">
        <f>IFERROR(__xludf.DUMMYFUNCTION("""COMPUTED_VALUE"""),"NL002500331B27")</f>
        <v>NL002500331B27</v>
      </c>
      <c r="T527" s="6">
        <f>IFERROR(__xludf.DUMMYFUNCTION("""COMPUTED_VALUE"""),5.54924833E8)</f>
        <v>554924833</v>
      </c>
      <c r="U527" s="7" t="str">
        <f>IFERROR(__xludf.DUMMYFUNCTION("""COMPUTED_VALUE"""),"Eenmanszaak")</f>
        <v>Eenmanszaak</v>
      </c>
      <c r="V527" s="7" t="str">
        <f>IFERROR(__xludf.DUMMYFUNCTION("""COMPUTED_VALUE"""),"000041680782")</f>
        <v>000041680782</v>
      </c>
      <c r="W527" s="6" t="str">
        <f>IFERROR(__xludf.DUMMYFUNCTION("""COMPUTED_VALUE"""),"ink.zekirov.2288aa@zarabota.nl")</f>
        <v>ink.zekirov.2288aa@zarabota.nl</v>
      </c>
      <c r="X527" s="6" t="str">
        <f>IFERROR(__xludf.DUMMYFUNCTION("""COMPUTED_VALUE"""),"ver.zekirov.2288aa@zarabota.nl")</f>
        <v>ver.zekirov.2288aa@zarabota.nl</v>
      </c>
      <c r="Y527" s="6" t="str">
        <f>IFERROR(__xludf.DUMMYFUNCTION("""COMPUTED_VALUE"""),"Hr.")</f>
        <v>Hr.</v>
      </c>
      <c r="Z527" s="6" t="str">
        <f>IFERROR(__xludf.DUMMYFUNCTION("""COMPUTED_VALUE"""),"Zekir Sabriev")</f>
        <v>Zekir Sabriev</v>
      </c>
      <c r="AA527" s="6" t="str">
        <f>IFERROR(__xludf.DUMMYFUNCTION("""COMPUTED_VALUE"""),"Zekirov")</f>
        <v>Zekirov</v>
      </c>
      <c r="AB527" s="6" t="str">
        <f>IFERROR(__xludf.DUMMYFUNCTION("""COMPUTED_VALUE"""),"Z.S.")</f>
        <v>Z.S.</v>
      </c>
      <c r="AC527" s="6">
        <f>IFERROR(__xludf.DUMMYFUNCTION("""COMPUTED_VALUE"""),5.54924833E8)</f>
        <v>554924833</v>
      </c>
      <c r="AD527" s="9">
        <f>IFERROR(__xludf.DUMMYFUNCTION("""COMPUTED_VALUE"""),30387.0)</f>
        <v>30387</v>
      </c>
      <c r="AE527" s="6" t="str">
        <f>IFERROR(__xludf.DUMMYFUNCTION("""COMPUTED_VALUE"""),"bg")</f>
        <v>bg</v>
      </c>
      <c r="AF527" s="6" t="str">
        <f>IFERROR(__xludf.DUMMYFUNCTION("""COMPUTED_VALUE"""),"Shumev")</f>
        <v>Shumev</v>
      </c>
      <c r="AG527" s="6" t="str">
        <f>IFERROR(__xludf.DUMMYFUNCTION("""COMPUTED_VALUE"""),"Hr. Z.S. Zekirov")</f>
        <v>Hr. Z.S. Zekirov</v>
      </c>
      <c r="AH527" s="6"/>
      <c r="AI527" s="6"/>
      <c r="AJ527" s="6" t="str">
        <f>IFERROR(__xludf.DUMMYFUNCTION("""COMPUTED_VALUE"""),"ID Kaart")</f>
        <v>ID Kaart</v>
      </c>
      <c r="AK527" s="6">
        <f>IFERROR(__xludf.DUMMYFUNCTION("""COMPUTED_VALUE"""),6.45781718E8)</f>
        <v>645781718</v>
      </c>
      <c r="AL527" s="9">
        <f>IFERROR(__xludf.DUMMYFUNCTION("""COMPUTED_VALUE"""),45796.0)</f>
        <v>45796</v>
      </c>
      <c r="AM527" s="6"/>
      <c r="AN527" s="6" t="str">
        <f>IFERROR(__xludf.DUMMYFUNCTION("""COMPUTED_VALUE"""),"Zekir Sabriev Zekirov")</f>
        <v>Zekir Sabriev Zekirov</v>
      </c>
      <c r="AO527" s="6"/>
    </row>
    <row r="528">
      <c r="A528" s="6" t="str">
        <f>IFERROR(__xludf.DUMMYFUNCTION("""COMPUTED_VALUE"""),"ZGochev")</f>
        <v>ZGochev</v>
      </c>
      <c r="B528" s="6" t="str">
        <f>IFERROR(__xludf.DUMMYFUNCTION("""COMPUTED_VALUE"""),"ZGochev")</f>
        <v>ZGochev</v>
      </c>
      <c r="C528" s="6">
        <f>IFERROR(__xludf.DUMMYFUNCTION("""COMPUTED_VALUE"""),573.0)</f>
        <v>573</v>
      </c>
      <c r="D528" s="7" t="str">
        <f>IFERROR(__xludf.DUMMYFUNCTION("""COMPUTED_VALUE"""),"Velko Goshev Gochev")</f>
        <v>Velko Goshev Gochev</v>
      </c>
      <c r="E528" s="7" t="str">
        <f>IFERROR(__xludf.DUMMYFUNCTION("""COMPUTED_VALUE"""),"SBI-code: 4120 - Algemene burgerlijke en utiliteitsbouw")</f>
        <v>SBI-code: 4120 - Algemene burgerlijke en utiliteitsbouw</v>
      </c>
      <c r="F528" s="7" t="str">
        <f>IFERROR(__xludf.DUMMYFUNCTION("""COMPUTED_VALUE"""),"0686333661")</f>
        <v>0686333661</v>
      </c>
      <c r="G528" s="6" t="str">
        <f>IFERROR(__xludf.DUMMYFUNCTION("""COMPUTED_VALUE"""),"gochev1velko@gmail.com")</f>
        <v>gochev1velko@gmail.com</v>
      </c>
      <c r="H528" s="6" t="str">
        <f>IFERROR(__xludf.DUMMYFUNCTION("""COMPUTED_VALUE"""),"Springfonteinstraat 44")</f>
        <v>Springfonteinstraat 44</v>
      </c>
      <c r="I528" s="6" t="str">
        <f>IFERROR(__xludf.DUMMYFUNCTION("""COMPUTED_VALUE"""),"2572 PM")</f>
        <v>2572 PM</v>
      </c>
      <c r="J528" s="6" t="str">
        <f>IFERROR(__xludf.DUMMYFUNCTION("""COMPUTED_VALUE"""),"Den Haag")</f>
        <v>Den Haag</v>
      </c>
      <c r="K528" s="6" t="str">
        <f>IFERROR(__xludf.DUMMYFUNCTION("""COMPUTED_VALUE"""),"Nederland")</f>
        <v>Nederland</v>
      </c>
      <c r="L528" s="6" t="str">
        <f>IFERROR(__xludf.DUMMYFUNCTION("""COMPUTED_VALUE"""),"Гочев")</f>
        <v>Гочев</v>
      </c>
      <c r="M528" s="8">
        <f>IFERROR(__xludf.DUMMYFUNCTION("""COMPUTED_VALUE"""),43235.0)</f>
        <v>43235</v>
      </c>
      <c r="N528" s="6" t="str">
        <f>IFERROR(__xludf.DUMMYFUNCTION("""COMPUTED_VALUE"""),"NL280288098B01")</f>
        <v>NL280288098B01</v>
      </c>
      <c r="O528" s="6">
        <f>IFERROR(__xludf.DUMMYFUNCTION("""COMPUTED_VALUE"""),7.1649794E7)</f>
        <v>71649794</v>
      </c>
      <c r="P528" s="6" t="str">
        <f>IFERROR(__xludf.DUMMYFUNCTION("""COMPUTED_VALUE"""),"NL21INGB0008393052")</f>
        <v>NL21INGB0008393052</v>
      </c>
      <c r="Q528" s="9">
        <f>IFERROR(__xludf.DUMMYFUNCTION("""COMPUTED_VALUE"""),43235.0)</f>
        <v>43235</v>
      </c>
      <c r="R528" s="6"/>
      <c r="S528" s="6" t="str">
        <f>IFERROR(__xludf.DUMMYFUNCTION("""COMPUTED_VALUE"""),"NL002462243B21")</f>
        <v>NL002462243B21</v>
      </c>
      <c r="T528" s="6">
        <f>IFERROR(__xludf.DUMMYFUNCTION("""COMPUTED_VALUE"""),2.80288098E8)</f>
        <v>280288098</v>
      </c>
      <c r="U528" s="7" t="str">
        <f>IFERROR(__xludf.DUMMYFUNCTION("""COMPUTED_VALUE"""),"Eenmanszaak")</f>
        <v>Eenmanszaak</v>
      </c>
      <c r="V528" s="7" t="str">
        <f>IFERROR(__xludf.DUMMYFUNCTION("""COMPUTED_VALUE"""),"000039821404")</f>
        <v>000039821404</v>
      </c>
      <c r="W528" s="6" t="str">
        <f>IFERROR(__xludf.DUMMYFUNCTION("""COMPUTED_VALUE"""),"ink.zgochev.2288aa@zarabota.nl")</f>
        <v>ink.zgochev.2288aa@zarabota.nl</v>
      </c>
      <c r="X528" s="6" t="str">
        <f>IFERROR(__xludf.DUMMYFUNCTION("""COMPUTED_VALUE"""),"ver.zgochev.2288aa@zarabota.nl")</f>
        <v>ver.zgochev.2288aa@zarabota.nl</v>
      </c>
      <c r="Y528" s="6" t="str">
        <f>IFERROR(__xludf.DUMMYFUNCTION("""COMPUTED_VALUE"""),"Hr.")</f>
        <v>Hr.</v>
      </c>
      <c r="Z528" s="6" t="str">
        <f>IFERROR(__xludf.DUMMYFUNCTION("""COMPUTED_VALUE"""),"Velko Goshev")</f>
        <v>Velko Goshev</v>
      </c>
      <c r="AA528" s="6" t="str">
        <f>IFERROR(__xludf.DUMMYFUNCTION("""COMPUTED_VALUE"""),"Gochev")</f>
        <v>Gochev</v>
      </c>
      <c r="AB528" s="6" t="str">
        <f>IFERROR(__xludf.DUMMYFUNCTION("""COMPUTED_VALUE"""),"V.G.")</f>
        <v>V.G.</v>
      </c>
      <c r="AC528" s="6">
        <f>IFERROR(__xludf.DUMMYFUNCTION("""COMPUTED_VALUE"""),2.80288098E8)</f>
        <v>280288098</v>
      </c>
      <c r="AD528" s="9">
        <f>IFERROR(__xludf.DUMMYFUNCTION("""COMPUTED_VALUE"""),31663.0)</f>
        <v>31663</v>
      </c>
      <c r="AE528" s="6" t="str">
        <f>IFERROR(__xludf.DUMMYFUNCTION("""COMPUTED_VALUE"""),"bg")</f>
        <v>bg</v>
      </c>
      <c r="AF528" s="6" t="str">
        <f>IFERROR(__xludf.DUMMYFUNCTION("""COMPUTED_VALUE"""),"Dimitrovgrad")</f>
        <v>Dimitrovgrad</v>
      </c>
      <c r="AG528" s="6" t="str">
        <f>IFERROR(__xludf.DUMMYFUNCTION("""COMPUTED_VALUE"""),"Hr. V.G. Gochev")</f>
        <v>Hr. V.G. Gochev</v>
      </c>
      <c r="AH528" s="6" t="str">
        <f>IFERROR(__xludf.DUMMYFUNCTION("""COMPUTED_VALUE"""),"NL03INGB0670706078")</f>
        <v>NL03INGB0670706078</v>
      </c>
      <c r="AI528" s="6"/>
      <c r="AJ528" s="6"/>
      <c r="AK528" s="6"/>
      <c r="AL528" s="6"/>
      <c r="AM528" s="6"/>
      <c r="AN528" s="6" t="str">
        <f>IFERROR(__xludf.DUMMYFUNCTION("""COMPUTED_VALUE"""),"Velko Goshev Gochev")</f>
        <v>Velko Goshev Gochev</v>
      </c>
      <c r="AO528" s="6"/>
    </row>
    <row r="529">
      <c r="A529" s="6" t="str">
        <f>IFERROR(__xludf.DUMMYFUNCTION("""COMPUTED_VALUE"""),"Zhelevi Cleaning VOF")</f>
        <v>Zhelevi Cleaning VOF</v>
      </c>
      <c r="B529" s="6" t="str">
        <f>IFERROR(__xludf.DUMMYFUNCTION("""COMPUTED_VALUE"""),"Zhelevi Cleaning VOF")</f>
        <v>Zhelevi Cleaning VOF</v>
      </c>
      <c r="C529" s="6">
        <f>IFERROR(__xludf.DUMMYFUNCTION("""COMPUTED_VALUE"""),1633.0)</f>
        <v>1633</v>
      </c>
      <c r="D529" s="7" t="str">
        <f>IFERROR(__xludf.DUMMYFUNCTION("""COMPUTED_VALUE"""),"Zhivko Antonov Zhelev")</f>
        <v>Zhivko Antonov Zhelev</v>
      </c>
      <c r="E529" s="7" t="str">
        <f>IFERROR(__xludf.DUMMYFUNCTION("""COMPUTED_VALUE"""),"SBI-code: 8121 - Interieurreiniging van gebouwen")</f>
        <v>SBI-code: 8121 - Interieurreiniging van gebouwen</v>
      </c>
      <c r="F529" s="7" t="str">
        <f>IFERROR(__xludf.DUMMYFUNCTION("""COMPUTED_VALUE"""),"0687212250")</f>
        <v>0687212250</v>
      </c>
      <c r="G529" s="6" t="str">
        <f>IFERROR(__xludf.DUMMYFUNCTION("""COMPUTED_VALUE"""),"tzivko9@gmail.com")</f>
        <v>tzivko9@gmail.com</v>
      </c>
      <c r="H529" s="6" t="str">
        <f>IFERROR(__xludf.DUMMYFUNCTION("""COMPUTED_VALUE"""),"Damasstraat 66")</f>
        <v>Damasstraat 66</v>
      </c>
      <c r="I529" s="6" t="str">
        <f>IFERROR(__xludf.DUMMYFUNCTION("""COMPUTED_VALUE"""),"2522TW")</f>
        <v>2522TW</v>
      </c>
      <c r="J529" s="6" t="str">
        <f>IFERROR(__xludf.DUMMYFUNCTION("""COMPUTED_VALUE"""),"s-Gravenhage")</f>
        <v>s-Gravenhage</v>
      </c>
      <c r="K529" s="6" t="str">
        <f>IFERROR(__xludf.DUMMYFUNCTION("""COMPUTED_VALUE"""),"Nederland")</f>
        <v>Nederland</v>
      </c>
      <c r="L529" s="6" t="str">
        <f>IFERROR(__xludf.DUMMYFUNCTION("""COMPUTED_VALUE"""),"Желев")</f>
        <v>Желев</v>
      </c>
      <c r="M529" s="8">
        <f>IFERROR(__xludf.DUMMYFUNCTION("""COMPUTED_VALUE"""),45658.0)</f>
        <v>45658</v>
      </c>
      <c r="N529" s="6" t="str">
        <f>IFERROR(__xludf.DUMMYFUNCTION("""COMPUTED_VALUE"""),"NL867431684B01")</f>
        <v>NL867431684B01</v>
      </c>
      <c r="O529" s="6">
        <f>IFERROR(__xludf.DUMMYFUNCTION("""COMPUTED_VALUE"""),9.6016922E7)</f>
        <v>96016922</v>
      </c>
      <c r="P529" s="6" t="str">
        <f>IFERROR(__xludf.DUMMYFUNCTION("""COMPUTED_VALUE"""),"NL50INGB0675862140")</f>
        <v>NL50INGB0675862140</v>
      </c>
      <c r="Q529" s="9">
        <f>IFERROR(__xludf.DUMMYFUNCTION("""COMPUTED_VALUE"""),44682.0)</f>
        <v>44682</v>
      </c>
      <c r="R529" s="6"/>
      <c r="S529" s="6" t="str">
        <f>IFERROR(__xludf.DUMMYFUNCTION("""COMPUTED_VALUE"""),"NL867431684B01")</f>
        <v>NL867431684B01</v>
      </c>
      <c r="T529" s="6">
        <f>IFERROR(__xludf.DUMMYFUNCTION("""COMPUTED_VALUE"""),8.67431684E8)</f>
        <v>867431684</v>
      </c>
      <c r="U529" s="7" t="str">
        <f>IFERROR(__xludf.DUMMYFUNCTION("""COMPUTED_VALUE"""),"Vennootschap Onder Firma")</f>
        <v>Vennootschap Onder Firma</v>
      </c>
      <c r="V529" s="7" t="str">
        <f>IFERROR(__xludf.DUMMYFUNCTION("""COMPUTED_VALUE"""),"000052348687")</f>
        <v>000052348687</v>
      </c>
      <c r="W529" s="6" t="str">
        <f>IFERROR(__xludf.DUMMYFUNCTION("""COMPUTED_VALUE"""),"ink.zhelevi.2288aa@zarabota.nl")</f>
        <v>ink.zhelevi.2288aa@zarabota.nl</v>
      </c>
      <c r="X529" s="6" t="str">
        <f>IFERROR(__xludf.DUMMYFUNCTION("""COMPUTED_VALUE"""),"ver.zhelevi.2288aa@zarabota.nl")</f>
        <v>ver.zhelevi.2288aa@zarabota.nl</v>
      </c>
      <c r="Y529" s="6" t="str">
        <f>IFERROR(__xludf.DUMMYFUNCTION("""COMPUTED_VALUE"""),"Hr.")</f>
        <v>Hr.</v>
      </c>
      <c r="Z529" s="6" t="str">
        <f>IFERROR(__xludf.DUMMYFUNCTION("""COMPUTED_VALUE"""),"Zhivko Antonov")</f>
        <v>Zhivko Antonov</v>
      </c>
      <c r="AA529" s="6" t="str">
        <f>IFERROR(__xludf.DUMMYFUNCTION("""COMPUTED_VALUE"""),"Zhelev")</f>
        <v>Zhelev</v>
      </c>
      <c r="AB529" s="6" t="str">
        <f>IFERROR(__xludf.DUMMYFUNCTION("""COMPUTED_VALUE"""),"Z.A.")</f>
        <v>Z.A.</v>
      </c>
      <c r="AC529" s="6">
        <f>IFERROR(__xludf.DUMMYFUNCTION("""COMPUTED_VALUE"""),6.98445491E8)</f>
        <v>698445491</v>
      </c>
      <c r="AD529" s="9">
        <f>IFERROR(__xludf.DUMMYFUNCTION("""COMPUTED_VALUE"""),32653.0)</f>
        <v>32653</v>
      </c>
      <c r="AE529" s="6" t="str">
        <f>IFERROR(__xludf.DUMMYFUNCTION("""COMPUTED_VALUE"""),"bg")</f>
        <v>bg</v>
      </c>
      <c r="AF529" s="6" t="str">
        <f>IFERROR(__xludf.DUMMYFUNCTION("""COMPUTED_VALUE"""),"Harmanli")</f>
        <v>Harmanli</v>
      </c>
      <c r="AG529" s="6" t="str">
        <f>IFERROR(__xludf.DUMMYFUNCTION("""COMPUTED_VALUE"""),"Hr. Z.A. Zhelev")</f>
        <v>Hr. Z.A. Zhelev</v>
      </c>
      <c r="AH529" s="6" t="str">
        <f>IFERROR(__xludf.DUMMYFUNCTION("""COMPUTED_VALUE"""),"NL53INGB0527321427")</f>
        <v>NL53INGB0527321427</v>
      </c>
      <c r="AI529" s="6"/>
      <c r="AJ529" s="6" t="str">
        <f>IFERROR(__xludf.DUMMYFUNCTION("""COMPUTED_VALUE"""),"ID Kaart")</f>
        <v>ID Kaart</v>
      </c>
      <c r="AK529" s="6">
        <f>IFERROR(__xludf.DUMMYFUNCTION("""COMPUTED_VALUE"""),6.48276284E8)</f>
        <v>648276284</v>
      </c>
      <c r="AL529" s="9">
        <f>IFERROR(__xludf.DUMMYFUNCTION("""COMPUTED_VALUE"""),47293.0)</f>
        <v>47293</v>
      </c>
      <c r="AM529" s="6" t="str">
        <f>IFERROR(__xludf.DUMMYFUNCTION("""COMPUTED_VALUE"""),"Bulgarije")</f>
        <v>Bulgarije</v>
      </c>
      <c r="AN529" s="6" t="str">
        <f>IFERROR(__xludf.DUMMYFUNCTION("""COMPUTED_VALUE"""),"Zhivko Antonov Zhelev")</f>
        <v>Zhivko Antonov Zhelev</v>
      </c>
      <c r="AO529" s="6">
        <f>IFERROR(__xludf.DUMMYFUNCTION("""COMPUTED_VALUE"""),1633.0)</f>
        <v>1633</v>
      </c>
    </row>
    <row r="530">
      <c r="A530" s="6" t="str">
        <f>IFERROR(__xludf.DUMMYFUNCTION("""COMPUTED_VALUE"""),"ZhiMar")</f>
        <v>ZhiMar</v>
      </c>
      <c r="B530" s="6" t="str">
        <f>IFERROR(__xludf.DUMMYFUNCTION("""COMPUTED_VALUE"""),"ZhiMar")</f>
        <v>ZhiMar</v>
      </c>
      <c r="C530" s="6">
        <f>IFERROR(__xludf.DUMMYFUNCTION("""COMPUTED_VALUE"""),1430.0)</f>
        <v>1430</v>
      </c>
      <c r="D530" s="7" t="str">
        <f>IFERROR(__xludf.DUMMYFUNCTION("""COMPUTED_VALUE"""),"Zhivko Stankov Yanev")</f>
        <v>Zhivko Stankov Yanev</v>
      </c>
      <c r="E530" s="7" t="str">
        <f>IFERROR(__xludf.DUMMYFUNCTION("""COMPUTED_VALUE"""),"SBI-code: 4941 - Goederenvervoer over de weg (geen verhuizingen)")</f>
        <v>SBI-code: 4941 - Goederenvervoer over de weg (geen verhuizingen)</v>
      </c>
      <c r="F530" s="7" t="str">
        <f>IFERROR(__xludf.DUMMYFUNCTION("""COMPUTED_VALUE"""),"00359899170130")</f>
        <v>00359899170130</v>
      </c>
      <c r="G530" s="6" t="str">
        <f>IFERROR(__xludf.DUMMYFUNCTION("""COMPUTED_VALUE"""),"zhivkoo.yanevv@gmail.com")</f>
        <v>zhivkoo.yanevv@gmail.com</v>
      </c>
      <c r="H530" s="6" t="str">
        <f>IFERROR(__xludf.DUMMYFUNCTION("""COMPUTED_VALUE"""),"Mandarijngaard 15")</f>
        <v>Mandarijngaard 15</v>
      </c>
      <c r="I530" s="6" t="str">
        <f>IFERROR(__xludf.DUMMYFUNCTION("""COMPUTED_VALUE"""),"3206AM")</f>
        <v>3206AM</v>
      </c>
      <c r="J530" s="6" t="str">
        <f>IFERROR(__xludf.DUMMYFUNCTION("""COMPUTED_VALUE"""),"Spijkenisse")</f>
        <v>Spijkenisse</v>
      </c>
      <c r="K530" s="6" t="str">
        <f>IFERROR(__xludf.DUMMYFUNCTION("""COMPUTED_VALUE"""),"Nederland")</f>
        <v>Nederland</v>
      </c>
      <c r="L530" s="6" t="str">
        <f>IFERROR(__xludf.DUMMYFUNCTION("""COMPUTED_VALUE"""),"Янев")</f>
        <v>Янев</v>
      </c>
      <c r="M530" s="8">
        <f>IFERROR(__xludf.DUMMYFUNCTION("""COMPUTED_VALUE"""),44868.0)</f>
        <v>44868</v>
      </c>
      <c r="N530" s="6" t="str">
        <f>IFERROR(__xludf.DUMMYFUNCTION("""COMPUTED_VALUE"""),"NL347427704B01")</f>
        <v>NL347427704B01</v>
      </c>
      <c r="O530" s="6">
        <f>IFERROR(__xludf.DUMMYFUNCTION("""COMPUTED_VALUE"""),8.8044637E7)</f>
        <v>88044637</v>
      </c>
      <c r="P530" s="6" t="str">
        <f>IFERROR(__xludf.DUMMYFUNCTION("""COMPUTED_VALUE"""),"NL78INGB0398364230")</f>
        <v>NL78INGB0398364230</v>
      </c>
      <c r="Q530" s="9">
        <f>IFERROR(__xludf.DUMMYFUNCTION("""COMPUTED_VALUE"""),44868.0)</f>
        <v>44868</v>
      </c>
      <c r="R530" s="6"/>
      <c r="S530" s="6" t="str">
        <f>IFERROR(__xludf.DUMMYFUNCTION("""COMPUTED_VALUE"""),"NL004530443B36")</f>
        <v>NL004530443B36</v>
      </c>
      <c r="T530" s="6">
        <f>IFERROR(__xludf.DUMMYFUNCTION("""COMPUTED_VALUE"""),3.47427704E8)</f>
        <v>347427704</v>
      </c>
      <c r="U530" s="7" t="str">
        <f>IFERROR(__xludf.DUMMYFUNCTION("""COMPUTED_VALUE"""),"Eenmanszaak")</f>
        <v>Eenmanszaak</v>
      </c>
      <c r="V530" s="7" t="str">
        <f>IFERROR(__xludf.DUMMYFUNCTION("""COMPUTED_VALUE"""),"000053929985")</f>
        <v>000053929985</v>
      </c>
      <c r="W530" s="6" t="str">
        <f>IFERROR(__xludf.DUMMYFUNCTION("""COMPUTED_VALUE"""),"ink.zhimar.2288aa@zarabota.nl")</f>
        <v>ink.zhimar.2288aa@zarabota.nl</v>
      </c>
      <c r="X530" s="6" t="str">
        <f>IFERROR(__xludf.DUMMYFUNCTION("""COMPUTED_VALUE"""),"ver.zhimar.2288aa@zarabota.nl")</f>
        <v>ver.zhimar.2288aa@zarabota.nl</v>
      </c>
      <c r="Y530" s="6" t="str">
        <f>IFERROR(__xludf.DUMMYFUNCTION("""COMPUTED_VALUE"""),"Hr.")</f>
        <v>Hr.</v>
      </c>
      <c r="Z530" s="6" t="str">
        <f>IFERROR(__xludf.DUMMYFUNCTION("""COMPUTED_VALUE"""),"Zhivko Stankov")</f>
        <v>Zhivko Stankov</v>
      </c>
      <c r="AA530" s="6" t="str">
        <f>IFERROR(__xludf.DUMMYFUNCTION("""COMPUTED_VALUE"""),"Yanev")</f>
        <v>Yanev</v>
      </c>
      <c r="AB530" s="6" t="str">
        <f>IFERROR(__xludf.DUMMYFUNCTION("""COMPUTED_VALUE"""),"Z.S.")</f>
        <v>Z.S.</v>
      </c>
      <c r="AC530" s="6">
        <f>IFERROR(__xludf.DUMMYFUNCTION("""COMPUTED_VALUE"""),3.47427704E8)</f>
        <v>347427704</v>
      </c>
      <c r="AD530" s="9">
        <f>IFERROR(__xludf.DUMMYFUNCTION("""COMPUTED_VALUE"""),29892.0)</f>
        <v>29892</v>
      </c>
      <c r="AE530" s="6" t="str">
        <f>IFERROR(__xludf.DUMMYFUNCTION("""COMPUTED_VALUE"""),"bg")</f>
        <v>bg</v>
      </c>
      <c r="AF530" s="6" t="str">
        <f>IFERROR(__xludf.DUMMYFUNCTION("""COMPUTED_VALUE"""),"Burgas")</f>
        <v>Burgas</v>
      </c>
      <c r="AG530" s="6" t="str">
        <f>IFERROR(__xludf.DUMMYFUNCTION("""COMPUTED_VALUE"""),"Hr. Z.S. Yanev")</f>
        <v>Hr. Z.S. Yanev</v>
      </c>
      <c r="AH530" s="6" t="str">
        <f>IFERROR(__xludf.DUMMYFUNCTION("""COMPUTED_VALUE"""),"NL56INGB0390612774")</f>
        <v>NL56INGB0390612774</v>
      </c>
      <c r="AI530" s="6"/>
      <c r="AJ530" s="6" t="str">
        <f>IFERROR(__xludf.DUMMYFUNCTION("""COMPUTED_VALUE"""),"ID Kaart")</f>
        <v>ID Kaart</v>
      </c>
      <c r="AK530" s="6">
        <f>IFERROR(__xludf.DUMMYFUNCTION("""COMPUTED_VALUE"""),6.46124297E8)</f>
        <v>646124297</v>
      </c>
      <c r="AL530" s="9">
        <f>IFERROR(__xludf.DUMMYFUNCTION("""COMPUTED_VALUE"""),45946.0)</f>
        <v>45946</v>
      </c>
      <c r="AM530" s="6" t="str">
        <f>IFERROR(__xludf.DUMMYFUNCTION("""COMPUTED_VALUE"""),"Bulgarije")</f>
        <v>Bulgarije</v>
      </c>
      <c r="AN530" s="6" t="str">
        <f>IFERROR(__xludf.DUMMYFUNCTION("""COMPUTED_VALUE"""),"Zhivko Stankov Yanev")</f>
        <v>Zhivko Stankov Yanev</v>
      </c>
      <c r="AO530" s="6">
        <f>IFERROR(__xludf.DUMMYFUNCTION("""COMPUTED_VALUE"""),1430.0)</f>
        <v>1430</v>
      </c>
    </row>
    <row r="531">
      <c r="A531" s="6" t="str">
        <f>IFERROR(__xludf.DUMMYFUNCTION("""COMPUTED_VALUE"""),"Zhivkov Vlechter VOF")</f>
        <v>Zhivkov Vlechter VOF</v>
      </c>
      <c r="B531" s="6" t="str">
        <f>IFERROR(__xludf.DUMMYFUNCTION("""COMPUTED_VALUE"""),"Zhivkov Vlechter VOF")</f>
        <v>Zhivkov Vlechter VOF</v>
      </c>
      <c r="C531" s="6">
        <f>IFERROR(__xludf.DUMMYFUNCTION("""COMPUTED_VALUE"""),653.0)</f>
        <v>653</v>
      </c>
      <c r="D531" s="7" t="str">
        <f>IFERROR(__xludf.DUMMYFUNCTION("""COMPUTED_VALUE"""),"Mitko Rumenov Zhivkov")</f>
        <v>Mitko Rumenov Zhivkov</v>
      </c>
      <c r="E531" s="7" t="str">
        <f>IFERROR(__xludf.DUMMYFUNCTION("""COMPUTED_VALUE"""),"SBI-code: 4120 - Algemene burgerlijke en utiliteitsbouw")</f>
        <v>SBI-code: 4120 - Algemene burgerlijke en utiliteitsbouw</v>
      </c>
      <c r="F531" s="7" t="str">
        <f>IFERROR(__xludf.DUMMYFUNCTION("""COMPUTED_VALUE"""),"0684364371")</f>
        <v>0684364371</v>
      </c>
      <c r="G531" s="6" t="str">
        <f>IFERROR(__xludf.DUMMYFUNCTION("""COMPUTED_VALUE"""),"mitkojivkov55@gmail.com")</f>
        <v>mitkojivkov55@gmail.com</v>
      </c>
      <c r="H531" s="6" t="str">
        <f>IFERROR(__xludf.DUMMYFUNCTION("""COMPUTED_VALUE"""),"Brandtstraat 98")</f>
        <v>Brandtstraat 98</v>
      </c>
      <c r="I531" s="6" t="str">
        <f>IFERROR(__xludf.DUMMYFUNCTION("""COMPUTED_VALUE"""),"2572CH")</f>
        <v>2572CH</v>
      </c>
      <c r="J531" s="6" t="str">
        <f>IFERROR(__xludf.DUMMYFUNCTION("""COMPUTED_VALUE"""),"Den Haag")</f>
        <v>Den Haag</v>
      </c>
      <c r="K531" s="6" t="str">
        <f>IFERROR(__xludf.DUMMYFUNCTION("""COMPUTED_VALUE"""),"Nederland")</f>
        <v>Nederland</v>
      </c>
      <c r="L531" s="6" t="str">
        <f>IFERROR(__xludf.DUMMYFUNCTION("""COMPUTED_VALUE"""),"Живков")</f>
        <v>Живков</v>
      </c>
      <c r="M531" s="8">
        <f>IFERROR(__xludf.DUMMYFUNCTION("""COMPUTED_VALUE"""),44927.0)</f>
        <v>44927</v>
      </c>
      <c r="N531" s="6" t="str">
        <f>IFERROR(__xludf.DUMMYFUNCTION("""COMPUTED_VALUE"""),"NL864913990B01")</f>
        <v>NL864913990B01</v>
      </c>
      <c r="O531" s="6">
        <f>IFERROR(__xludf.DUMMYFUNCTION("""COMPUTED_VALUE"""),8.921697E7)</f>
        <v>89216970</v>
      </c>
      <c r="P531" s="6" t="str">
        <f>IFERROR(__xludf.DUMMYFUNCTION("""COMPUTED_VALUE"""),"NL95INGB0008235841")</f>
        <v>NL95INGB0008235841</v>
      </c>
      <c r="Q531" s="9">
        <f>IFERROR(__xludf.DUMMYFUNCTION("""COMPUTED_VALUE"""),44927.0)</f>
        <v>44927</v>
      </c>
      <c r="R531" s="6"/>
      <c r="S531" s="6" t="str">
        <f>IFERROR(__xludf.DUMMYFUNCTION("""COMPUTED_VALUE"""),"NL864913990B01")</f>
        <v>NL864913990B01</v>
      </c>
      <c r="T531" s="6">
        <f>IFERROR(__xludf.DUMMYFUNCTION("""COMPUTED_VALUE"""),8.6491399E8)</f>
        <v>864913990</v>
      </c>
      <c r="U531" s="7" t="str">
        <f>IFERROR(__xludf.DUMMYFUNCTION("""COMPUTED_VALUE"""),"Besloten Vennootschap")</f>
        <v>Besloten Vennootschap</v>
      </c>
      <c r="V531" s="7" t="str">
        <f>IFERROR(__xludf.DUMMYFUNCTION("""COMPUTED_VALUE"""),"000039148718")</f>
        <v>000039148718</v>
      </c>
      <c r="W531" s="6" t="str">
        <f>IFERROR(__xludf.DUMMYFUNCTION("""COMPUTED_VALUE"""),"ink.zhivkovvlechter.2288aa@zarabota.nl")</f>
        <v>ink.zhivkovvlechter.2288aa@zarabota.nl</v>
      </c>
      <c r="X531" s="6" t="str">
        <f>IFERROR(__xludf.DUMMYFUNCTION("""COMPUTED_VALUE"""),"ver.zhivkovvlechter.2288aa@zarabota.nl")</f>
        <v>ver.zhivkovvlechter.2288aa@zarabota.nl</v>
      </c>
      <c r="Y531" s="6" t="str">
        <f>IFERROR(__xludf.DUMMYFUNCTION("""COMPUTED_VALUE"""),"Hr.")</f>
        <v>Hr.</v>
      </c>
      <c r="Z531" s="6" t="str">
        <f>IFERROR(__xludf.DUMMYFUNCTION("""COMPUTED_VALUE"""),"Mitko Rumenov")</f>
        <v>Mitko Rumenov</v>
      </c>
      <c r="AA531" s="6" t="str">
        <f>IFERROR(__xludf.DUMMYFUNCTION("""COMPUTED_VALUE"""),"Zhivkov")</f>
        <v>Zhivkov</v>
      </c>
      <c r="AB531" s="6" t="str">
        <f>IFERROR(__xludf.DUMMYFUNCTION("""COMPUTED_VALUE"""),"M.R.")</f>
        <v>M.R.</v>
      </c>
      <c r="AC531" s="6">
        <f>IFERROR(__xludf.DUMMYFUNCTION("""COMPUTED_VALUE"""),2.94850879E8)</f>
        <v>294850879</v>
      </c>
      <c r="AD531" s="9">
        <f>IFERROR(__xludf.DUMMYFUNCTION("""COMPUTED_VALUE"""),30613.0)</f>
        <v>30613</v>
      </c>
      <c r="AE531" s="6" t="str">
        <f>IFERROR(__xludf.DUMMYFUNCTION("""COMPUTED_VALUE"""),"bg")</f>
        <v>bg</v>
      </c>
      <c r="AF531" s="6" t="str">
        <f>IFERROR(__xludf.DUMMYFUNCTION("""COMPUTED_VALUE"""),"Haskovo")</f>
        <v>Haskovo</v>
      </c>
      <c r="AG531" s="6" t="str">
        <f>IFERROR(__xludf.DUMMYFUNCTION("""COMPUTED_VALUE"""),"Hr. M.R. Zhivkov")</f>
        <v>Hr. M.R. Zhivkov</v>
      </c>
      <c r="AH531" s="6" t="str">
        <f>IFERROR(__xludf.DUMMYFUNCTION("""COMPUTED_VALUE"""),"NL43INGB0704162598")</f>
        <v>NL43INGB0704162598</v>
      </c>
      <c r="AI531" s="6"/>
      <c r="AJ531" s="6"/>
      <c r="AK531" s="6"/>
      <c r="AL531" s="6"/>
      <c r="AM531" s="6"/>
      <c r="AN531" s="6" t="str">
        <f>IFERROR(__xludf.DUMMYFUNCTION("""COMPUTED_VALUE"""),"Mitko Rumenov Zhivkov")</f>
        <v>Mitko Rumenov Zhivkov</v>
      </c>
      <c r="AO531" s="6">
        <f>IFERROR(__xludf.DUMMYFUNCTION("""COMPUTED_VALUE"""),653.0)</f>
        <v>653</v>
      </c>
    </row>
    <row r="532">
      <c r="A532" s="6" t="str">
        <f>IFERROR(__xludf.DUMMYFUNCTION("""COMPUTED_VALUE"""),"ZIK Onderhoud")</f>
        <v>ZIK Onderhoud</v>
      </c>
      <c r="B532" s="6" t="str">
        <f>IFERROR(__xludf.DUMMYFUNCTION("""COMPUTED_VALUE"""),"ZIK Onderhoud")</f>
        <v>ZIK Onderhoud</v>
      </c>
      <c r="C532" s="6">
        <f>IFERROR(__xludf.DUMMYFUNCTION("""COMPUTED_VALUE"""),1312.0)</f>
        <v>1312</v>
      </c>
      <c r="D532" s="7" t="str">
        <f>IFERROR(__xludf.DUMMYFUNCTION("""COMPUTED_VALUE"""),"Zaprin Ivanov Karaivanov")</f>
        <v>Zaprin Ivanov Karaivanov</v>
      </c>
      <c r="E532" s="7" t="str">
        <f>IFERROR(__xludf.DUMMYFUNCTION("""COMPUTED_VALUE"""),"SBI-code: 4120 - Algemene burgerlijke en utiliteitsbouw")</f>
        <v>SBI-code: 4120 - Algemene burgerlijke en utiliteitsbouw</v>
      </c>
      <c r="F532" s="7" t="str">
        <f>IFERROR(__xludf.DUMMYFUNCTION("""COMPUTED_VALUE"""),"0685730890")</f>
        <v>0685730890</v>
      </c>
      <c r="G532" s="6" t="str">
        <f>IFERROR(__xludf.DUMMYFUNCTION("""COMPUTED_VALUE"""),"zaprin81@gmail.com")</f>
        <v>zaprin81@gmail.com</v>
      </c>
      <c r="H532" s="6" t="str">
        <f>IFERROR(__xludf.DUMMYFUNCTION("""COMPUTED_VALUE"""),"Thorbeckelaan 723")</f>
        <v>Thorbeckelaan 723</v>
      </c>
      <c r="I532" s="6" t="str">
        <f>IFERROR(__xludf.DUMMYFUNCTION("""COMPUTED_VALUE"""),"2564CJ")</f>
        <v>2564CJ</v>
      </c>
      <c r="J532" s="6" t="str">
        <f>IFERROR(__xludf.DUMMYFUNCTION("""COMPUTED_VALUE"""),"s-Gravenhage")</f>
        <v>s-Gravenhage</v>
      </c>
      <c r="K532" s="6" t="str">
        <f>IFERROR(__xludf.DUMMYFUNCTION("""COMPUTED_VALUE"""),"Nederland")</f>
        <v>Nederland</v>
      </c>
      <c r="L532" s="6" t="str">
        <f>IFERROR(__xludf.DUMMYFUNCTION("""COMPUTED_VALUE"""),"Караиванов")</f>
        <v>Караиванов</v>
      </c>
      <c r="M532" s="8">
        <f>IFERROR(__xludf.DUMMYFUNCTION("""COMPUTED_VALUE"""),44607.0)</f>
        <v>44607</v>
      </c>
      <c r="N532" s="6" t="str">
        <f>IFERROR(__xludf.DUMMYFUNCTION("""COMPUTED_VALUE"""),"NL661825942B01")</f>
        <v>NL661825942B01</v>
      </c>
      <c r="O532" s="6">
        <f>IFERROR(__xludf.DUMMYFUNCTION("""COMPUTED_VALUE"""),8.5610305E7)</f>
        <v>85610305</v>
      </c>
      <c r="P532" s="6" t="str">
        <f>IFERROR(__xludf.DUMMYFUNCTION("""COMPUTED_VALUE"""),"NL64INGB0675513367")</f>
        <v>NL64INGB0675513367</v>
      </c>
      <c r="Q532" s="9">
        <f>IFERROR(__xludf.DUMMYFUNCTION("""COMPUTED_VALUE"""),44607.0)</f>
        <v>44607</v>
      </c>
      <c r="R532" s="6"/>
      <c r="S532" s="6" t="str">
        <f>IFERROR(__xludf.DUMMYFUNCTION("""COMPUTED_VALUE"""),"NL004118575B90")</f>
        <v>NL004118575B90</v>
      </c>
      <c r="T532" s="6">
        <f>IFERROR(__xludf.DUMMYFUNCTION("""COMPUTED_VALUE"""),6.61825942E8)</f>
        <v>661825942</v>
      </c>
      <c r="U532" s="7" t="str">
        <f>IFERROR(__xludf.DUMMYFUNCTION("""COMPUTED_VALUE"""),"Eenmanszaak")</f>
        <v>Eenmanszaak</v>
      </c>
      <c r="V532" s="7" t="str">
        <f>IFERROR(__xludf.DUMMYFUNCTION("""COMPUTED_VALUE"""),"000051645114")</f>
        <v>000051645114</v>
      </c>
      <c r="W532" s="6" t="str">
        <f>IFERROR(__xludf.DUMMYFUNCTION("""COMPUTED_VALUE"""),"ink.zikonderhoud.2288aa@zarabota.nl")</f>
        <v>ink.zikonderhoud.2288aa@zarabota.nl</v>
      </c>
      <c r="X532" s="6" t="str">
        <f>IFERROR(__xludf.DUMMYFUNCTION("""COMPUTED_VALUE"""),"ver.zikonderhoud.2288aa@zarabota.nl")</f>
        <v>ver.zikonderhoud.2288aa@zarabota.nl</v>
      </c>
      <c r="Y532" s="6" t="str">
        <f>IFERROR(__xludf.DUMMYFUNCTION("""COMPUTED_VALUE"""),"Hr.")</f>
        <v>Hr.</v>
      </c>
      <c r="Z532" s="6" t="str">
        <f>IFERROR(__xludf.DUMMYFUNCTION("""COMPUTED_VALUE"""),"Zaprin Ivanov")</f>
        <v>Zaprin Ivanov</v>
      </c>
      <c r="AA532" s="6" t="str">
        <f>IFERROR(__xludf.DUMMYFUNCTION("""COMPUTED_VALUE"""),"Karaivanov")</f>
        <v>Karaivanov</v>
      </c>
      <c r="AB532" s="6" t="str">
        <f>IFERROR(__xludf.DUMMYFUNCTION("""COMPUTED_VALUE"""),"Z.I.")</f>
        <v>Z.I.</v>
      </c>
      <c r="AC532" s="6">
        <f>IFERROR(__xludf.DUMMYFUNCTION("""COMPUTED_VALUE"""),6.61825942E8)</f>
        <v>661825942</v>
      </c>
      <c r="AD532" s="9">
        <f>IFERROR(__xludf.DUMMYFUNCTION("""COMPUTED_VALUE"""),29667.0)</f>
        <v>29667</v>
      </c>
      <c r="AE532" s="6" t="str">
        <f>IFERROR(__xludf.DUMMYFUNCTION("""COMPUTED_VALUE"""),"bg")</f>
        <v>bg</v>
      </c>
      <c r="AF532" s="6" t="str">
        <f>IFERROR(__xludf.DUMMYFUNCTION("""COMPUTED_VALUE"""),"Pazardzhik")</f>
        <v>Pazardzhik</v>
      </c>
      <c r="AG532" s="6" t="str">
        <f>IFERROR(__xludf.DUMMYFUNCTION("""COMPUTED_VALUE"""),"Hr. Z.I. Karaivanov")</f>
        <v>Hr. Z.I. Karaivanov</v>
      </c>
      <c r="AH532" s="6"/>
      <c r="AI532" s="6"/>
      <c r="AJ532" s="6" t="str">
        <f>IFERROR(__xludf.DUMMYFUNCTION("""COMPUTED_VALUE"""),"ID Kaart")</f>
        <v>ID Kaart</v>
      </c>
      <c r="AK532" s="6">
        <f>IFERROR(__xludf.DUMMYFUNCTION("""COMPUTED_VALUE"""),6.50463239E8)</f>
        <v>650463239</v>
      </c>
      <c r="AL532" s="9">
        <f>IFERROR(__xludf.DUMMYFUNCTION("""COMPUTED_VALUE"""),47987.0)</f>
        <v>47987</v>
      </c>
      <c r="AM532" s="6" t="str">
        <f>IFERROR(__xludf.DUMMYFUNCTION("""COMPUTED_VALUE"""),"Bulgarije")</f>
        <v>Bulgarije</v>
      </c>
      <c r="AN532" s="6" t="str">
        <f>IFERROR(__xludf.DUMMYFUNCTION("""COMPUTED_VALUE"""),"Zaprin Ivanov Karaivanov")</f>
        <v>Zaprin Ivanov Karaivanov</v>
      </c>
      <c r="AO532" s="6"/>
    </row>
    <row r="533">
      <c r="A533" s="6" t="str">
        <f>IFERROR(__xludf.DUMMYFUNCTION("""COMPUTED_VALUE"""),"Zmas Beheer B.V.")</f>
        <v>Zmas Beheer B.V.</v>
      </c>
      <c r="B533" s="6" t="str">
        <f>IFERROR(__xludf.DUMMYFUNCTION("""COMPUTED_VALUE"""),"Zmas Beheer B.V.")</f>
        <v>Zmas Beheer B.V.</v>
      </c>
      <c r="C533" s="6">
        <f>IFERROR(__xludf.DUMMYFUNCTION("""COMPUTED_VALUE"""),1340.0)</f>
        <v>1340</v>
      </c>
      <c r="D533" s="7" t="str">
        <f>IFERROR(__xludf.DUMMYFUNCTION("""COMPUTED_VALUE"""),"Marian Zaponcek")</f>
        <v>Marian Zaponcek</v>
      </c>
      <c r="E533" s="7" t="str">
        <f>IFERROR(__xludf.DUMMYFUNCTION("""COMPUTED_VALUE"""),"SBI-code: 70102 Holdings (geen financiele")</f>
        <v>SBI-code: 70102 Holdings (geen financiele</v>
      </c>
      <c r="F533" s="7" t="str">
        <f>IFERROR(__xludf.DUMMYFUNCTION("""COMPUTED_VALUE"""),"+31681627410")</f>
        <v>+31681627410</v>
      </c>
      <c r="G533" s="6" t="str">
        <f>IFERROR(__xludf.DUMMYFUNCTION("""COMPUTED_VALUE"""),"zmasbeheer@zzp-nl.nl")</f>
        <v>zmasbeheer@zzp-nl.nl</v>
      </c>
      <c r="H533" s="6" t="str">
        <f>IFERROR(__xludf.DUMMYFUNCTION("""COMPUTED_VALUE"""),"Stellendamstraat 95")</f>
        <v>Stellendamstraat 95</v>
      </c>
      <c r="I533" s="6" t="str">
        <f>IFERROR(__xludf.DUMMYFUNCTION("""COMPUTED_VALUE"""),"2729LG")</f>
        <v>2729LG</v>
      </c>
      <c r="J533" s="6" t="str">
        <f>IFERROR(__xludf.DUMMYFUNCTION("""COMPUTED_VALUE"""),"Zoetermeer")</f>
        <v>Zoetermeer</v>
      </c>
      <c r="K533" s="6" t="str">
        <f>IFERROR(__xludf.DUMMYFUNCTION("""COMPUTED_VALUE"""),"Nederland")</f>
        <v>Nederland</v>
      </c>
      <c r="L533" s="6" t="str">
        <f>IFERROR(__xludf.DUMMYFUNCTION("""COMPUTED_VALUE"""),"Запончек")</f>
        <v>Запончек</v>
      </c>
      <c r="M533" s="8">
        <f>IFERROR(__xludf.DUMMYFUNCTION("""COMPUTED_VALUE"""),44601.0)</f>
        <v>44601</v>
      </c>
      <c r="N533" s="6" t="str">
        <f>IFERROR(__xludf.DUMMYFUNCTION("""COMPUTED_VALUE"""),"NL863626609B01")</f>
        <v>NL863626609B01</v>
      </c>
      <c r="O533" s="6">
        <f>IFERROR(__xludf.DUMMYFUNCTION("""COMPUTED_VALUE"""),8.5448532E7)</f>
        <v>85448532</v>
      </c>
      <c r="P533" s="6" t="str">
        <f>IFERROR(__xludf.DUMMYFUNCTION("""COMPUTED_VALUE"""),"NL86RABO0378021281")</f>
        <v>NL86RABO0378021281</v>
      </c>
      <c r="Q533" s="9">
        <f>IFERROR(__xludf.DUMMYFUNCTION("""COMPUTED_VALUE"""),44601.0)</f>
        <v>44601</v>
      </c>
      <c r="R533" s="6"/>
      <c r="S533" s="6" t="str">
        <f>IFERROR(__xludf.DUMMYFUNCTION("""COMPUTED_VALUE"""),"NL863626609B01")</f>
        <v>NL863626609B01</v>
      </c>
      <c r="T533" s="6">
        <f>IFERROR(__xludf.DUMMYFUNCTION("""COMPUTED_VALUE"""),8.63626609E8)</f>
        <v>863626609</v>
      </c>
      <c r="U533" s="7" t="str">
        <f>IFERROR(__xludf.DUMMYFUNCTION("""COMPUTED_VALUE"""),"Besloten Vennootschap")</f>
        <v>Besloten Vennootschap</v>
      </c>
      <c r="V533" s="7" t="str">
        <f>IFERROR(__xludf.DUMMYFUNCTION("""COMPUTED_VALUE"""),"000051493829")</f>
        <v>000051493829</v>
      </c>
      <c r="W533" s="6" t="str">
        <f>IFERROR(__xludf.DUMMYFUNCTION("""COMPUTED_VALUE"""),"ink.zmasbeheer.2288aa@zarabota.nl")</f>
        <v>ink.zmasbeheer.2288aa@zarabota.nl</v>
      </c>
      <c r="X533" s="6" t="str">
        <f>IFERROR(__xludf.DUMMYFUNCTION("""COMPUTED_VALUE"""),"ver.zmasbeheer.2288aa@zarabota.nl")</f>
        <v>ver.zmasbeheer.2288aa@zarabota.nl</v>
      </c>
      <c r="Y533" s="6" t="str">
        <f>IFERROR(__xludf.DUMMYFUNCTION("""COMPUTED_VALUE"""),"Hr.")</f>
        <v>Hr.</v>
      </c>
      <c r="Z533" s="6" t="str">
        <f>IFERROR(__xludf.DUMMYFUNCTION("""COMPUTED_VALUE"""),"Marian")</f>
        <v>Marian</v>
      </c>
      <c r="AA533" s="6" t="str">
        <f>IFERROR(__xludf.DUMMYFUNCTION("""COMPUTED_VALUE"""),"Zaponcek")</f>
        <v>Zaponcek</v>
      </c>
      <c r="AB533" s="6" t="str">
        <f>IFERROR(__xludf.DUMMYFUNCTION("""COMPUTED_VALUE"""),"M.")</f>
        <v>M.</v>
      </c>
      <c r="AC533" s="6">
        <f>IFERROR(__xludf.DUMMYFUNCTION("""COMPUTED_VALUE"""),2.64829335E8)</f>
        <v>264829335</v>
      </c>
      <c r="AD533" s="9">
        <f>IFERROR(__xludf.DUMMYFUNCTION("""COMPUTED_VALUE"""),29669.0)</f>
        <v>29669</v>
      </c>
      <c r="AE533" s="6" t="str">
        <f>IFERROR(__xludf.DUMMYFUNCTION("""COMPUTED_VALUE"""),"bg")</f>
        <v>bg</v>
      </c>
      <c r="AF533" s="6" t="str">
        <f>IFERROR(__xludf.DUMMYFUNCTION("""COMPUTED_VALUE"""),"Skopje")</f>
        <v>Skopje</v>
      </c>
      <c r="AG533" s="6" t="str">
        <f>IFERROR(__xludf.DUMMYFUNCTION("""COMPUTED_VALUE"""),"Hr. M. Zaponcek")</f>
        <v>Hr. M. Zaponcek</v>
      </c>
      <c r="AH533" s="6"/>
      <c r="AI533" s="6"/>
      <c r="AJ533" s="6"/>
      <c r="AK533" s="6"/>
      <c r="AL533" s="6"/>
      <c r="AM533" s="6"/>
      <c r="AN533" s="6" t="str">
        <f>IFERROR(__xludf.DUMMYFUNCTION("""COMPUTED_VALUE"""),"Marian Zaponcek")</f>
        <v>Marian Zaponcek</v>
      </c>
      <c r="AO533" s="6">
        <f>IFERROR(__xludf.DUMMYFUNCTION("""COMPUTED_VALUE"""),1340.0)</f>
        <v>1340</v>
      </c>
    </row>
    <row r="534">
      <c r="A534" s="6" t="str">
        <f>IFERROR(__xludf.DUMMYFUNCTION("""COMPUTED_VALUE"""),"Zonwerken B.V.")</f>
        <v>Zonwerken B.V.</v>
      </c>
      <c r="B534" s="6" t="str">
        <f>IFERROR(__xludf.DUMMYFUNCTION("""COMPUTED_VALUE"""),"Zonwerken B.V.")</f>
        <v>Zonwerken B.V.</v>
      </c>
      <c r="C534" s="6">
        <f>IFERROR(__xludf.DUMMYFUNCTION("""COMPUTED_VALUE"""),942.0)</f>
        <v>942</v>
      </c>
      <c r="D534" s="7" t="str">
        <f>IFERROR(__xludf.DUMMYFUNCTION("""COMPUTED_VALUE"""),"Sol Works B.V.")</f>
        <v>Sol Works B.V.</v>
      </c>
      <c r="E534" s="7" t="str">
        <f>IFERROR(__xludf.DUMMYFUNCTION("""COMPUTED_VALUE"""),"SBI-code: 4321 - Elektrotechnische bouwinstallatie")</f>
        <v>SBI-code: 4321 - Elektrotechnische bouwinstallatie</v>
      </c>
      <c r="F534" s="7" t="str">
        <f>IFERROR(__xludf.DUMMYFUNCTION("""COMPUTED_VALUE"""),"0684337197")</f>
        <v>0684337197</v>
      </c>
      <c r="G534" s="6"/>
      <c r="H534" s="6" t="str">
        <f>IFERROR(__xludf.DUMMYFUNCTION("""COMPUTED_VALUE"""),"Stephensonstraat 123")</f>
        <v>Stephensonstraat 123</v>
      </c>
      <c r="I534" s="6" t="str">
        <f>IFERROR(__xludf.DUMMYFUNCTION("""COMPUTED_VALUE"""),"7903AS")</f>
        <v>7903AS</v>
      </c>
      <c r="J534" s="6" t="str">
        <f>IFERROR(__xludf.DUMMYFUNCTION("""COMPUTED_VALUE"""),"Hoogeveen")</f>
        <v>Hoogeveen</v>
      </c>
      <c r="K534" s="6" t="str">
        <f>IFERROR(__xludf.DUMMYFUNCTION("""COMPUTED_VALUE"""),"Nederland")</f>
        <v>Nederland</v>
      </c>
      <c r="L534" s="6" t="str">
        <f>IFERROR(__xludf.DUMMYFUNCTION("""COMPUTED_VALUE"""),"Пеев")</f>
        <v>Пеев</v>
      </c>
      <c r="M534" s="8">
        <f>IFERROR(__xludf.DUMMYFUNCTION("""COMPUTED_VALUE"""),43902.0)</f>
        <v>43902</v>
      </c>
      <c r="N534" s="6" t="str">
        <f>IFERROR(__xludf.DUMMYFUNCTION("""COMPUTED_VALUE"""),"NL861062760B01")</f>
        <v>NL861062760B01</v>
      </c>
      <c r="O534" s="6">
        <f>IFERROR(__xludf.DUMMYFUNCTION("""COMPUTED_VALUE"""),7.7606787E7)</f>
        <v>77606787</v>
      </c>
      <c r="P534" s="6" t="str">
        <f>IFERROR(__xludf.DUMMYFUNCTION("""COMPUTED_VALUE"""),"NL24INGB0007314358")</f>
        <v>NL24INGB0007314358</v>
      </c>
      <c r="Q534" s="9">
        <f>IFERROR(__xludf.DUMMYFUNCTION("""COMPUTED_VALUE"""),43902.0)</f>
        <v>43902</v>
      </c>
      <c r="R534" s="6"/>
      <c r="S534" s="6" t="str">
        <f>IFERROR(__xludf.DUMMYFUNCTION("""COMPUTED_VALUE"""),"NL861062760B01")</f>
        <v>NL861062760B01</v>
      </c>
      <c r="T534" s="6">
        <f>IFERROR(__xludf.DUMMYFUNCTION("""COMPUTED_VALUE"""),8.6106276E8)</f>
        <v>861062760</v>
      </c>
      <c r="U534" s="7" t="str">
        <f>IFERROR(__xludf.DUMMYFUNCTION("""COMPUTED_VALUE"""),"Besloten Vennootschap")</f>
        <v>Besloten Vennootschap</v>
      </c>
      <c r="V534" s="7" t="str">
        <f>IFERROR(__xludf.DUMMYFUNCTION("""COMPUTED_VALUE"""),"000045298661")</f>
        <v>000045298661</v>
      </c>
      <c r="W534" s="6" t="str">
        <f>IFERROR(__xludf.DUMMYFUNCTION("""COMPUTED_VALUE"""),"ink.zonwerkenbv.2288aa@zarabota.nl")</f>
        <v>ink.zonwerkenbv.2288aa@zarabota.nl</v>
      </c>
      <c r="X534" s="6" t="str">
        <f>IFERROR(__xludf.DUMMYFUNCTION("""COMPUTED_VALUE"""),"ver.zonwerkenbv.2288aa@zarabota.nl")</f>
        <v>ver.zonwerkenbv.2288aa@zarabota.nl</v>
      </c>
      <c r="Y534" s="6" t="str">
        <f>IFERROR(__xludf.DUMMYFUNCTION("""COMPUTED_VALUE"""),"Hr.")</f>
        <v>Hr.</v>
      </c>
      <c r="Z534" s="6" t="str">
        <f>IFERROR(__xludf.DUMMYFUNCTION("""COMPUTED_VALUE"""),"Vasil Petrov")</f>
        <v>Vasil Petrov</v>
      </c>
      <c r="AA534" s="6" t="str">
        <f>IFERROR(__xludf.DUMMYFUNCTION("""COMPUTED_VALUE"""),"Peev")</f>
        <v>Peev</v>
      </c>
      <c r="AB534" s="6" t="str">
        <f>IFERROR(__xludf.DUMMYFUNCTION("""COMPUTED_VALUE"""),"V.P.")</f>
        <v>V.P.</v>
      </c>
      <c r="AC534" s="6">
        <f>IFERROR(__xludf.DUMMYFUNCTION("""COMPUTED_VALUE"""),2.64594356E8)</f>
        <v>264594356</v>
      </c>
      <c r="AD534" s="9">
        <f>IFERROR(__xludf.DUMMYFUNCTION("""COMPUTED_VALUE"""),29208.0)</f>
        <v>29208</v>
      </c>
      <c r="AE534" s="6" t="str">
        <f>IFERROR(__xludf.DUMMYFUNCTION("""COMPUTED_VALUE"""),"bg")</f>
        <v>bg</v>
      </c>
      <c r="AF534" s="6"/>
      <c r="AG534" s="6" t="str">
        <f>IFERROR(__xludf.DUMMYFUNCTION("""COMPUTED_VALUE"""),"Hr. V.P. Peev")</f>
        <v>Hr. V.P. Peev</v>
      </c>
      <c r="AH534" s="6" t="str">
        <f>IFERROR(__xludf.DUMMYFUNCTION("""COMPUTED_VALUE"""),"NL53ABNA0535456581")</f>
        <v>NL53ABNA0535456581</v>
      </c>
      <c r="AI534" s="6"/>
      <c r="AJ534" s="6" t="str">
        <f>IFERROR(__xludf.DUMMYFUNCTION("""COMPUTED_VALUE"""),"ID Kaart")</f>
        <v>ID Kaart</v>
      </c>
      <c r="AK534" s="6">
        <f>IFERROR(__xludf.DUMMYFUNCTION("""COMPUTED_VALUE"""),6.41854212E8)</f>
        <v>641854212</v>
      </c>
      <c r="AL534" s="9">
        <f>IFERROR(__xludf.DUMMYFUNCTION("""COMPUTED_VALUE"""),44224.0)</f>
        <v>44224</v>
      </c>
      <c r="AM534" s="6" t="str">
        <f>IFERROR(__xludf.DUMMYFUNCTION("""COMPUTED_VALUE"""),"Bulgarije")</f>
        <v>Bulgarije</v>
      </c>
      <c r="AN534" s="6" t="str">
        <f>IFERROR(__xludf.DUMMYFUNCTION("""COMPUTED_VALUE"""),"Vasil Petrov Peev")</f>
        <v>Vasil Petrov Peev</v>
      </c>
      <c r="AO534" s="6"/>
    </row>
    <row r="535">
      <c r="A535" s="6" t="str">
        <f>IFERROR(__xludf.DUMMYFUNCTION("""COMPUTED_VALUE"""),"ZVB Grondwerken VOF")</f>
        <v>ZVB Grondwerken VOF</v>
      </c>
      <c r="B535" s="6" t="str">
        <f>IFERROR(__xludf.DUMMYFUNCTION("""COMPUTED_VALUE"""),"ZVB Grondwerken VOF")</f>
        <v>ZVB Grondwerken VOF</v>
      </c>
      <c r="C535" s="6">
        <f>IFERROR(__xludf.DUMMYFUNCTION("""COMPUTED_VALUE"""),362.0)</f>
        <v>362</v>
      </c>
      <c r="D535" s="7" t="str">
        <f>IFERROR(__xludf.DUMMYFUNCTION("""COMPUTED_VALUE"""),"Velin Tsvetanov Chillingirov")</f>
        <v>Velin Tsvetanov Chillingirov</v>
      </c>
      <c r="E535" s="7" t="str">
        <f>IFERROR(__xludf.DUMMYFUNCTION("""COMPUTED_VALUE"""),"SBI-code: 4120 - Algemene burgerlijke en utiliteitsbouw")</f>
        <v>SBI-code: 4120 - Algemene burgerlijke en utiliteitsbouw</v>
      </c>
      <c r="F535" s="7" t="str">
        <f>IFERROR(__xludf.DUMMYFUNCTION("""COMPUTED_VALUE"""),"0643279464")</f>
        <v>0643279464</v>
      </c>
      <c r="G535" s="6" t="str">
        <f>IFERROR(__xludf.DUMMYFUNCTION("""COMPUTED_VALUE"""),"zvbgrondwerken@gmail.com")</f>
        <v>zvbgrondwerken@gmail.com</v>
      </c>
      <c r="H535" s="6" t="str">
        <f>IFERROR(__xludf.DUMMYFUNCTION("""COMPUTED_VALUE"""),"Albert Schweitzerlaan 163")</f>
        <v>Albert Schweitzerlaan 163</v>
      </c>
      <c r="I535" s="6" t="str">
        <f>IFERROR(__xludf.DUMMYFUNCTION("""COMPUTED_VALUE"""),"2552PG")</f>
        <v>2552PG</v>
      </c>
      <c r="J535" s="6" t="str">
        <f>IFERROR(__xludf.DUMMYFUNCTION("""COMPUTED_VALUE"""),"Den Haag")</f>
        <v>Den Haag</v>
      </c>
      <c r="K535" s="6" t="str">
        <f>IFERROR(__xludf.DUMMYFUNCTION("""COMPUTED_VALUE"""),"Nederland")</f>
        <v>Nederland</v>
      </c>
      <c r="L535" s="6" t="str">
        <f>IFERROR(__xludf.DUMMYFUNCTION("""COMPUTED_VALUE"""),"Чилингиров")</f>
        <v>Чилингиров</v>
      </c>
      <c r="M535" s="8">
        <f>IFERROR(__xludf.DUMMYFUNCTION("""COMPUTED_VALUE"""),43175.0)</f>
        <v>43175</v>
      </c>
      <c r="N535" s="6" t="str">
        <f>IFERROR(__xludf.DUMMYFUNCTION("""COMPUTED_VALUE"""),"NL856810289B01")</f>
        <v>NL856810289B01</v>
      </c>
      <c r="O535" s="6">
        <f>IFERROR(__xludf.DUMMYFUNCTION("""COMPUTED_VALUE"""),6.7052738E7)</f>
        <v>67052738</v>
      </c>
      <c r="P535" s="6" t="str">
        <f>IFERROR(__xludf.DUMMYFUNCTION("""COMPUTED_VALUE"""),"NL03INGB0007528330")</f>
        <v>NL03INGB0007528330</v>
      </c>
      <c r="Q535" s="9">
        <f>IFERROR(__xludf.DUMMYFUNCTION("""COMPUTED_VALUE"""),42656.0)</f>
        <v>42656</v>
      </c>
      <c r="R535" s="6"/>
      <c r="S535" s="6" t="str">
        <f>IFERROR(__xludf.DUMMYFUNCTION("""COMPUTED_VALUE"""),"NL856810289B01")</f>
        <v>NL856810289B01</v>
      </c>
      <c r="T535" s="6">
        <f>IFERROR(__xludf.DUMMYFUNCTION("""COMPUTED_VALUE"""),8.56810289E8)</f>
        <v>856810289</v>
      </c>
      <c r="U535" s="7" t="str">
        <f>IFERROR(__xludf.DUMMYFUNCTION("""COMPUTED_VALUE"""),"Vennootschap Onder Firma")</f>
        <v>Vennootschap Onder Firma</v>
      </c>
      <c r="V535" s="7" t="str">
        <f>IFERROR(__xludf.DUMMYFUNCTION("""COMPUTED_VALUE"""),"000035626232")</f>
        <v>000035626232</v>
      </c>
      <c r="W535" s="6" t="str">
        <f>IFERROR(__xludf.DUMMYFUNCTION("""COMPUTED_VALUE"""),"ink.zvbgrondwerkenvof.2288aa@zarabota.nl")</f>
        <v>ink.zvbgrondwerkenvof.2288aa@zarabota.nl</v>
      </c>
      <c r="X535" s="6" t="str">
        <f>IFERROR(__xludf.DUMMYFUNCTION("""COMPUTED_VALUE"""),"ver.zvbgrondwerkenvof.2288aa@zarabota.nl")</f>
        <v>ver.zvbgrondwerkenvof.2288aa@zarabota.nl</v>
      </c>
      <c r="Y535" s="6" t="str">
        <f>IFERROR(__xludf.DUMMYFUNCTION("""COMPUTED_VALUE"""),"Hr.")</f>
        <v>Hr.</v>
      </c>
      <c r="Z535" s="6" t="str">
        <f>IFERROR(__xludf.DUMMYFUNCTION("""COMPUTED_VALUE"""),"Velin Tsvetanov")</f>
        <v>Velin Tsvetanov</v>
      </c>
      <c r="AA535" s="6" t="str">
        <f>IFERROR(__xludf.DUMMYFUNCTION("""COMPUTED_VALUE"""),"Chillingirov")</f>
        <v>Chillingirov</v>
      </c>
      <c r="AB535" s="6" t="str">
        <f>IFERROR(__xludf.DUMMYFUNCTION("""COMPUTED_VALUE"""),"V.T.")</f>
        <v>V.T.</v>
      </c>
      <c r="AC535" s="6">
        <f>IFERROR(__xludf.DUMMYFUNCTION("""COMPUTED_VALUE"""),2.64081869E8)</f>
        <v>264081869</v>
      </c>
      <c r="AD535" s="9">
        <f>IFERROR(__xludf.DUMMYFUNCTION("""COMPUTED_VALUE"""),29058.0)</f>
        <v>29058</v>
      </c>
      <c r="AE535" s="6" t="str">
        <f>IFERROR(__xludf.DUMMYFUNCTION("""COMPUTED_VALUE"""),"bg")</f>
        <v>bg</v>
      </c>
      <c r="AF535" s="6" t="str">
        <f>IFERROR(__xludf.DUMMYFUNCTION("""COMPUTED_VALUE"""),"Plovdiv")</f>
        <v>Plovdiv</v>
      </c>
      <c r="AG535" s="6" t="str">
        <f>IFERROR(__xludf.DUMMYFUNCTION("""COMPUTED_VALUE"""),"Hr. V.T. Chillingirov")</f>
        <v>Hr. V.T. Chillingirov</v>
      </c>
      <c r="AH535" s="6"/>
      <c r="AI535" s="6"/>
      <c r="AJ535" s="6" t="str">
        <f>IFERROR(__xludf.DUMMYFUNCTION("""COMPUTED_VALUE"""),"ID Kaart")</f>
        <v>ID Kaart</v>
      </c>
      <c r="AK535" s="6">
        <f>IFERROR(__xludf.DUMMYFUNCTION("""COMPUTED_VALUE"""),6.45597598E8)</f>
        <v>645597598</v>
      </c>
      <c r="AL535" s="9">
        <f>IFERROR(__xludf.DUMMYFUNCTION("""COMPUTED_VALUE"""),45669.0)</f>
        <v>45669</v>
      </c>
      <c r="AM535" s="6"/>
      <c r="AN535" s="6" t="str">
        <f>IFERROR(__xludf.DUMMYFUNCTION("""COMPUTED_VALUE"""),"Velin Tsvetanov Chillingirov")</f>
        <v>Velin Tsvetanov Chillingirov</v>
      </c>
      <c r="AO535" s="6">
        <f>IFERROR(__xludf.DUMMYFUNCTION("""COMPUTED_VALUE"""),362.0)</f>
        <v>362</v>
      </c>
    </row>
    <row r="536">
      <c r="A536" s="6" t="str">
        <f>IFERROR(__xludf.DUMMYFUNCTION("""COMPUTED_VALUE"""),"ZVN Bouw")</f>
        <v>ZVN Bouw</v>
      </c>
      <c r="B536" s="6" t="str">
        <f>IFERROR(__xludf.DUMMYFUNCTION("""COMPUTED_VALUE"""),"ZVN Bouw")</f>
        <v>ZVN Bouw</v>
      </c>
      <c r="C536" s="6">
        <f>IFERROR(__xludf.DUMMYFUNCTION("""COMPUTED_VALUE"""),1050.0)</f>
        <v>1050</v>
      </c>
      <c r="D536" s="7" t="str">
        <f>IFERROR(__xludf.DUMMYFUNCTION("""COMPUTED_VALUE"""),"Zdravko Lazarov Uzunov")</f>
        <v>Zdravko Lazarov Uzunov</v>
      </c>
      <c r="E536" s="7" t="str">
        <f>IFERROR(__xludf.DUMMYFUNCTION("""COMPUTED_VALUE"""),"SBI-code: 4333 - Afwerking van vloeren en wanden")</f>
        <v>SBI-code: 4333 - Afwerking van vloeren en wanden</v>
      </c>
      <c r="F536" s="7" t="str">
        <f>IFERROR(__xludf.DUMMYFUNCTION("""COMPUTED_VALUE"""),"0642103897")</f>
        <v>0642103897</v>
      </c>
      <c r="G536" s="6" t="str">
        <f>IFERROR(__xludf.DUMMYFUNCTION("""COMPUTED_VALUE"""),"zdravko.85v@gmail.com")</f>
        <v>zdravko.85v@gmail.com</v>
      </c>
      <c r="H536" s="6" t="str">
        <f>IFERROR(__xludf.DUMMYFUNCTION("""COMPUTED_VALUE"""),"Schaarsbergenstraat 107")</f>
        <v>Schaarsbergenstraat 107</v>
      </c>
      <c r="I536" s="6" t="str">
        <f>IFERROR(__xludf.DUMMYFUNCTION("""COMPUTED_VALUE"""),"2573BR")</f>
        <v>2573BR</v>
      </c>
      <c r="J536" s="6" t="str">
        <f>IFERROR(__xludf.DUMMYFUNCTION("""COMPUTED_VALUE"""),"s-Gravenhage")</f>
        <v>s-Gravenhage</v>
      </c>
      <c r="K536" s="6" t="str">
        <f>IFERROR(__xludf.DUMMYFUNCTION("""COMPUTED_VALUE"""),"Nederland")</f>
        <v>Nederland</v>
      </c>
      <c r="L536" s="6" t="str">
        <f>IFERROR(__xludf.DUMMYFUNCTION("""COMPUTED_VALUE"""),"Узунов")</f>
        <v>Узунов</v>
      </c>
      <c r="M536" s="8">
        <f>IFERROR(__xludf.DUMMYFUNCTION("""COMPUTED_VALUE"""),44197.0)</f>
        <v>44197</v>
      </c>
      <c r="N536" s="6" t="str">
        <f>IFERROR(__xludf.DUMMYFUNCTION("""COMPUTED_VALUE"""),"NL474698191B01")</f>
        <v>NL474698191B01</v>
      </c>
      <c r="O536" s="6">
        <f>IFERROR(__xludf.DUMMYFUNCTION("""COMPUTED_VALUE"""),8.0636551E7)</f>
        <v>80636551</v>
      </c>
      <c r="P536" s="6" t="str">
        <f>IFERROR(__xludf.DUMMYFUNCTION("""COMPUTED_VALUE"""),"NL91INGB0009210860")</f>
        <v>NL91INGB0009210860</v>
      </c>
      <c r="Q536" s="9">
        <f>IFERROR(__xludf.DUMMYFUNCTION("""COMPUTED_VALUE"""),44105.0)</f>
        <v>44105</v>
      </c>
      <c r="R536" s="6"/>
      <c r="S536" s="6" t="str">
        <f>IFERROR(__xludf.DUMMYFUNCTION("""COMPUTED_VALUE"""),"NL003466674B57")</f>
        <v>NL003466674B57</v>
      </c>
      <c r="T536" s="6">
        <f>IFERROR(__xludf.DUMMYFUNCTION("""COMPUTED_VALUE"""),4.74698191E8)</f>
        <v>474698191</v>
      </c>
      <c r="U536" s="7" t="str">
        <f>IFERROR(__xludf.DUMMYFUNCTION("""COMPUTED_VALUE"""),"Eenmanszaak")</f>
        <v>Eenmanszaak</v>
      </c>
      <c r="V536" s="7" t="str">
        <f>IFERROR(__xludf.DUMMYFUNCTION("""COMPUTED_VALUE"""),"000046980490")</f>
        <v>000046980490</v>
      </c>
      <c r="W536" s="6" t="str">
        <f>IFERROR(__xludf.DUMMYFUNCTION("""COMPUTED_VALUE"""),"ink.zvnbouw.2288aa@zarabota.nl")</f>
        <v>ink.zvnbouw.2288aa@zarabota.nl</v>
      </c>
      <c r="X536" s="6" t="str">
        <f>IFERROR(__xludf.DUMMYFUNCTION("""COMPUTED_VALUE"""),"ver.zvnbouw.2288aa@zarabota.nl")</f>
        <v>ver.zvnbouw.2288aa@zarabota.nl</v>
      </c>
      <c r="Y536" s="6" t="str">
        <f>IFERROR(__xludf.DUMMYFUNCTION("""COMPUTED_VALUE"""),"Hr.")</f>
        <v>Hr.</v>
      </c>
      <c r="Z536" s="6" t="str">
        <f>IFERROR(__xludf.DUMMYFUNCTION("""COMPUTED_VALUE"""),"Zdravko Lazarov")</f>
        <v>Zdravko Lazarov</v>
      </c>
      <c r="AA536" s="6" t="str">
        <f>IFERROR(__xludf.DUMMYFUNCTION("""COMPUTED_VALUE"""),"Uzunov")</f>
        <v>Uzunov</v>
      </c>
      <c r="AB536" s="6" t="str">
        <f>IFERROR(__xludf.DUMMYFUNCTION("""COMPUTED_VALUE"""),"Z.L.")</f>
        <v>Z.L.</v>
      </c>
      <c r="AC536" s="6">
        <f>IFERROR(__xludf.DUMMYFUNCTION("""COMPUTED_VALUE"""),4.74698191E8)</f>
        <v>474698191</v>
      </c>
      <c r="AD536" s="9">
        <f>IFERROR(__xludf.DUMMYFUNCTION("""COMPUTED_VALUE"""),31289.0)</f>
        <v>31289</v>
      </c>
      <c r="AE536" s="6" t="str">
        <f>IFERROR(__xludf.DUMMYFUNCTION("""COMPUTED_VALUE"""),"bg")</f>
        <v>bg</v>
      </c>
      <c r="AF536" s="6" t="str">
        <f>IFERROR(__xludf.DUMMYFUNCTION("""COMPUTED_VALUE"""),"Ardino")</f>
        <v>Ardino</v>
      </c>
      <c r="AG536" s="6" t="str">
        <f>IFERROR(__xludf.DUMMYFUNCTION("""COMPUTED_VALUE"""),"Hr. Z.L. Uzunov")</f>
        <v>Hr. Z.L. Uzunov</v>
      </c>
      <c r="AH536" s="6" t="str">
        <f>IFERROR(__xludf.DUMMYFUNCTION("""COMPUTED_VALUE"""),"NL80INGB0798725389")</f>
        <v>NL80INGB0798725389</v>
      </c>
      <c r="AI536" s="6"/>
      <c r="AJ536" s="6" t="str">
        <f>IFERROR(__xludf.DUMMYFUNCTION("""COMPUTED_VALUE"""),"ID Kaart")</f>
        <v>ID Kaart</v>
      </c>
      <c r="AK536" s="6">
        <f>IFERROR(__xludf.DUMMYFUNCTION("""COMPUTED_VALUE"""),6.46195268E8)</f>
        <v>646195268</v>
      </c>
      <c r="AL536" s="9">
        <f>IFERROR(__xludf.DUMMYFUNCTION("""COMPUTED_VALUE"""),46020.0)</f>
        <v>46020</v>
      </c>
      <c r="AM536" s="6" t="str">
        <f>IFERROR(__xludf.DUMMYFUNCTION("""COMPUTED_VALUE"""),"Bulgarije")</f>
        <v>Bulgarije</v>
      </c>
      <c r="AN536" s="6" t="str">
        <f>IFERROR(__xludf.DUMMYFUNCTION("""COMPUTED_VALUE"""),"Zdravko Lazarov Uzunov")</f>
        <v>Zdravko Lazarov Uzunov</v>
      </c>
      <c r="AO536" s="6">
        <f>IFERROR(__xludf.DUMMYFUNCTION("""COMPUTED_VALUE"""),1050.0)</f>
        <v>1050</v>
      </c>
    </row>
    <row r="537">
      <c r="A537" s="6" t="str">
        <f>IFERROR(__xludf.DUMMYFUNCTION("""COMPUTED_VALUE"""),"Аксентис ООД")</f>
        <v>Аксентис ООД</v>
      </c>
      <c r="B537" s="6" t="str">
        <f>IFERROR(__xludf.DUMMYFUNCTION("""COMPUTED_VALUE"""),"Аксентис ООД")</f>
        <v>Аксентис ООД</v>
      </c>
      <c r="C537" s="6">
        <f>IFERROR(__xludf.DUMMYFUNCTION("""COMPUTED_VALUE"""),1393.0)</f>
        <v>1393</v>
      </c>
      <c r="D537" s="7" t="str">
        <f>IFERROR(__xludf.DUMMYFUNCTION("""COMPUTED_VALUE"""),"Evgeny Jivkov Rangelov")</f>
        <v>Evgeny Jivkov Rangelov</v>
      </c>
      <c r="E537" s="7" t="str">
        <f>IFERROR(__xludf.DUMMYFUNCTION("""COMPUTED_VALUE"""),"SBI-code: 4120 - Algemene burgerlijke en utiliteitsbouw")</f>
        <v>SBI-code: 4120 - Algemene burgerlijke en utiliteitsbouw</v>
      </c>
      <c r="F537" s="7" t="str">
        <f>IFERROR(__xludf.DUMMYFUNCTION("""COMPUTED_VALUE"""),"+359876555728")</f>
        <v>+359876555728</v>
      </c>
      <c r="G537" s="6" t="str">
        <f>IFERROR(__xludf.DUMMYFUNCTION("""COMPUTED_VALUE"""),"axentisood@gmail.com")</f>
        <v>axentisood@gmail.com</v>
      </c>
      <c r="H537" s="6" t="str">
        <f>IFERROR(__xludf.DUMMYFUNCTION("""COMPUTED_VALUE"""),"ул.""Дубровник"" No 54, бл.1, ет.4, ап.20.1.")</f>
        <v>ул."Дубровник" No 54, бл.1, ет.4, ап.20.1.</v>
      </c>
      <c r="I537" s="6">
        <f>IFERROR(__xludf.DUMMYFUNCTION("""COMPUTED_VALUE"""),9002.0)</f>
        <v>9002</v>
      </c>
      <c r="J537" s="6" t="str">
        <f>IFERROR(__xludf.DUMMYFUNCTION("""COMPUTED_VALUE"""),"Varna")</f>
        <v>Varna</v>
      </c>
      <c r="K537" s="6" t="str">
        <f>IFERROR(__xludf.DUMMYFUNCTION("""COMPUTED_VALUE"""),"Bulgarije")</f>
        <v>Bulgarije</v>
      </c>
      <c r="L537" s="6" t="str">
        <f>IFERROR(__xludf.DUMMYFUNCTION("""COMPUTED_VALUE"""),"Рангелов")</f>
        <v>Рангелов</v>
      </c>
      <c r="M537" s="8">
        <f>IFERROR(__xludf.DUMMYFUNCTION("""COMPUTED_VALUE"""),44739.0)</f>
        <v>44739</v>
      </c>
      <c r="N537" s="6" t="str">
        <f>IFERROR(__xludf.DUMMYFUNCTION("""COMPUTED_VALUE"""),"BG206999604")</f>
        <v>BG206999604</v>
      </c>
      <c r="O537" s="6" t="str">
        <f>IFERROR(__xludf.DUMMYFUNCTION("""COMPUTED_VALUE"""),"BG206999604")</f>
        <v>BG206999604</v>
      </c>
      <c r="P537" s="6" t="str">
        <f>IFERROR(__xludf.DUMMYFUNCTION("""COMPUTED_VALUE"""),"5354942365716665")</f>
        <v>5354942365716665</v>
      </c>
      <c r="Q537" s="9">
        <f>IFERROR(__xludf.DUMMYFUNCTION("""COMPUTED_VALUE"""),44739.0)</f>
        <v>44739</v>
      </c>
      <c r="R537" s="6"/>
      <c r="S537" s="6" t="str">
        <f>IFERROR(__xludf.DUMMYFUNCTION("""COMPUTED_VALUE"""),"BG206999604")</f>
        <v>BG206999604</v>
      </c>
      <c r="T537" s="6">
        <f>IFERROR(__xludf.DUMMYFUNCTION("""COMPUTED_VALUE"""),2.06999604E8)</f>
        <v>206999604</v>
      </c>
      <c r="U537" s="7" t="str">
        <f>IFERROR(__xludf.DUMMYFUNCTION("""COMPUTED_VALUE"""),"Besloten Vennootschap")</f>
        <v>Besloten Vennootschap</v>
      </c>
      <c r="V537" s="6"/>
      <c r="W537" s="6"/>
      <c r="X537" s="6"/>
      <c r="Y537" s="6" t="str">
        <f>IFERROR(__xludf.DUMMYFUNCTION("""COMPUTED_VALUE"""),"Hr.")</f>
        <v>Hr.</v>
      </c>
      <c r="Z537" s="6" t="str">
        <f>IFERROR(__xludf.DUMMYFUNCTION("""COMPUTED_VALUE"""),"Evgeny Jivkov")</f>
        <v>Evgeny Jivkov</v>
      </c>
      <c r="AA537" s="6" t="str">
        <f>IFERROR(__xludf.DUMMYFUNCTION("""COMPUTED_VALUE"""),"Rangelov")</f>
        <v>Rangelov</v>
      </c>
      <c r="AB537" s="6" t="str">
        <f>IFERROR(__xludf.DUMMYFUNCTION("""COMPUTED_VALUE"""),"E.J.")</f>
        <v>E.J.</v>
      </c>
      <c r="AC537" s="6">
        <f>IFERROR(__xludf.DUMMYFUNCTION("""COMPUTED_VALUE"""),1.26248175E8)</f>
        <v>126248175</v>
      </c>
      <c r="AD537" s="9">
        <f>IFERROR(__xludf.DUMMYFUNCTION("""COMPUTED_VALUE"""),22107.0)</f>
        <v>22107</v>
      </c>
      <c r="AE537" s="6" t="str">
        <f>IFERROR(__xludf.DUMMYFUNCTION("""COMPUTED_VALUE"""),"bg")</f>
        <v>bg</v>
      </c>
      <c r="AF537" s="6" t="str">
        <f>IFERROR(__xludf.DUMMYFUNCTION("""COMPUTED_VALUE"""),"Varna")</f>
        <v>Varna</v>
      </c>
      <c r="AG537" s="6" t="str">
        <f>IFERROR(__xludf.DUMMYFUNCTION("""COMPUTED_VALUE"""),"Hr. E.J. Rangelov")</f>
        <v>Hr. E.J. Rangelov</v>
      </c>
      <c r="AH537" s="6" t="str">
        <f>IFERROR(__xludf.DUMMYFUNCTION("""COMPUTED_VALUE"""),"NL35ABNA0561170053")</f>
        <v>NL35ABNA0561170053</v>
      </c>
      <c r="AI537" s="6"/>
      <c r="AJ537" s="6"/>
      <c r="AK537" s="6"/>
      <c r="AL537" s="6"/>
      <c r="AM537" s="6" t="str">
        <f>IFERROR(__xludf.DUMMYFUNCTION("""COMPUTED_VALUE"""),"Bulgarije")</f>
        <v>Bulgarije</v>
      </c>
      <c r="AN537" s="6" t="str">
        <f>IFERROR(__xludf.DUMMYFUNCTION("""COMPUTED_VALUE"""),"Evgeny Jivkov Rangelov")</f>
        <v>Evgeny Jivkov Rangelov</v>
      </c>
      <c r="AO537" s="6">
        <f>IFERROR(__xludf.DUMMYFUNCTION("""COMPUTED_VALUE"""),1393.0)</f>
        <v>1393</v>
      </c>
    </row>
    <row r="538">
      <c r="A538" s="6" t="str">
        <f>IFERROR(__xludf.DUMMYFUNCTION("""COMPUTED_VALUE"""),"Стебо 67 ООД")</f>
        <v>Стебо 67 ООД</v>
      </c>
      <c r="B538" s="6" t="str">
        <f>IFERROR(__xludf.DUMMYFUNCTION("""COMPUTED_VALUE"""),"Стебо 67 ООД")</f>
        <v>Стебо 67 ООД</v>
      </c>
      <c r="C538" s="6">
        <f>IFERROR(__xludf.DUMMYFUNCTION("""COMPUTED_VALUE"""),1637.0)</f>
        <v>1637</v>
      </c>
      <c r="D538" s="7" t="str">
        <f>IFERROR(__xludf.DUMMYFUNCTION("""COMPUTED_VALUE"""),"Стефан Атанасов Тянков")</f>
        <v>Стефан Атанасов Тянков</v>
      </c>
      <c r="E538" s="7" t="str">
        <f>IFERROR(__xludf.DUMMYFUNCTION("""COMPUTED_VALUE"""),"SBI-code: 0161 - Dienstverlening voor de akker- en/of tuinbouw")</f>
        <v>SBI-code: 0161 - Dienstverlening voor de akker- en/of tuinbouw</v>
      </c>
      <c r="F538" s="7" t="str">
        <f>IFERROR(__xludf.DUMMYFUNCTION("""COMPUTED_VALUE"""),"+359876555328")</f>
        <v>+359876555328</v>
      </c>
      <c r="G538" s="6" t="str">
        <f>IFERROR(__xludf.DUMMYFUNCTION("""COMPUTED_VALUE"""),"steboood@gmail.com")</f>
        <v>steboood@gmail.com</v>
      </c>
      <c r="H538" s="6" t="str">
        <f>IFERROR(__xludf.DUMMYFUNCTION("""COMPUTED_VALUE"""),"Николай Хайтов 3В ет 4 ап 1")</f>
        <v>Николай Хайтов 3В ет 4 ап 1</v>
      </c>
      <c r="I538" s="6">
        <f>IFERROR(__xludf.DUMMYFUNCTION("""COMPUTED_VALUE"""),4230.0)</f>
        <v>4230</v>
      </c>
      <c r="J538" s="6" t="str">
        <f>IFERROR(__xludf.DUMMYFUNCTION("""COMPUTED_VALUE"""),"Асеновград")</f>
        <v>Асеновград</v>
      </c>
      <c r="K538" s="6" t="str">
        <f>IFERROR(__xludf.DUMMYFUNCTION("""COMPUTED_VALUE"""),"Bulgarije")</f>
        <v>Bulgarije</v>
      </c>
      <c r="L538" s="6" t="str">
        <f>IFERROR(__xludf.DUMMYFUNCTION("""COMPUTED_VALUE"""),"Тянков")</f>
        <v>Тянков</v>
      </c>
      <c r="M538" s="8">
        <f>IFERROR(__xludf.DUMMYFUNCTION("""COMPUTED_VALUE"""),45474.0)</f>
        <v>45474</v>
      </c>
      <c r="N538" s="6" t="str">
        <f>IFERROR(__xludf.DUMMYFUNCTION("""COMPUTED_VALUE"""),"BG207898667")</f>
        <v>BG207898667</v>
      </c>
      <c r="O538" s="6">
        <f>IFERROR(__xludf.DUMMYFUNCTION("""COMPUTED_VALUE"""),2.07898667E8)</f>
        <v>207898667</v>
      </c>
      <c r="P538" s="6" t="str">
        <f>IFERROR(__xludf.DUMMYFUNCTION("""COMPUTED_VALUE"""),"BG15FINV91501017776624")</f>
        <v>BG15FINV91501017776624</v>
      </c>
      <c r="Q538" s="9">
        <f>IFERROR(__xludf.DUMMYFUNCTION("""COMPUTED_VALUE"""),44739.0)</f>
        <v>44739</v>
      </c>
      <c r="R538" s="6"/>
      <c r="S538" s="6" t="str">
        <f>IFERROR(__xludf.DUMMYFUNCTION("""COMPUTED_VALUE"""),"BG207898667")</f>
        <v>BG207898667</v>
      </c>
      <c r="T538" s="6">
        <f>IFERROR(__xludf.DUMMYFUNCTION("""COMPUTED_VALUE"""),2.07898667E8)</f>
        <v>207898667</v>
      </c>
      <c r="U538" s="7" t="str">
        <f>IFERROR(__xludf.DUMMYFUNCTION("""COMPUTED_VALUE"""),"Besloten Vennootschap")</f>
        <v>Besloten Vennootschap</v>
      </c>
      <c r="V538" s="6"/>
      <c r="W538" s="6"/>
      <c r="X538" s="6"/>
      <c r="Y538" s="6" t="str">
        <f>IFERROR(__xludf.DUMMYFUNCTION("""COMPUTED_VALUE"""),"Hr.")</f>
        <v>Hr.</v>
      </c>
      <c r="Z538" s="6" t="str">
        <f>IFERROR(__xludf.DUMMYFUNCTION("""COMPUTED_VALUE"""),"Stefan Atanasov")</f>
        <v>Stefan Atanasov</v>
      </c>
      <c r="AA538" s="6" t="str">
        <f>IFERROR(__xludf.DUMMYFUNCTION("""COMPUTED_VALUE"""),"Tyankov")</f>
        <v>Tyankov</v>
      </c>
      <c r="AB538" s="6" t="str">
        <f>IFERROR(__xludf.DUMMYFUNCTION("""COMPUTED_VALUE"""),"S.A.")</f>
        <v>S.A.</v>
      </c>
      <c r="AC538" s="6">
        <f>IFERROR(__xludf.DUMMYFUNCTION("""COMPUTED_VALUE"""),6.712094548E9)</f>
        <v>6712094548</v>
      </c>
      <c r="AD538" s="9">
        <f>IFERROR(__xludf.DUMMYFUNCTION("""COMPUTED_VALUE"""),24815.0)</f>
        <v>24815</v>
      </c>
      <c r="AE538" s="6" t="str">
        <f>IFERROR(__xludf.DUMMYFUNCTION("""COMPUTED_VALUE"""),"bg")</f>
        <v>bg</v>
      </c>
      <c r="AF538" s="6"/>
      <c r="AG538" s="6" t="str">
        <f>IFERROR(__xludf.DUMMYFUNCTION("""COMPUTED_VALUE"""),"Hr. S.A. Tyankov")</f>
        <v>Hr. S.A. Tyankov</v>
      </c>
      <c r="AH538" s="6"/>
      <c r="AI538" s="6"/>
      <c r="AJ538" s="6"/>
      <c r="AK538" s="6"/>
      <c r="AL538" s="6"/>
      <c r="AM538" s="6"/>
      <c r="AN538" s="6" t="str">
        <f>IFERROR(__xludf.DUMMYFUNCTION("""COMPUTED_VALUE"""),"Stefan Atanasov Tyankov")</f>
        <v>Stefan Atanasov Tyankov</v>
      </c>
      <c r="AO538" s="6">
        <f>IFERROR(__xludf.DUMMYFUNCTION("""COMPUTED_VALUE"""),1637.0)</f>
        <v>1637</v>
      </c>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row>
  </sheetData>
  <hyperlinks>
    <hyperlink r:id="rId1" ref="A278"/>
    <hyperlink r:id="rId2" ref="B27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3" max="3" width="20.88"/>
    <col customWidth="1" min="4" max="4" width="19.88"/>
    <col customWidth="1" min="5" max="5" width="13.88"/>
    <col customWidth="1" min="6" max="6" width="15.25"/>
    <col customWidth="1" min="8" max="8" width="15.38"/>
    <col customWidth="1" min="9" max="9" width="3.13"/>
    <col customWidth="1" min="12" max="12" width="21.5"/>
    <col customWidth="1" min="14" max="14" width="8.5"/>
    <col customWidth="1" min="16" max="16" width="19.0"/>
  </cols>
  <sheetData>
    <row r="1" ht="27.75" customHeight="1">
      <c r="A1" s="11"/>
      <c r="B1" s="12" t="s">
        <v>0</v>
      </c>
      <c r="C1" s="13"/>
      <c r="D1" s="13"/>
      <c r="E1" s="13"/>
      <c r="F1" s="13"/>
      <c r="G1" s="13"/>
      <c r="H1" s="13"/>
      <c r="J1" s="14" t="s">
        <v>1</v>
      </c>
      <c r="L1" s="15" t="s">
        <v>2</v>
      </c>
      <c r="M1" s="16"/>
      <c r="N1" s="14" t="s">
        <v>3</v>
      </c>
      <c r="P1" s="17" t="s">
        <v>4</v>
      </c>
    </row>
    <row r="2" ht="26.25" customHeight="1">
      <c r="A2" s="18"/>
      <c r="B2" s="19" t="s">
        <v>5</v>
      </c>
      <c r="C2" s="20"/>
      <c r="D2" s="21"/>
      <c r="E2" s="22"/>
      <c r="F2" s="19" t="s">
        <v>6</v>
      </c>
      <c r="G2" s="20"/>
      <c r="H2" s="21"/>
      <c r="J2" s="16"/>
      <c r="K2" s="23" t="s">
        <v>7</v>
      </c>
      <c r="L2" s="23" t="str">
        <f>IF(VLOOKUP(L1,CRM,25,TRUE)="Mw. ","mevrouw","de heer ")&amp;VLOOKUP(L1,CRM,28,TRUE)&amp;" "&amp;VLOOKUP(L1,CRM,27,TRUE)</f>
        <v>de heer D.O. Ibryam</v>
      </c>
      <c r="N2" s="16"/>
      <c r="O2" s="23" t="s">
        <v>7</v>
      </c>
      <c r="P2" s="23" t="str">
        <f>IF(VLOOKUP(P1,CRM,25,TRUE)="Mw. ","mevrouw","de heer ")&amp;VLOOKUP(P1,CRM,28,TRUE)&amp;" "&amp;VLOOKUP(P1,CRM,27,TRUE)</f>
        <v>de heer D.O. Ibryam</v>
      </c>
    </row>
    <row r="3">
      <c r="A3" s="24"/>
      <c r="B3" s="25" t="s">
        <v>8</v>
      </c>
      <c r="C3" s="26"/>
      <c r="D3" s="27">
        <v>10000.0</v>
      </c>
      <c r="E3" s="22"/>
      <c r="F3" s="25" t="s">
        <v>9</v>
      </c>
      <c r="G3" s="26"/>
      <c r="H3" s="27">
        <f>E10</f>
        <v>466.078382</v>
      </c>
      <c r="J3" s="16"/>
      <c r="K3" s="23" t="s">
        <v>10</v>
      </c>
      <c r="L3" s="23" t="str">
        <f>VLOOKUP(L1,CRM,8,TRUE)&amp;", "&amp;VLOOKUP(L1,CRM,9,TRUE)&amp;" "&amp;VLOOKUP(L1,CRM,10,TRUE)</f>
        <v>Gebroken Meeldijk 66 Unit 1.15, 2991 VD Barendrecht</v>
      </c>
      <c r="N3" s="16"/>
      <c r="O3" s="23" t="s">
        <v>10</v>
      </c>
      <c r="P3" s="23" t="str">
        <f>VLOOKUP(P1,CRM,8,TRUE)&amp;", "&amp;VLOOKUP(P1,CRM,9,TRUE)&amp;" "&amp;VLOOKUP(P1,CRM,10,TRUE)</f>
        <v>Kievit 8, 2991ME Barendrecht</v>
      </c>
    </row>
    <row r="4">
      <c r="A4" s="24"/>
      <c r="B4" s="28" t="s">
        <v>11</v>
      </c>
      <c r="C4" s="29"/>
      <c r="D4" s="30">
        <v>0.11</v>
      </c>
      <c r="E4" s="22"/>
      <c r="F4" s="28" t="s">
        <v>12</v>
      </c>
      <c r="G4" s="29"/>
      <c r="H4" s="31">
        <f>IFERROR(IF(IF(GeleendBedrag*Rentevoet*D5*BegindatumLening&gt;0,1,0),Leningjaren*12,""),"")</f>
        <v>24</v>
      </c>
      <c r="J4" s="16"/>
      <c r="K4" s="32" t="s">
        <v>13</v>
      </c>
      <c r="L4" s="32" t="str">
        <f>VLOOKUP(L1,CRM,16,TRUE)</f>
        <v>NL02INGB0008214041</v>
      </c>
      <c r="M4" s="33"/>
      <c r="N4" s="34"/>
      <c r="O4" s="34"/>
      <c r="P4" s="34"/>
    </row>
    <row r="5">
      <c r="A5" s="24"/>
      <c r="B5" s="28" t="s">
        <v>14</v>
      </c>
      <c r="C5" s="29"/>
      <c r="D5" s="31">
        <v>2.0</v>
      </c>
      <c r="E5" s="22"/>
      <c r="F5" s="28" t="s">
        <v>15</v>
      </c>
      <c r="G5" s="29"/>
      <c r="H5" s="27">
        <f>IFERROR(IF(IF(GeleendBedrag*Rentevoet*D5*BegindatumLening&gt;0,1,0),TotaleLeningkosten-GeleendBedrag,""),"")</f>
        <v>1185.881167</v>
      </c>
      <c r="J5" s="35" t="s">
        <v>16</v>
      </c>
      <c r="L5" s="16"/>
      <c r="M5" s="16"/>
      <c r="N5" s="35" t="s">
        <v>17</v>
      </c>
      <c r="P5" s="16"/>
    </row>
    <row r="6">
      <c r="A6" s="24"/>
      <c r="B6" s="28" t="s">
        <v>18</v>
      </c>
      <c r="C6" s="29"/>
      <c r="D6" s="36">
        <v>46054.0</v>
      </c>
      <c r="E6" s="22"/>
      <c r="F6" s="28" t="s">
        <v>19</v>
      </c>
      <c r="G6" s="29"/>
      <c r="H6" s="27">
        <f>IFERROR(IF(IF(GeleendBedrag*Rentevoet*D5*BegindatumLening&gt;0,1,0),-PMT(Rentevoet/12,AantalBetalingen,GeleendBedrag)*H4,""),"")</f>
        <v>11185.88117</v>
      </c>
      <c r="J6" s="16"/>
      <c r="K6" s="23" t="s">
        <v>7</v>
      </c>
      <c r="L6" s="23" t="str">
        <f>IF(VLOOKUP(L1,CRM,25,TRUE)="Mw. ","mevrouw","de heer ")&amp;VLOOKUP(L1,CRM,28,TRUE)&amp;" "&amp;VLOOKUP(L1,CRM,27,TRUE)</f>
        <v>de heer D.O. Ibryam</v>
      </c>
      <c r="N6" s="16"/>
      <c r="O6" s="16"/>
      <c r="P6" s="23" t="str">
        <f>IF(VLOOKUP(P1,CRM,25,TRUE)="Mw. ","mevrouw","de heer ")&amp;VLOOKUP(P1,CRM,28,TRUE)&amp;" "&amp;VLOOKUP(P1,CRM,27,TRUE)</f>
        <v>de heer D.O. Ibryam</v>
      </c>
    </row>
    <row r="7">
      <c r="A7" s="37"/>
      <c r="B7" s="38" t="s">
        <v>20</v>
      </c>
      <c r="C7" s="39"/>
      <c r="D7" s="40"/>
      <c r="E7" s="22"/>
      <c r="F7" s="28" t="s">
        <v>21</v>
      </c>
      <c r="G7" s="29"/>
      <c r="H7" s="41"/>
      <c r="J7" s="16"/>
      <c r="K7" s="23" t="s">
        <v>10</v>
      </c>
      <c r="L7" s="23" t="str">
        <f>VLOOKUP(L1,CRM,8,TRUE)&amp;", "&amp;VLOOKUP(L1,CRM,9,TRUE)&amp;" "&amp;VLOOKUP(L1,CRM,10,TRUE)</f>
        <v>Gebroken Meeldijk 66 Unit 1.15, 2991 VD Barendrecht</v>
      </c>
      <c r="N7" s="16"/>
      <c r="O7" s="16"/>
      <c r="P7" s="23" t="str">
        <f>VLOOKUP(P1,CRM,8,TRUE)&amp;", "&amp;VLOOKUP(P1,CRM,9,TRUE)&amp;" "&amp;VLOOKUP(P1,CRM,10,TRUE)</f>
        <v>Kievit 8, 2991ME Barendrecht</v>
      </c>
    </row>
    <row r="8" ht="25.5" customHeight="1">
      <c r="A8" s="37"/>
      <c r="B8" s="42" t="s">
        <v>20</v>
      </c>
      <c r="C8" s="42"/>
      <c r="D8" s="43"/>
      <c r="E8" s="43"/>
      <c r="F8" s="43"/>
      <c r="G8" s="43"/>
      <c r="H8" s="43"/>
      <c r="J8" s="16"/>
      <c r="K8" s="16"/>
      <c r="L8" s="16"/>
      <c r="M8" s="16"/>
      <c r="N8" s="16"/>
      <c r="O8" s="16"/>
      <c r="P8" s="16"/>
    </row>
    <row r="9" ht="25.5" customHeight="1">
      <c r="A9" s="37"/>
      <c r="B9" s="44" t="s">
        <v>22</v>
      </c>
      <c r="C9" s="44" t="s">
        <v>23</v>
      </c>
      <c r="D9" s="45" t="s">
        <v>24</v>
      </c>
      <c r="E9" s="45" t="s">
        <v>25</v>
      </c>
      <c r="F9" s="45" t="s">
        <v>26</v>
      </c>
      <c r="G9" s="45" t="s">
        <v>27</v>
      </c>
      <c r="H9" s="45" t="s">
        <v>28</v>
      </c>
      <c r="J9" s="16"/>
      <c r="K9" s="23" t="s">
        <v>13</v>
      </c>
      <c r="L9" s="23" t="s">
        <v>29</v>
      </c>
      <c r="N9" s="16"/>
      <c r="O9" s="16"/>
      <c r="P9" s="16"/>
    </row>
    <row r="10" ht="22.5" customHeight="1">
      <c r="A10" s="46">
        <f>ROW()-ROW(Lening[[#HEADERS],[BET.NR.]])</f>
        <v>1</v>
      </c>
      <c r="B10" s="47">
        <f>IFERROR(IF(IF(ROW()-ROW(Lening!$9:$9)&lt;=AantalBetalingen,1,0)*IF(GeleendBedrag*Rentevoet*$D$5*BegindatumLening&gt;0,1,0),ROW()-ROW(Lening!$9:$9),""),"")</f>
        <v>1</v>
      </c>
      <c r="C10" s="48" t="str">
        <f>IFERROR(IF(IF(ROW()-ROW(Lening[[#HEADERS],[BET.NR.]])&lt;=AantalBetalingen,1,0)*IF(GeleendBedrag*Rentevoet*Leningjaren*BegindatumLening&gt;0,1,0),TEXT(DATE(YEAR(BegindatumLening),MONTH(BegindatumLening)+B10,DAY(BegindatumLening)),"d-m-yyyy"),""),"")</f>
        <v>1-3-2026</v>
      </c>
      <c r="D10" s="49">
        <f>IFERROR(IF(IF(ROW()-ROW(Lening[[#HEADERS],[BET.NR.]])&lt;=AantalBetalingen,1,0)*IF(GeleendBedrag*Rentevoet*Leningjaren*BegindatumLening&gt;0,1,0),-FV(Rentevoet/12,ROW()-ROW(Lening[[#HEADERS],[BET.NR.]])-1,PMT(Rentevoet/12,AantalBetalingen,GeleendBedrag),GeleendBedrag),""),"")</f>
        <v>10000</v>
      </c>
      <c r="E10" s="49">
        <f>IFERROR(IF(IF(ROW()-ROW(Lening[[#HEADERS],[BET.NR.]])&lt;=AantalBetalingen,1,0)*IF(GeleendBedrag*Rentevoet*Leningjaren*BegindatumLening&gt;0,1,0),-PMT(Rentevoet/12,AantalBetalingen,GeleendBedrag),""),"")</f>
        <v>466.078382</v>
      </c>
      <c r="F10" s="49">
        <f>IFERROR(IF(IF($B10&lt;=AantalBetalingen,1,0)*IF(GeleendBedrag*Rentevoet*Leningjaren*BegindatumLening&gt;0,1,0),-PPMT(Rentevoet/12,ROW()-ROW(Lening[[#HEADERS],[BET.NR.]]),AantalBetalingen,GeleendBedrag),""),"")</f>
        <v>374.4117153</v>
      </c>
      <c r="G10" s="49">
        <f>IFERROR(IF(IF($B10&lt;=AantalBetalingen,1,0)*IF(GeleendBedrag*Rentevoet*Leningjaren*BegindatumLening&gt;0,1,0),-IPMT(Rentevoet/12,$B10,AantalBetalingen,GeleendBedrag),""),"")</f>
        <v>91.66666667</v>
      </c>
      <c r="H10" s="49">
        <f>IFERROR(IF(IF(ROW()-ROW(Lening[[#HEADERS],[BET.NR.]])&lt;=AantalBetalingen,1,0)*IF(GeleendBedrag*Rentevoet*Leningjaren*BegindatumLening&gt;0,1,0),-FV(Rentevoet/12,$B10,PMT(Rentevoet/12,AantalBetalingen,GeleendBedrag),GeleendBedrag),""),"")</f>
        <v>9625.588285</v>
      </c>
    </row>
    <row r="11" ht="22.5" customHeight="1">
      <c r="A11" s="46">
        <f>ROW()-ROW(Lening[[#HEADERS],[BET.NR.]])</f>
        <v>2</v>
      </c>
      <c r="B11" s="50">
        <f>IFERROR(IF(IF(ROW()-ROW(Lening!$9:$9)&lt;=AantalBetalingen,1,0)*IF(GeleendBedrag*Rentevoet*$D$5*BegindatumLening&gt;0,1,0),ROW()-ROW(Lening!$9:$9),""),"")</f>
        <v>2</v>
      </c>
      <c r="C11" s="48" t="str">
        <f>IFERROR(IF(IF(ROW()-ROW(Lening[[#HEADERS],[BET.NR.]])&lt;=AantalBetalingen,1,0)*IF(GeleendBedrag*Rentevoet*Leningjaren*BegindatumLening&gt;0,1,0),TEXT(DATE(YEAR(BegindatumLening),MONTH(BegindatumLening)+B11,DAY(BegindatumLening)),"d-m-yyyy"),""),"")</f>
        <v>1-4-2026</v>
      </c>
      <c r="D11" s="49">
        <f>IFERROR(IF(IF(ROW()-ROW(Lening[[#HEADERS],[BET.NR.]])&lt;=AantalBetalingen,1,0)*IF(GeleendBedrag*Rentevoet*Leningjaren*BegindatumLening&gt;0,1,0),-FV(Rentevoet/12,ROW()-ROW(Lening[[#HEADERS],[BET.NR.]])-1,PMT(Rentevoet/12,AantalBetalingen,GeleendBedrag),GeleendBedrag),""),"")</f>
        <v>9625.588285</v>
      </c>
      <c r="E11" s="49">
        <f>IFERROR(IF(IF(ROW()-ROW(Lening[[#HEADERS],[BET.NR.]])&lt;=AantalBetalingen,1,0)*IF(GeleendBedrag*Rentevoet*Leningjaren*BegindatumLening&gt;0,1,0),-PMT(Rentevoet/12,AantalBetalingen,GeleendBedrag),""),"")</f>
        <v>466.078382</v>
      </c>
      <c r="F11" s="49">
        <f>IFERROR(IF(IF($B11&lt;=AantalBetalingen,1,0)*IF(GeleendBedrag*Rentevoet*Leningjaren*BegindatumLening&gt;0,1,0),-PPMT(Rentevoet/12,ROW()-ROW(Lening[[#HEADERS],[BET.NR.]]),AantalBetalingen,GeleendBedrag),""),"")</f>
        <v>377.8438227</v>
      </c>
      <c r="G11" s="49">
        <f>IFERROR(IF(IF($B11&lt;=AantalBetalingen,1,0)*IF(GeleendBedrag*Rentevoet*Leningjaren*BegindatumLening&gt;0,1,0),-IPMT(Rentevoet/12,$B11,AantalBetalingen,GeleendBedrag),""),"")</f>
        <v>88.23455928</v>
      </c>
      <c r="H11" s="49">
        <f>IFERROR(IF(IF(ROW()-ROW(Lening[[#HEADERS],[BET.NR.]])&lt;=AantalBetalingen,1,0)*IF(GeleendBedrag*Rentevoet*Leningjaren*BegindatumLening&gt;0,1,0),-FV(Rentevoet/12,$B11,PMT(Rentevoet/12,AantalBetalingen,GeleendBedrag),GeleendBedrag),""),"")</f>
        <v>9247.744462</v>
      </c>
      <c r="K11" s="51" t="s">
        <v>30</v>
      </c>
      <c r="L11" s="22"/>
      <c r="M11" s="51" t="s">
        <v>31</v>
      </c>
    </row>
    <row r="12" ht="22.5" customHeight="1">
      <c r="A12" s="46">
        <f>ROW()-ROW(Lening[[#HEADERS],[BET.NR.]])</f>
        <v>3</v>
      </c>
      <c r="B12" s="50">
        <f>IFERROR(IF(IF(ROW()-ROW(Lening!$9:$9)&lt;=AantalBetalingen,1,0)*IF(GeleendBedrag*Rentevoet*$D$5*BegindatumLening&gt;0,1,0),ROW()-ROW(Lening!$9:$9),""),"")</f>
        <v>3</v>
      </c>
      <c r="C12" s="48" t="str">
        <f>IFERROR(IF(IF(ROW()-ROW(Lening[[#HEADERS],[BET.NR.]])&lt;=AantalBetalingen,1,0)*IF(GeleendBedrag*Rentevoet*Leningjaren*BegindatumLening&gt;0,1,0),TEXT(DATE(YEAR(BegindatumLening),MONTH(BegindatumLening)+B12,DAY(BegindatumLening)),"d-m-yyyy"),""),"")</f>
        <v>1-5-2026</v>
      </c>
      <c r="D12" s="49">
        <f>IFERROR(IF(IF(ROW()-ROW(Lening[[#HEADERS],[BET.NR.]])&lt;=AantalBetalingen,1,0)*IF(GeleendBedrag*Rentevoet*Leningjaren*BegindatumLening&gt;0,1,0),-FV(Rentevoet/12,ROW()-ROW(Lening[[#HEADERS],[BET.NR.]])-1,PMT(Rentevoet/12,AantalBetalingen,GeleendBedrag),GeleendBedrag),""),"")</f>
        <v>9247.744462</v>
      </c>
      <c r="E12" s="49">
        <f>IFERROR(IF(IF(ROW()-ROW(Lening[[#HEADERS],[BET.NR.]])&lt;=AantalBetalingen,1,0)*IF(GeleendBedrag*Rentevoet*Leningjaren*BegindatumLening&gt;0,1,0),-PMT(Rentevoet/12,AantalBetalingen,GeleendBedrag),""),"")</f>
        <v>466.078382</v>
      </c>
      <c r="F12" s="49">
        <f>IFERROR(IF(IF($B12&lt;=AantalBetalingen,1,0)*IF(GeleendBedrag*Rentevoet*Leningjaren*BegindatumLening&gt;0,1,0),-PPMT(Rentevoet/12,ROW()-ROW(Lening[[#HEADERS],[BET.NR.]]),AantalBetalingen,GeleendBedrag),""),"")</f>
        <v>381.3073911</v>
      </c>
      <c r="G12" s="49">
        <f>IFERROR(IF(IF($B12&lt;=AantalBetalingen,1,0)*IF(GeleendBedrag*Rentevoet*Leningjaren*BegindatumLening&gt;0,1,0),-IPMT(Rentevoet/12,$B12,AantalBetalingen,GeleendBedrag),""),"")</f>
        <v>84.7709909</v>
      </c>
      <c r="H12" s="49">
        <f>IFERROR(IF(IF(ROW()-ROW(Lening[[#HEADERS],[BET.NR.]])&lt;=AantalBetalingen,1,0)*IF(GeleendBedrag*Rentevoet*Leningjaren*BegindatumLening&gt;0,1,0),-FV(Rentevoet/12,$B12,PMT(Rentevoet/12,AantalBetalingen,GeleendBedrag),GeleendBedrag),""),"")</f>
        <v>8866.437071</v>
      </c>
      <c r="K12" s="51" t="s">
        <v>32</v>
      </c>
      <c r="M12" s="51" t="s">
        <v>33</v>
      </c>
    </row>
    <row r="13" ht="22.5" customHeight="1">
      <c r="A13" s="46">
        <f>ROW()-ROW(Lening[[#HEADERS],[BET.NR.]])</f>
        <v>4</v>
      </c>
      <c r="B13" s="50">
        <f>IFERROR(IF(IF(ROW()-ROW(Lening!$9:$9)&lt;=AantalBetalingen,1,0)*IF(GeleendBedrag*Rentevoet*$D$5*BegindatumLening&gt;0,1,0),ROW()-ROW(Lening!$9:$9),""),"")</f>
        <v>4</v>
      </c>
      <c r="C13" s="48" t="str">
        <f>IFERROR(IF(IF(ROW()-ROW(Lening[[#HEADERS],[BET.NR.]])&lt;=AantalBetalingen,1,0)*IF(GeleendBedrag*Rentevoet*Leningjaren*BegindatumLening&gt;0,1,0),TEXT(DATE(YEAR(BegindatumLening),MONTH(BegindatumLening)+B13,DAY(BegindatumLening)),"d-m-yyyy"),""),"")</f>
        <v>1-6-2026</v>
      </c>
      <c r="D13" s="49">
        <f>IFERROR(IF(IF(ROW()-ROW(Lening[[#HEADERS],[BET.NR.]])&lt;=AantalBetalingen,1,0)*IF(GeleendBedrag*Rentevoet*Leningjaren*BegindatumLening&gt;0,1,0),-FV(Rentevoet/12,ROW()-ROW(Lening[[#HEADERS],[BET.NR.]])-1,PMT(Rentevoet/12,AantalBetalingen,GeleendBedrag),GeleendBedrag),""),"")</f>
        <v>8866.437071</v>
      </c>
      <c r="E13" s="49">
        <f>IFERROR(IF(IF(ROW()-ROW(Lening[[#HEADERS],[BET.NR.]])&lt;=AantalBetalingen,1,0)*IF(GeleendBedrag*Rentevoet*Leningjaren*BegindatumLening&gt;0,1,0),-PMT(Rentevoet/12,AantalBetalingen,GeleendBedrag),""),"")</f>
        <v>466.078382</v>
      </c>
      <c r="F13" s="49">
        <f>IFERROR(IF(IF($B13&lt;=AantalBetalingen,1,0)*IF(GeleendBedrag*Rentevoet*Leningjaren*BegindatumLening&gt;0,1,0),-PPMT(Rentevoet/12,ROW()-ROW(Lening[[#HEADERS],[BET.NR.]]),AantalBetalingen,GeleendBedrag),""),"")</f>
        <v>384.8027088</v>
      </c>
      <c r="G13" s="49">
        <f>IFERROR(IF(IF($B13&lt;=AantalBetalingen,1,0)*IF(GeleendBedrag*Rentevoet*Leningjaren*BegindatumLening&gt;0,1,0),-IPMT(Rentevoet/12,$B13,AantalBetalingen,GeleendBedrag),""),"")</f>
        <v>81.27567315</v>
      </c>
      <c r="H13" s="49">
        <f>IFERROR(IF(IF(ROW()-ROW(Lening[[#HEADERS],[BET.NR.]])&lt;=AantalBetalingen,1,0)*IF(GeleendBedrag*Rentevoet*Leningjaren*BegindatumLening&gt;0,1,0),-FV(Rentevoet/12,$B13,PMT(Rentevoet/12,AantalBetalingen,GeleendBedrag),GeleendBedrag),""),"")</f>
        <v>8481.634362</v>
      </c>
      <c r="K13" s="51" t="s">
        <v>34</v>
      </c>
      <c r="L13" s="22"/>
      <c r="M13" s="51" t="s">
        <v>35</v>
      </c>
    </row>
    <row r="14" ht="22.5" customHeight="1">
      <c r="A14" s="46">
        <f>ROW()-ROW(Lening[[#HEADERS],[BET.NR.]])</f>
        <v>5</v>
      </c>
      <c r="B14" s="50">
        <f>IFERROR(IF(IF(ROW()-ROW(Lening!$9:$9)&lt;=AantalBetalingen,1,0)*IF(GeleendBedrag*Rentevoet*$D$5*BegindatumLening&gt;0,1,0),ROW()-ROW(Lening!$9:$9),""),"")</f>
        <v>5</v>
      </c>
      <c r="C14" s="48" t="str">
        <f>IFERROR(IF(IF(ROW()-ROW(Lening[[#HEADERS],[BET.NR.]])&lt;=AantalBetalingen,1,0)*IF(GeleendBedrag*Rentevoet*Leningjaren*BegindatumLening&gt;0,1,0),TEXT(DATE(YEAR(BegindatumLening),MONTH(BegindatumLening)+B14,DAY(BegindatumLening)),"d-m-yyyy"),""),"")</f>
        <v>1-7-2026</v>
      </c>
      <c r="D14" s="49">
        <f>IFERROR(IF(IF(ROW()-ROW(Lening[[#HEADERS],[BET.NR.]])&lt;=AantalBetalingen,1,0)*IF(GeleendBedrag*Rentevoet*Leningjaren*BegindatumLening&gt;0,1,0),-FV(Rentevoet/12,ROW()-ROW(Lening[[#HEADERS],[BET.NR.]])-1,PMT(Rentevoet/12,AantalBetalingen,GeleendBedrag),GeleendBedrag),""),"")</f>
        <v>8481.634362</v>
      </c>
      <c r="E14" s="49">
        <f>IFERROR(IF(IF(ROW()-ROW(Lening[[#HEADERS],[BET.NR.]])&lt;=AantalBetalingen,1,0)*IF(GeleendBedrag*Rentevoet*Leningjaren*BegindatumLening&gt;0,1,0),-PMT(Rentevoet/12,AantalBetalingen,GeleendBedrag),""),"")</f>
        <v>466.078382</v>
      </c>
      <c r="F14" s="49">
        <f>IFERROR(IF(IF($B14&lt;=AantalBetalingen,1,0)*IF(GeleendBedrag*Rentevoet*Leningjaren*BegindatumLening&gt;0,1,0),-PPMT(Rentevoet/12,ROW()-ROW(Lening[[#HEADERS],[BET.NR.]]),AantalBetalingen,GeleendBedrag),""),"")</f>
        <v>388.330067</v>
      </c>
      <c r="G14" s="49">
        <f>IFERROR(IF(IF($B14&lt;=AantalBetalingen,1,0)*IF(GeleendBedrag*Rentevoet*Leningjaren*BegindatumLening&gt;0,1,0),-IPMT(Rentevoet/12,$B14,AantalBetalingen,GeleendBedrag),""),"")</f>
        <v>77.74831499</v>
      </c>
      <c r="H14" s="49">
        <f>IFERROR(IF(IF(ROW()-ROW(Lening[[#HEADERS],[BET.NR.]])&lt;=AantalBetalingen,1,0)*IF(GeleendBedrag*Rentevoet*Leningjaren*BegindatumLening&gt;0,1,0),-FV(Rentevoet/12,$B14,PMT(Rentevoet/12,AantalBetalingen,GeleendBedrag),GeleendBedrag),""),"")</f>
        <v>8093.304295</v>
      </c>
      <c r="K14" s="51" t="s">
        <v>36</v>
      </c>
      <c r="L14" s="22"/>
      <c r="M14" s="51" t="s">
        <v>37</v>
      </c>
    </row>
    <row r="15" ht="22.5" customHeight="1">
      <c r="A15" s="46">
        <f>ROW()-ROW(Lening[[#HEADERS],[BET.NR.]])</f>
        <v>6</v>
      </c>
      <c r="B15" s="50">
        <f>IFERROR(IF(IF(ROW()-ROW(Lening!$9:$9)&lt;=AantalBetalingen,1,0)*IF(GeleendBedrag*Rentevoet*$D$5*BegindatumLening&gt;0,1,0),ROW()-ROW(Lening!$9:$9),""),"")</f>
        <v>6</v>
      </c>
      <c r="C15" s="48" t="str">
        <f>IFERROR(IF(IF(ROW()-ROW(Lening[[#HEADERS],[BET.NR.]])&lt;=AantalBetalingen,1,0)*IF(GeleendBedrag*Rentevoet*Leningjaren*BegindatumLening&gt;0,1,0),TEXT(DATE(YEAR(BegindatumLening),MONTH(BegindatumLening)+B15,DAY(BegindatumLening)),"d-m-yyyy"),""),"")</f>
        <v>1-8-2026</v>
      </c>
      <c r="D15" s="49">
        <f>IFERROR(IF(IF(ROW()-ROW(Lening[[#HEADERS],[BET.NR.]])&lt;=AantalBetalingen,1,0)*IF(GeleendBedrag*Rentevoet*Leningjaren*BegindatumLening&gt;0,1,0),-FV(Rentevoet/12,ROW()-ROW(Lening[[#HEADERS],[BET.NR.]])-1,PMT(Rentevoet/12,AantalBetalingen,GeleendBedrag),GeleendBedrag),""),"")</f>
        <v>8093.304295</v>
      </c>
      <c r="E15" s="49">
        <f>IFERROR(IF(IF(ROW()-ROW(Lening[[#HEADERS],[BET.NR.]])&lt;=AantalBetalingen,1,0)*IF(GeleendBedrag*Rentevoet*Leningjaren*BegindatumLening&gt;0,1,0),-PMT(Rentevoet/12,AantalBetalingen,GeleendBedrag),""),"")</f>
        <v>466.078382</v>
      </c>
      <c r="F15" s="49">
        <f>IFERROR(IF(IF($B15&lt;=AantalBetalingen,1,0)*IF(GeleendBedrag*Rentevoet*Leningjaren*BegindatumLening&gt;0,1,0),-PPMT(Rentevoet/12,ROW()-ROW(Lening[[#HEADERS],[BET.NR.]]),AantalBetalingen,GeleendBedrag),""),"")</f>
        <v>391.8897593</v>
      </c>
      <c r="G15" s="49">
        <f>IFERROR(IF(IF($B15&lt;=AantalBetalingen,1,0)*IF(GeleendBedrag*Rentevoet*Leningjaren*BegindatumLening&gt;0,1,0),-IPMT(Rentevoet/12,$B15,AantalBetalingen,GeleendBedrag),""),"")</f>
        <v>74.18862271</v>
      </c>
      <c r="H15" s="49">
        <f>IFERROR(IF(IF(ROW()-ROW(Lening[[#HEADERS],[BET.NR.]])&lt;=AantalBetalingen,1,0)*IF(GeleendBedrag*Rentevoet*Leningjaren*BegindatumLening&gt;0,1,0),-FV(Rentevoet/12,$B15,PMT(Rentevoet/12,AantalBetalingen,GeleendBedrag),GeleendBedrag),""),"")</f>
        <v>7701.414536</v>
      </c>
      <c r="K15" s="51" t="s">
        <v>38</v>
      </c>
      <c r="L15" s="22"/>
      <c r="M15" s="52"/>
    </row>
    <row r="16" ht="22.5" customHeight="1">
      <c r="A16" s="46">
        <f>ROW()-ROW(Lening[[#HEADERS],[BET.NR.]])</f>
        <v>7</v>
      </c>
      <c r="B16" s="50">
        <f>IFERROR(IF(IF(ROW()-ROW(Lening!$9:$9)&lt;=AantalBetalingen,1,0)*IF(GeleendBedrag*Rentevoet*$D$5*BegindatumLening&gt;0,1,0),ROW()-ROW(Lening!$9:$9),""),"")</f>
        <v>7</v>
      </c>
      <c r="C16" s="48" t="str">
        <f>IFERROR(IF(IF(ROW()-ROW(Lening[[#HEADERS],[BET.NR.]])&lt;=AantalBetalingen,1,0)*IF(GeleendBedrag*Rentevoet*Leningjaren*BegindatumLening&gt;0,1,0),TEXT(DATE(YEAR(BegindatumLening),MONTH(BegindatumLening)+B16,DAY(BegindatumLening)),"d-m-yyyy"),""),"")</f>
        <v>1-9-2026</v>
      </c>
      <c r="D16" s="49">
        <f>IFERROR(IF(IF(ROW()-ROW(Lening[[#HEADERS],[BET.NR.]])&lt;=AantalBetalingen,1,0)*IF(GeleendBedrag*Rentevoet*Leningjaren*BegindatumLening&gt;0,1,0),-FV(Rentevoet/12,ROW()-ROW(Lening[[#HEADERS],[BET.NR.]])-1,PMT(Rentevoet/12,AantalBetalingen,GeleendBedrag),GeleendBedrag),""),"")</f>
        <v>7701.414536</v>
      </c>
      <c r="E16" s="49">
        <f>IFERROR(IF(IF(ROW()-ROW(Lening[[#HEADERS],[BET.NR.]])&lt;=AantalBetalingen,1,0)*IF(GeleendBedrag*Rentevoet*Leningjaren*BegindatumLening&gt;0,1,0),-PMT(Rentevoet/12,AantalBetalingen,GeleendBedrag),""),"")</f>
        <v>466.078382</v>
      </c>
      <c r="F16" s="49">
        <f>IFERROR(IF(IF($B16&lt;=AantalBetalingen,1,0)*IF(GeleendBedrag*Rentevoet*Leningjaren*BegindatumLening&gt;0,1,0),-PPMT(Rentevoet/12,ROW()-ROW(Lening[[#HEADERS],[BET.NR.]]),AantalBetalingen,GeleendBedrag),""),"")</f>
        <v>395.4820821</v>
      </c>
      <c r="G16" s="49">
        <f>IFERROR(IF(IF($B16&lt;=AantalBetalingen,1,0)*IF(GeleendBedrag*Rentevoet*Leningjaren*BegindatumLening&gt;0,1,0),-IPMT(Rentevoet/12,$B16,AantalBetalingen,GeleendBedrag),""),"")</f>
        <v>70.59629991</v>
      </c>
      <c r="H16" s="49">
        <f>IFERROR(IF(IF(ROW()-ROW(Lening[[#HEADERS],[BET.NR.]])&lt;=AantalBetalingen,1,0)*IF(GeleendBedrag*Rentevoet*Leningjaren*BegindatumLening&gt;0,1,0),-FV(Rentevoet/12,$B16,PMT(Rentevoet/12,AantalBetalingen,GeleendBedrag),GeleendBedrag),""),"")</f>
        <v>7305.932454</v>
      </c>
      <c r="K16" s="22"/>
      <c r="L16" s="22"/>
      <c r="M16" s="22"/>
    </row>
    <row r="17" ht="22.5" customHeight="1">
      <c r="A17" s="46">
        <f>ROW()-ROW(Lening[[#HEADERS],[BET.NR.]])</f>
        <v>8</v>
      </c>
      <c r="B17" s="50">
        <f>IFERROR(IF(IF(ROW()-ROW(Lening!$9:$9)&lt;=AantalBetalingen,1,0)*IF(GeleendBedrag*Rentevoet*$D$5*BegindatumLening&gt;0,1,0),ROW()-ROW(Lening!$9:$9),""),"")</f>
        <v>8</v>
      </c>
      <c r="C17" s="48" t="str">
        <f>IFERROR(IF(IF(ROW()-ROW(Lening[[#HEADERS],[BET.NR.]])&lt;=AantalBetalingen,1,0)*IF(GeleendBedrag*Rentevoet*Leningjaren*BegindatumLening&gt;0,1,0),TEXT(DATE(YEAR(BegindatumLening),MONTH(BegindatumLening)+B17,DAY(BegindatumLening)),"d-m-yyyy"),""),"")</f>
        <v>1-10-2026</v>
      </c>
      <c r="D17" s="49">
        <f>IFERROR(IF(IF(ROW()-ROW(Lening[[#HEADERS],[BET.NR.]])&lt;=AantalBetalingen,1,0)*IF(GeleendBedrag*Rentevoet*Leningjaren*BegindatumLening&gt;0,1,0),-FV(Rentevoet/12,ROW()-ROW(Lening[[#HEADERS],[BET.NR.]])-1,PMT(Rentevoet/12,AantalBetalingen,GeleendBedrag),GeleendBedrag),""),"")</f>
        <v>7305.932454</v>
      </c>
      <c r="E17" s="49">
        <f>IFERROR(IF(IF(ROW()-ROW(Lening[[#HEADERS],[BET.NR.]])&lt;=AantalBetalingen,1,0)*IF(GeleendBedrag*Rentevoet*Leningjaren*BegindatumLening&gt;0,1,0),-PMT(Rentevoet/12,AantalBetalingen,GeleendBedrag),""),"")</f>
        <v>466.078382</v>
      </c>
      <c r="F17" s="49">
        <f>IFERROR(IF(IF($B17&lt;=AantalBetalingen,1,0)*IF(GeleendBedrag*Rentevoet*Leningjaren*BegindatumLening&gt;0,1,0),-PPMT(Rentevoet/12,ROW()-ROW(Lening[[#HEADERS],[BET.NR.]]),AantalBetalingen,GeleendBedrag),""),"")</f>
        <v>399.1073345</v>
      </c>
      <c r="G17" s="49">
        <f>IFERROR(IF(IF($B17&lt;=AantalBetalingen,1,0)*IF(GeleendBedrag*Rentevoet*Leningjaren*BegindatumLening&gt;0,1,0),-IPMT(Rentevoet/12,$B17,AantalBetalingen,GeleendBedrag),""),"")</f>
        <v>66.97104749</v>
      </c>
      <c r="H17" s="49">
        <f>IFERROR(IF(IF(ROW()-ROW(Lening[[#HEADERS],[BET.NR.]])&lt;=AantalBetalingen,1,0)*IF(GeleendBedrag*Rentevoet*Leningjaren*BegindatumLening&gt;0,1,0),-FV(Rentevoet/12,$B17,PMT(Rentevoet/12,AantalBetalingen,GeleendBedrag),GeleendBedrag),""),"")</f>
        <v>6906.825119</v>
      </c>
    </row>
    <row r="18" ht="22.5" customHeight="1">
      <c r="A18" s="46">
        <f>ROW()-ROW(Lening[[#HEADERS],[BET.NR.]])</f>
        <v>9</v>
      </c>
      <c r="B18" s="50">
        <f>IFERROR(IF(IF(ROW()-ROW(Lening!$9:$9)&lt;=AantalBetalingen,1,0)*IF(GeleendBedrag*Rentevoet*$D$5*BegindatumLening&gt;0,1,0),ROW()-ROW(Lening!$9:$9),""),"")</f>
        <v>9</v>
      </c>
      <c r="C18" s="48" t="str">
        <f>IFERROR(IF(IF(ROW()-ROW(Lening[[#HEADERS],[BET.NR.]])&lt;=AantalBetalingen,1,0)*IF(GeleendBedrag*Rentevoet*Leningjaren*BegindatumLening&gt;0,1,0),TEXT(DATE(YEAR(BegindatumLening),MONTH(BegindatumLening)+B18,DAY(BegindatumLening)),"d-m-yyyy"),""),"")</f>
        <v>1-11-2026</v>
      </c>
      <c r="D18" s="49">
        <f>IFERROR(IF(IF(ROW()-ROW(Lening[[#HEADERS],[BET.NR.]])&lt;=AantalBetalingen,1,0)*IF(GeleendBedrag*Rentevoet*Leningjaren*BegindatumLening&gt;0,1,0),-FV(Rentevoet/12,ROW()-ROW(Lening[[#HEADERS],[BET.NR.]])-1,PMT(Rentevoet/12,AantalBetalingen,GeleendBedrag),GeleendBedrag),""),"")</f>
        <v>6906.825119</v>
      </c>
      <c r="E18" s="49">
        <f>IFERROR(IF(IF(ROW()-ROW(Lening[[#HEADERS],[BET.NR.]])&lt;=AantalBetalingen,1,0)*IF(GeleendBedrag*Rentevoet*Leningjaren*BegindatumLening&gt;0,1,0),-PMT(Rentevoet/12,AantalBetalingen,GeleendBedrag),""),"")</f>
        <v>466.078382</v>
      </c>
      <c r="F18" s="49">
        <f>IFERROR(IF(IF($B18&lt;=AantalBetalingen,1,0)*IF(GeleendBedrag*Rentevoet*Leningjaren*BegindatumLening&gt;0,1,0),-PPMT(Rentevoet/12,ROW()-ROW(Lening[[#HEADERS],[BET.NR.]]),AantalBetalingen,GeleendBedrag),""),"")</f>
        <v>402.7658184</v>
      </c>
      <c r="G18" s="49">
        <f>IFERROR(IF(IF($B18&lt;=AantalBetalingen,1,0)*IF(GeleendBedrag*Rentevoet*Leningjaren*BegindatumLening&gt;0,1,0),-IPMT(Rentevoet/12,$B18,AantalBetalingen,GeleendBedrag),""),"")</f>
        <v>63.31256359</v>
      </c>
      <c r="H18" s="49">
        <f>IFERROR(IF(IF(ROW()-ROW(Lening[[#HEADERS],[BET.NR.]])&lt;=AantalBetalingen,1,0)*IF(GeleendBedrag*Rentevoet*Leningjaren*BegindatumLening&gt;0,1,0),-FV(Rentevoet/12,$B18,PMT(Rentevoet/12,AantalBetalingen,GeleendBedrag),GeleendBedrag),""),"")</f>
        <v>6504.059301</v>
      </c>
    </row>
    <row r="19" ht="22.5" customHeight="1">
      <c r="A19" s="46">
        <f>ROW()-ROW(Lening[[#HEADERS],[BET.NR.]])</f>
        <v>10</v>
      </c>
      <c r="B19" s="50">
        <f>IFERROR(IF(IF(ROW()-ROW(Lening!$9:$9)&lt;=AantalBetalingen,1,0)*IF(GeleendBedrag*Rentevoet*$D$5*BegindatumLening&gt;0,1,0),ROW()-ROW(Lening!$9:$9),""),"")</f>
        <v>10</v>
      </c>
      <c r="C19" s="48" t="str">
        <f>IFERROR(IF(IF(ROW()-ROW(Lening[[#HEADERS],[BET.NR.]])&lt;=AantalBetalingen,1,0)*IF(GeleendBedrag*Rentevoet*Leningjaren*BegindatumLening&gt;0,1,0),TEXT(DATE(YEAR(BegindatumLening),MONTH(BegindatumLening)+B19,DAY(BegindatumLening)),"d-m-yyyy"),""),"")</f>
        <v>1-12-2026</v>
      </c>
      <c r="D19" s="49">
        <f>IFERROR(IF(IF(ROW()-ROW(Lening[[#HEADERS],[BET.NR.]])&lt;=AantalBetalingen,1,0)*IF(GeleendBedrag*Rentevoet*Leningjaren*BegindatumLening&gt;0,1,0),-FV(Rentevoet/12,ROW()-ROW(Lening[[#HEADERS],[BET.NR.]])-1,PMT(Rentevoet/12,AantalBetalingen,GeleendBedrag),GeleendBedrag),""),"")</f>
        <v>6504.059301</v>
      </c>
      <c r="E19" s="49">
        <f>IFERROR(IF(IF(ROW()-ROW(Lening[[#HEADERS],[BET.NR.]])&lt;=AantalBetalingen,1,0)*IF(GeleendBedrag*Rentevoet*Leningjaren*BegindatumLening&gt;0,1,0),-PMT(Rentevoet/12,AantalBetalingen,GeleendBedrag),""),"")</f>
        <v>466.078382</v>
      </c>
      <c r="F19" s="49">
        <f>IFERROR(IF(IF($B19&lt;=AantalBetalingen,1,0)*IF(GeleendBedrag*Rentevoet*Leningjaren*BegindatumLening&gt;0,1,0),-PPMT(Rentevoet/12,ROW()-ROW(Lening[[#HEADERS],[BET.NR.]]),AantalBetalingen,GeleendBedrag),""),"")</f>
        <v>406.4578384</v>
      </c>
      <c r="G19" s="49">
        <f>IFERROR(IF(IF($B19&lt;=AantalBetalingen,1,0)*IF(GeleendBedrag*Rentevoet*Leningjaren*BegindatumLening&gt;0,1,0),-IPMT(Rentevoet/12,$B19,AantalBetalingen,GeleendBedrag),""),"")</f>
        <v>59.62054359</v>
      </c>
      <c r="H19" s="49">
        <f>IFERROR(IF(IF(ROW()-ROW(Lening[[#HEADERS],[BET.NR.]])&lt;=AantalBetalingen,1,0)*IF(GeleendBedrag*Rentevoet*Leningjaren*BegindatumLening&gt;0,1,0),-FV(Rentevoet/12,$B19,PMT(Rentevoet/12,AantalBetalingen,GeleendBedrag),GeleendBedrag),""),"")</f>
        <v>6097.601463</v>
      </c>
    </row>
    <row r="20" ht="22.5" customHeight="1">
      <c r="A20" s="46">
        <f>ROW()-ROW(Lening[[#HEADERS],[BET.NR.]])</f>
        <v>11</v>
      </c>
      <c r="B20" s="50">
        <f>IFERROR(IF(IF(ROW()-ROW(Lening!$9:$9)&lt;=AantalBetalingen,1,0)*IF(GeleendBedrag*Rentevoet*$D$5*BegindatumLening&gt;0,1,0),ROW()-ROW(Lening!$9:$9),""),"")</f>
        <v>11</v>
      </c>
      <c r="C20" s="48" t="str">
        <f>IFERROR(IF(IF(ROW()-ROW(Lening[[#HEADERS],[BET.NR.]])&lt;=AantalBetalingen,1,0)*IF(GeleendBedrag*Rentevoet*Leningjaren*BegindatumLening&gt;0,1,0),TEXT(DATE(YEAR(BegindatumLening),MONTH(BegindatumLening)+B20,DAY(BegindatumLening)),"d-m-yyyy"),""),"")</f>
        <v>1-1-2027</v>
      </c>
      <c r="D20" s="49">
        <f>IFERROR(IF(IF(ROW()-ROW(Lening[[#HEADERS],[BET.NR.]])&lt;=AantalBetalingen,1,0)*IF(GeleendBedrag*Rentevoet*Leningjaren*BegindatumLening&gt;0,1,0),-FV(Rentevoet/12,ROW()-ROW(Lening[[#HEADERS],[BET.NR.]])-1,PMT(Rentevoet/12,AantalBetalingen,GeleendBedrag),GeleendBedrag),""),"")</f>
        <v>6097.601463</v>
      </c>
      <c r="E20" s="49">
        <f>IFERROR(IF(IF(ROW()-ROW(Lening[[#HEADERS],[BET.NR.]])&lt;=AantalBetalingen,1,0)*IF(GeleendBedrag*Rentevoet*Leningjaren*BegindatumLening&gt;0,1,0),-PMT(Rentevoet/12,AantalBetalingen,GeleendBedrag),""),"")</f>
        <v>466.078382</v>
      </c>
      <c r="F20" s="49">
        <f>IFERROR(IF(IF($B20&lt;=AantalBetalingen,1,0)*IF(GeleendBedrag*Rentevoet*Leningjaren*BegindatumLening&gt;0,1,0),-PPMT(Rentevoet/12,ROW()-ROW(Lening[[#HEADERS],[BET.NR.]]),AantalBetalingen,GeleendBedrag),""),"")</f>
        <v>410.1837019</v>
      </c>
      <c r="G20" s="49">
        <f>IFERROR(IF(IF($B20&lt;=AantalBetalingen,1,0)*IF(GeleendBedrag*Rentevoet*Leningjaren*BegindatumLening&gt;0,1,0),-IPMT(Rentevoet/12,$B20,AantalBetalingen,GeleendBedrag),""),"")</f>
        <v>55.89468007</v>
      </c>
      <c r="H20" s="49">
        <f>IFERROR(IF(IF(ROW()-ROW(Lening[[#HEADERS],[BET.NR.]])&lt;=AantalBetalingen,1,0)*IF(GeleendBedrag*Rentevoet*Leningjaren*BegindatumLening&gt;0,1,0),-FV(Rentevoet/12,$B20,PMT(Rentevoet/12,AantalBetalingen,GeleendBedrag),GeleendBedrag),""),"")</f>
        <v>5687.417761</v>
      </c>
    </row>
    <row r="21" ht="22.5" customHeight="1">
      <c r="A21" s="46">
        <f>ROW()-ROW(Lening[[#HEADERS],[BET.NR.]])</f>
        <v>12</v>
      </c>
      <c r="B21" s="50">
        <f>IFERROR(IF(IF(ROW()-ROW(Lening!$9:$9)&lt;=AantalBetalingen,1,0)*IF(GeleendBedrag*Rentevoet*$D$5*BegindatumLening&gt;0,1,0),ROW()-ROW(Lening!$9:$9),""),"")</f>
        <v>12</v>
      </c>
      <c r="C21" s="48" t="str">
        <f>IFERROR(IF(IF(ROW()-ROW(Lening[[#HEADERS],[BET.NR.]])&lt;=AantalBetalingen,1,0)*IF(GeleendBedrag*Rentevoet*Leningjaren*BegindatumLening&gt;0,1,0),TEXT(DATE(YEAR(BegindatumLening),MONTH(BegindatumLening)+B21,DAY(BegindatumLening)),"d-m-yyyy"),""),"")</f>
        <v>1-2-2027</v>
      </c>
      <c r="D21" s="49">
        <f>IFERROR(IF(IF(ROW()-ROW(Lening[[#HEADERS],[BET.NR.]])&lt;=AantalBetalingen,1,0)*IF(GeleendBedrag*Rentevoet*Leningjaren*BegindatumLening&gt;0,1,0),-FV(Rentevoet/12,ROW()-ROW(Lening[[#HEADERS],[BET.NR.]])-1,PMT(Rentevoet/12,AantalBetalingen,GeleendBedrag),GeleendBedrag),""),"")</f>
        <v>5687.417761</v>
      </c>
      <c r="E21" s="49">
        <f>IFERROR(IF(IF(ROW()-ROW(Lening[[#HEADERS],[BET.NR.]])&lt;=AantalBetalingen,1,0)*IF(GeleendBedrag*Rentevoet*Leningjaren*BegindatumLening&gt;0,1,0),-PMT(Rentevoet/12,AantalBetalingen,GeleendBedrag),""),"")</f>
        <v>466.078382</v>
      </c>
      <c r="F21" s="49">
        <f>IFERROR(IF(IF($B21&lt;=AantalBetalingen,1,0)*IF(GeleendBedrag*Rentevoet*Leningjaren*BegindatumLening&gt;0,1,0),-PPMT(Rentevoet/12,ROW()-ROW(Lening[[#HEADERS],[BET.NR.]]),AantalBetalingen,GeleendBedrag),""),"")</f>
        <v>413.9437192</v>
      </c>
      <c r="G21" s="49">
        <f>IFERROR(IF(IF($B21&lt;=AantalBetalingen,1,0)*IF(GeleendBedrag*Rentevoet*Leningjaren*BegindatumLening&gt;0,1,0),-IPMT(Rentevoet/12,$B21,AantalBetalingen,GeleendBedrag),""),"")</f>
        <v>52.13466281</v>
      </c>
      <c r="H21" s="49">
        <f>IFERROR(IF(IF(ROW()-ROW(Lening[[#HEADERS],[BET.NR.]])&lt;=AantalBetalingen,1,0)*IF(GeleendBedrag*Rentevoet*Leningjaren*BegindatumLening&gt;0,1,0),-FV(Rentevoet/12,$B21,PMT(Rentevoet/12,AantalBetalingen,GeleendBedrag),GeleendBedrag),""),"")</f>
        <v>5273.474042</v>
      </c>
    </row>
    <row r="22" ht="22.5" customHeight="1">
      <c r="A22" s="46">
        <f>ROW()-ROW(Lening[[#HEADERS],[BET.NR.]])</f>
        <v>13</v>
      </c>
      <c r="B22" s="50">
        <f>IFERROR(IF(IF(ROW()-ROW(Lening!$9:$9)&lt;=AantalBetalingen,1,0)*IF(GeleendBedrag*Rentevoet*$D$5*BegindatumLening&gt;0,1,0),ROW()-ROW(Lening!$9:$9),""),"")</f>
        <v>13</v>
      </c>
      <c r="C22" s="48" t="str">
        <f>IFERROR(IF(IF(ROW()-ROW(Lening[[#HEADERS],[BET.NR.]])&lt;=AantalBetalingen,1,0)*IF(GeleendBedrag*Rentevoet*Leningjaren*BegindatumLening&gt;0,1,0),TEXT(DATE(YEAR(BegindatumLening),MONTH(BegindatumLening)+B22,DAY(BegindatumLening)),"d-m-yyyy"),""),"")</f>
        <v>1-3-2027</v>
      </c>
      <c r="D22" s="49">
        <f>IFERROR(IF(IF(ROW()-ROW(Lening[[#HEADERS],[BET.NR.]])&lt;=AantalBetalingen,1,0)*IF(GeleendBedrag*Rentevoet*Leningjaren*BegindatumLening&gt;0,1,0),-FV(Rentevoet/12,ROW()-ROW(Lening[[#HEADERS],[BET.NR.]])-1,PMT(Rentevoet/12,AantalBetalingen,GeleendBedrag),GeleendBedrag),""),"")</f>
        <v>5273.474042</v>
      </c>
      <c r="E22" s="49">
        <f>IFERROR(IF(IF(ROW()-ROW(Lening[[#HEADERS],[BET.NR.]])&lt;=AantalBetalingen,1,0)*IF(GeleendBedrag*Rentevoet*Leningjaren*BegindatumLening&gt;0,1,0),-PMT(Rentevoet/12,AantalBetalingen,GeleendBedrag),""),"")</f>
        <v>466.078382</v>
      </c>
      <c r="F22" s="49">
        <f>IFERROR(IF(IF($B22&lt;=AantalBetalingen,1,0)*IF(GeleendBedrag*Rentevoet*Leningjaren*BegindatumLening&gt;0,1,0),-PPMT(Rentevoet/12,ROW()-ROW(Lening[[#HEADERS],[BET.NR.]]),AantalBetalingen,GeleendBedrag),""),"")</f>
        <v>417.7382033</v>
      </c>
      <c r="G22" s="49">
        <f>IFERROR(IF(IF($B22&lt;=AantalBetalingen,1,0)*IF(GeleendBedrag*Rentevoet*Leningjaren*BegindatumLening&gt;0,1,0),-IPMT(Rentevoet/12,$B22,AantalBetalingen,GeleendBedrag),""),"")</f>
        <v>48.34017871</v>
      </c>
      <c r="H22" s="49">
        <f>IFERROR(IF(IF(ROW()-ROW(Lening[[#HEADERS],[BET.NR.]])&lt;=AantalBetalingen,1,0)*IF(GeleendBedrag*Rentevoet*Leningjaren*BegindatumLening&gt;0,1,0),-FV(Rentevoet/12,$B22,PMT(Rentevoet/12,AantalBetalingen,GeleendBedrag),GeleendBedrag),""),"")</f>
        <v>4855.735838</v>
      </c>
    </row>
    <row r="23" ht="22.5" customHeight="1">
      <c r="A23" s="46">
        <f>ROW()-ROW(Lening[[#HEADERS],[BET.NR.]])</f>
        <v>14</v>
      </c>
      <c r="B23" s="50">
        <f>IFERROR(IF(IF(ROW()-ROW(Lening!$9:$9)&lt;=AantalBetalingen,1,0)*IF(GeleendBedrag*Rentevoet*$D$5*BegindatumLening&gt;0,1,0),ROW()-ROW(Lening!$9:$9),""),"")</f>
        <v>14</v>
      </c>
      <c r="C23" s="48" t="str">
        <f>IFERROR(IF(IF(ROW()-ROW(Lening[[#HEADERS],[BET.NR.]])&lt;=AantalBetalingen,1,0)*IF(GeleendBedrag*Rentevoet*Leningjaren*BegindatumLening&gt;0,1,0),TEXT(DATE(YEAR(BegindatumLening),MONTH(BegindatumLening)+B23,DAY(BegindatumLening)),"d-m-yyyy"),""),"")</f>
        <v>1-4-2027</v>
      </c>
      <c r="D23" s="49">
        <f>IFERROR(IF(IF(ROW()-ROW(Lening[[#HEADERS],[BET.NR.]])&lt;=AantalBetalingen,1,0)*IF(GeleendBedrag*Rentevoet*Leningjaren*BegindatumLening&gt;0,1,0),-FV(Rentevoet/12,ROW()-ROW(Lening[[#HEADERS],[BET.NR.]])-1,PMT(Rentevoet/12,AantalBetalingen,GeleendBedrag),GeleendBedrag),""),"")</f>
        <v>4855.735838</v>
      </c>
      <c r="E23" s="49">
        <f>IFERROR(IF(IF(ROW()-ROW(Lening[[#HEADERS],[BET.NR.]])&lt;=AantalBetalingen,1,0)*IF(GeleendBedrag*Rentevoet*Leningjaren*BegindatumLening&gt;0,1,0),-PMT(Rentevoet/12,AantalBetalingen,GeleendBedrag),""),"")</f>
        <v>466.078382</v>
      </c>
      <c r="F23" s="49">
        <f>IFERROR(IF(IF($B23&lt;=AantalBetalingen,1,0)*IF(GeleendBedrag*Rentevoet*Leningjaren*BegindatumLening&gt;0,1,0),-PPMT(Rentevoet/12,ROW()-ROW(Lening[[#HEADERS],[BET.NR.]]),AantalBetalingen,GeleendBedrag),""),"")</f>
        <v>421.5674701</v>
      </c>
      <c r="G23" s="49">
        <f>IFERROR(IF(IF($B23&lt;=AantalBetalingen,1,0)*IF(GeleendBedrag*Rentevoet*Leningjaren*BegindatumLening&gt;0,1,0),-IPMT(Rentevoet/12,$B23,AantalBetalingen,GeleendBedrag),""),"")</f>
        <v>44.51091185</v>
      </c>
      <c r="H23" s="49">
        <f>IFERROR(IF(IF(ROW()-ROW(Lening[[#HEADERS],[BET.NR.]])&lt;=AantalBetalingen,1,0)*IF(GeleendBedrag*Rentevoet*Leningjaren*BegindatumLening&gt;0,1,0),-FV(Rentevoet/12,$B23,PMT(Rentevoet/12,AantalBetalingen,GeleendBedrag),GeleendBedrag),""),"")</f>
        <v>4434.168368</v>
      </c>
    </row>
    <row r="24" ht="22.5" customHeight="1">
      <c r="A24" s="46">
        <f>ROW()-ROW(Lening[[#HEADERS],[BET.NR.]])</f>
        <v>15</v>
      </c>
      <c r="B24" s="50">
        <f>IFERROR(IF(IF(ROW()-ROW(Lening!$9:$9)&lt;=AantalBetalingen,1,0)*IF(GeleendBedrag*Rentevoet*$D$5*BegindatumLening&gt;0,1,0),ROW()-ROW(Lening!$9:$9),""),"")</f>
        <v>15</v>
      </c>
      <c r="C24" s="48" t="str">
        <f>IFERROR(IF(IF(ROW()-ROW(Lening[[#HEADERS],[BET.NR.]])&lt;=AantalBetalingen,1,0)*IF(GeleendBedrag*Rentevoet*Leningjaren*BegindatumLening&gt;0,1,0),TEXT(DATE(YEAR(BegindatumLening),MONTH(BegindatumLening)+B24,DAY(BegindatumLening)),"d-m-yyyy"),""),"")</f>
        <v>1-5-2027</v>
      </c>
      <c r="D24" s="49">
        <f>IFERROR(IF(IF(ROW()-ROW(Lening[[#HEADERS],[BET.NR.]])&lt;=AantalBetalingen,1,0)*IF(GeleendBedrag*Rentevoet*Leningjaren*BegindatumLening&gt;0,1,0),-FV(Rentevoet/12,ROW()-ROW(Lening[[#HEADERS],[BET.NR.]])-1,PMT(Rentevoet/12,AantalBetalingen,GeleendBedrag),GeleendBedrag),""),"")</f>
        <v>4434.168368</v>
      </c>
      <c r="E24" s="49">
        <f>IFERROR(IF(IF(ROW()-ROW(Lening[[#HEADERS],[BET.NR.]])&lt;=AantalBetalingen,1,0)*IF(GeleendBedrag*Rentevoet*Leningjaren*BegindatumLening&gt;0,1,0),-PMT(Rentevoet/12,AantalBetalingen,GeleendBedrag),""),"")</f>
        <v>466.078382</v>
      </c>
      <c r="F24" s="49">
        <f>IFERROR(IF(IF($B24&lt;=AantalBetalingen,1,0)*IF(GeleendBedrag*Rentevoet*Leningjaren*BegindatumLening&gt;0,1,0),-PPMT(Rentevoet/12,ROW()-ROW(Lening[[#HEADERS],[BET.NR.]]),AantalBetalingen,GeleendBedrag),""),"")</f>
        <v>425.4318386</v>
      </c>
      <c r="G24" s="49">
        <f>IFERROR(IF(IF($B24&lt;=AantalBetalingen,1,0)*IF(GeleendBedrag*Rentevoet*Leningjaren*BegindatumLening&gt;0,1,0),-IPMT(Rentevoet/12,$B24,AantalBetalingen,GeleendBedrag),""),"")</f>
        <v>40.64654338</v>
      </c>
      <c r="H24" s="49">
        <f>IFERROR(IF(IF(ROW()-ROW(Lening[[#HEADERS],[BET.NR.]])&lt;=AantalBetalingen,1,0)*IF(GeleendBedrag*Rentevoet*Leningjaren*BegindatumLening&gt;0,1,0),-FV(Rentevoet/12,$B24,PMT(Rentevoet/12,AantalBetalingen,GeleendBedrag),GeleendBedrag),""),"")</f>
        <v>4008.73653</v>
      </c>
    </row>
    <row r="25" ht="22.5" customHeight="1">
      <c r="A25" s="46">
        <f>ROW()-ROW(Lening[[#HEADERS],[BET.NR.]])</f>
        <v>16</v>
      </c>
      <c r="B25" s="50">
        <f>IFERROR(IF(IF(ROW()-ROW(Lening!$9:$9)&lt;=AantalBetalingen,1,0)*IF(GeleendBedrag*Rentevoet*$D$5*BegindatumLening&gt;0,1,0),ROW()-ROW(Lening!$9:$9),""),"")</f>
        <v>16</v>
      </c>
      <c r="C25" s="48" t="str">
        <f>IFERROR(IF(IF(ROW()-ROW(Lening[[#HEADERS],[BET.NR.]])&lt;=AantalBetalingen,1,0)*IF(GeleendBedrag*Rentevoet*Leningjaren*BegindatumLening&gt;0,1,0),TEXT(DATE(YEAR(BegindatumLening),MONTH(BegindatumLening)+B25,DAY(BegindatumLening)),"d-m-yyyy"),""),"")</f>
        <v>1-6-2027</v>
      </c>
      <c r="D25" s="49">
        <f>IFERROR(IF(IF(ROW()-ROW(Lening[[#HEADERS],[BET.NR.]])&lt;=AantalBetalingen,1,0)*IF(GeleendBedrag*Rentevoet*Leningjaren*BegindatumLening&gt;0,1,0),-FV(Rentevoet/12,ROW()-ROW(Lening[[#HEADERS],[BET.NR.]])-1,PMT(Rentevoet/12,AantalBetalingen,GeleendBedrag),GeleendBedrag),""),"")</f>
        <v>4008.73653</v>
      </c>
      <c r="E25" s="49">
        <f>IFERROR(IF(IF(ROW()-ROW(Lening[[#HEADERS],[BET.NR.]])&lt;=AantalBetalingen,1,0)*IF(GeleendBedrag*Rentevoet*Leningjaren*BegindatumLening&gt;0,1,0),-PMT(Rentevoet/12,AantalBetalingen,GeleendBedrag),""),"")</f>
        <v>466.078382</v>
      </c>
      <c r="F25" s="49">
        <f>IFERROR(IF(IF($B25&lt;=AantalBetalingen,1,0)*IF(GeleendBedrag*Rentevoet*Leningjaren*BegindatumLening&gt;0,1,0),-PPMT(Rentevoet/12,ROW()-ROW(Lening[[#HEADERS],[BET.NR.]]),AantalBetalingen,GeleendBedrag),""),"")</f>
        <v>429.3316304</v>
      </c>
      <c r="G25" s="49">
        <f>IFERROR(IF(IF($B25&lt;=AantalBetalingen,1,0)*IF(GeleendBedrag*Rentevoet*Leningjaren*BegindatumLening&gt;0,1,0),-IPMT(Rentevoet/12,$B25,AantalBetalingen,GeleendBedrag),""),"")</f>
        <v>36.74675152</v>
      </c>
      <c r="H25" s="49">
        <f>IFERROR(IF(IF(ROW()-ROW(Lening[[#HEADERS],[BET.NR.]])&lt;=AantalBetalingen,1,0)*IF(GeleendBedrag*Rentevoet*Leningjaren*BegindatumLening&gt;0,1,0),-FV(Rentevoet/12,$B25,PMT(Rentevoet/12,AantalBetalingen,GeleendBedrag),GeleendBedrag),""),"")</f>
        <v>3579.404899</v>
      </c>
    </row>
    <row r="26" ht="22.5" customHeight="1">
      <c r="A26" s="46">
        <f>ROW()-ROW(Lening[[#HEADERS],[BET.NR.]])</f>
        <v>17</v>
      </c>
      <c r="B26" s="50">
        <f>IFERROR(IF(IF(ROW()-ROW(Lening!$9:$9)&lt;=AantalBetalingen,1,0)*IF(GeleendBedrag*Rentevoet*$D$5*BegindatumLening&gt;0,1,0),ROW()-ROW(Lening!$9:$9),""),"")</f>
        <v>17</v>
      </c>
      <c r="C26" s="48" t="str">
        <f>IFERROR(IF(IF(ROW()-ROW(Lening[[#HEADERS],[BET.NR.]])&lt;=AantalBetalingen,1,0)*IF(GeleendBedrag*Rentevoet*Leningjaren*BegindatumLening&gt;0,1,0),TEXT(DATE(YEAR(BegindatumLening),MONTH(BegindatumLening)+B26,DAY(BegindatumLening)),"d-m-yyyy"),""),"")</f>
        <v>1-7-2027</v>
      </c>
      <c r="D26" s="49">
        <f>IFERROR(IF(IF(ROW()-ROW(Lening[[#HEADERS],[BET.NR.]])&lt;=AantalBetalingen,1,0)*IF(GeleendBedrag*Rentevoet*Leningjaren*BegindatumLening&gt;0,1,0),-FV(Rentevoet/12,ROW()-ROW(Lening[[#HEADERS],[BET.NR.]])-1,PMT(Rentevoet/12,AantalBetalingen,GeleendBedrag),GeleendBedrag),""),"")</f>
        <v>3579.404899</v>
      </c>
      <c r="E26" s="49">
        <f>IFERROR(IF(IF(ROW()-ROW(Lening[[#HEADERS],[BET.NR.]])&lt;=AantalBetalingen,1,0)*IF(GeleendBedrag*Rentevoet*Leningjaren*BegindatumLening&gt;0,1,0),-PMT(Rentevoet/12,AantalBetalingen,GeleendBedrag),""),"")</f>
        <v>466.078382</v>
      </c>
      <c r="F26" s="49">
        <f>IFERROR(IF(IF($B26&lt;=AantalBetalingen,1,0)*IF(GeleendBedrag*Rentevoet*Leningjaren*BegindatumLening&gt;0,1,0),-PPMT(Rentevoet/12,ROW()-ROW(Lening[[#HEADERS],[BET.NR.]]),AantalBetalingen,GeleendBedrag),""),"")</f>
        <v>433.2671704</v>
      </c>
      <c r="G26" s="49">
        <f>IFERROR(IF(IF($B26&lt;=AantalBetalingen,1,0)*IF(GeleendBedrag*Rentevoet*Leningjaren*BegindatumLening&gt;0,1,0),-IPMT(Rentevoet/12,$B26,AantalBetalingen,GeleendBedrag),""),"")</f>
        <v>32.81121158</v>
      </c>
      <c r="H26" s="49">
        <f>IFERROR(IF(IF(ROW()-ROW(Lening[[#HEADERS],[BET.NR.]])&lt;=AantalBetalingen,1,0)*IF(GeleendBedrag*Rentevoet*Leningjaren*BegindatumLening&gt;0,1,0),-FV(Rentevoet/12,$B26,PMT(Rentevoet/12,AantalBetalingen,GeleendBedrag),GeleendBedrag),""),"")</f>
        <v>3146.137729</v>
      </c>
    </row>
    <row r="27" ht="22.5" customHeight="1">
      <c r="A27" s="46">
        <f>ROW()-ROW(Lening[[#HEADERS],[BET.NR.]])</f>
        <v>18</v>
      </c>
      <c r="B27" s="50">
        <f>IFERROR(IF(IF(ROW()-ROW(Lening!$9:$9)&lt;=AantalBetalingen,1,0)*IF(GeleendBedrag*Rentevoet*$D$5*BegindatumLening&gt;0,1,0),ROW()-ROW(Lening!$9:$9),""),"")</f>
        <v>18</v>
      </c>
      <c r="C27" s="48" t="str">
        <f>IFERROR(IF(IF(ROW()-ROW(Lening[[#HEADERS],[BET.NR.]])&lt;=AantalBetalingen,1,0)*IF(GeleendBedrag*Rentevoet*Leningjaren*BegindatumLening&gt;0,1,0),TEXT(DATE(YEAR(BegindatumLening),MONTH(BegindatumLening)+B27,DAY(BegindatumLening)),"d-m-yyyy"),""),"")</f>
        <v>1-8-2027</v>
      </c>
      <c r="D27" s="49">
        <f>IFERROR(IF(IF(ROW()-ROW(Lening[[#HEADERS],[BET.NR.]])&lt;=AantalBetalingen,1,0)*IF(GeleendBedrag*Rentevoet*Leningjaren*BegindatumLening&gt;0,1,0),-FV(Rentevoet/12,ROW()-ROW(Lening[[#HEADERS],[BET.NR.]])-1,PMT(Rentevoet/12,AantalBetalingen,GeleendBedrag),GeleendBedrag),""),"")</f>
        <v>3146.137729</v>
      </c>
      <c r="E27" s="49">
        <f>IFERROR(IF(IF(ROW()-ROW(Lening[[#HEADERS],[BET.NR.]])&lt;=AantalBetalingen,1,0)*IF(GeleendBedrag*Rentevoet*Leningjaren*BegindatumLening&gt;0,1,0),-PMT(Rentevoet/12,AantalBetalingen,GeleendBedrag),""),"")</f>
        <v>466.078382</v>
      </c>
      <c r="F27" s="49">
        <f>IFERROR(IF(IF($B27&lt;=AantalBetalingen,1,0)*IF(GeleendBedrag*Rentevoet*Leningjaren*BegindatumLening&gt;0,1,0),-PPMT(Rentevoet/12,ROW()-ROW(Lening[[#HEADERS],[BET.NR.]]),AantalBetalingen,GeleendBedrag),""),"")</f>
        <v>437.2387861</v>
      </c>
      <c r="G27" s="49">
        <f>IFERROR(IF(IF($B27&lt;=AantalBetalingen,1,0)*IF(GeleendBedrag*Rentevoet*Leningjaren*BegindatumLening&gt;0,1,0),-IPMT(Rentevoet/12,$B27,AantalBetalingen,GeleendBedrag),""),"")</f>
        <v>28.83959585</v>
      </c>
      <c r="H27" s="49">
        <f>IFERROR(IF(IF(ROW()-ROW(Lening[[#HEADERS],[BET.NR.]])&lt;=AantalBetalingen,1,0)*IF(GeleendBedrag*Rentevoet*Leningjaren*BegindatumLening&gt;0,1,0),-FV(Rentevoet/12,$B27,PMT(Rentevoet/12,AantalBetalingen,GeleendBedrag),GeleendBedrag),""),"")</f>
        <v>2708.898943</v>
      </c>
    </row>
    <row r="28" ht="22.5" customHeight="1">
      <c r="A28" s="46">
        <f>ROW()-ROW(Lening[[#HEADERS],[BET.NR.]])</f>
        <v>19</v>
      </c>
      <c r="B28" s="50">
        <f>IFERROR(IF(IF(ROW()-ROW(Lening!$9:$9)&lt;=AantalBetalingen,1,0)*IF(GeleendBedrag*Rentevoet*$D$5*BegindatumLening&gt;0,1,0),ROW()-ROW(Lening!$9:$9),""),"")</f>
        <v>19</v>
      </c>
      <c r="C28" s="48" t="str">
        <f>IFERROR(IF(IF(ROW()-ROW(Lening[[#HEADERS],[BET.NR.]])&lt;=AantalBetalingen,1,0)*IF(GeleendBedrag*Rentevoet*Leningjaren*BegindatumLening&gt;0,1,0),TEXT(DATE(YEAR(BegindatumLening),MONTH(BegindatumLening)+B28,DAY(BegindatumLening)),"d-m-yyyy"),""),"")</f>
        <v>1-9-2027</v>
      </c>
      <c r="D28" s="49">
        <f>IFERROR(IF(IF(ROW()-ROW(Lening[[#HEADERS],[BET.NR.]])&lt;=AantalBetalingen,1,0)*IF(GeleendBedrag*Rentevoet*Leningjaren*BegindatumLening&gt;0,1,0),-FV(Rentevoet/12,ROW()-ROW(Lening[[#HEADERS],[BET.NR.]])-1,PMT(Rentevoet/12,AantalBetalingen,GeleendBedrag),GeleendBedrag),""),"")</f>
        <v>2708.898943</v>
      </c>
      <c r="E28" s="49">
        <f>IFERROR(IF(IF(ROW()-ROW(Lening[[#HEADERS],[BET.NR.]])&lt;=AantalBetalingen,1,0)*IF(GeleendBedrag*Rentevoet*Leningjaren*BegindatumLening&gt;0,1,0),-PMT(Rentevoet/12,AantalBetalingen,GeleendBedrag),""),"")</f>
        <v>466.078382</v>
      </c>
      <c r="F28" s="49">
        <f>IFERROR(IF(IF($B28&lt;=AantalBetalingen,1,0)*IF(GeleendBedrag*Rentevoet*Leningjaren*BegindatumLening&gt;0,1,0),-PPMT(Rentevoet/12,ROW()-ROW(Lening[[#HEADERS],[BET.NR.]]),AantalBetalingen,GeleendBedrag),""),"")</f>
        <v>441.2468083</v>
      </c>
      <c r="G28" s="49">
        <f>IFERROR(IF(IF($B28&lt;=AantalBetalingen,1,0)*IF(GeleendBedrag*Rentevoet*Leningjaren*BegindatumLening&gt;0,1,0),-IPMT(Rentevoet/12,$B28,AantalBetalingen,GeleendBedrag),""),"")</f>
        <v>24.83157364</v>
      </c>
      <c r="H28" s="49">
        <f>IFERROR(IF(IF(ROW()-ROW(Lening[[#HEADERS],[BET.NR.]])&lt;=AantalBetalingen,1,0)*IF(GeleendBedrag*Rentevoet*Leningjaren*BegindatumLening&gt;0,1,0),-FV(Rentevoet/12,$B28,PMT(Rentevoet/12,AantalBetalingen,GeleendBedrag),GeleendBedrag),""),"")</f>
        <v>2267.652134</v>
      </c>
    </row>
    <row r="29" ht="22.5" customHeight="1">
      <c r="A29" s="46">
        <f>ROW()-ROW(Lening[[#HEADERS],[BET.NR.]])</f>
        <v>20</v>
      </c>
      <c r="B29" s="50">
        <f>IFERROR(IF(IF(ROW()-ROW(Lening!$9:$9)&lt;=AantalBetalingen,1,0)*IF(GeleendBedrag*Rentevoet*$D$5*BegindatumLening&gt;0,1,0),ROW()-ROW(Lening!$9:$9),""),"")</f>
        <v>20</v>
      </c>
      <c r="C29" s="48" t="str">
        <f>IFERROR(IF(IF(ROW()-ROW(Lening[[#HEADERS],[BET.NR.]])&lt;=AantalBetalingen,1,0)*IF(GeleendBedrag*Rentevoet*Leningjaren*BegindatumLening&gt;0,1,0),TEXT(DATE(YEAR(BegindatumLening),MONTH(BegindatumLening)+B29,DAY(BegindatumLening)),"d-m-yyyy"),""),"")</f>
        <v>1-10-2027</v>
      </c>
      <c r="D29" s="49">
        <f>IFERROR(IF(IF(ROW()-ROW(Lening[[#HEADERS],[BET.NR.]])&lt;=AantalBetalingen,1,0)*IF(GeleendBedrag*Rentevoet*Leningjaren*BegindatumLening&gt;0,1,0),-FV(Rentevoet/12,ROW()-ROW(Lening[[#HEADERS],[BET.NR.]])-1,PMT(Rentevoet/12,AantalBetalingen,GeleendBedrag),GeleendBedrag),""),"")</f>
        <v>2267.652134</v>
      </c>
      <c r="E29" s="49">
        <f>IFERROR(IF(IF(ROW()-ROW(Lening[[#HEADERS],[BET.NR.]])&lt;=AantalBetalingen,1,0)*IF(GeleendBedrag*Rentevoet*Leningjaren*BegindatumLening&gt;0,1,0),-PMT(Rentevoet/12,AantalBetalingen,GeleendBedrag),""),"")</f>
        <v>466.078382</v>
      </c>
      <c r="F29" s="49">
        <f>IFERROR(IF(IF($B29&lt;=AantalBetalingen,1,0)*IF(GeleendBedrag*Rentevoet*Leningjaren*BegindatumLening&gt;0,1,0),-PPMT(Rentevoet/12,ROW()-ROW(Lening[[#HEADERS],[BET.NR.]]),AantalBetalingen,GeleendBedrag),""),"")</f>
        <v>445.2915707</v>
      </c>
      <c r="G29" s="49">
        <f>IFERROR(IF(IF($B29&lt;=AantalBetalingen,1,0)*IF(GeleendBedrag*Rentevoet*Leningjaren*BegindatumLening&gt;0,1,0),-IPMT(Rentevoet/12,$B29,AantalBetalingen,GeleendBedrag),""),"")</f>
        <v>20.78681123</v>
      </c>
      <c r="H29" s="49">
        <f>IFERROR(IF(IF(ROW()-ROW(Lening[[#HEADERS],[BET.NR.]])&lt;=AantalBetalingen,1,0)*IF(GeleendBedrag*Rentevoet*Leningjaren*BegindatumLening&gt;0,1,0),-FV(Rentevoet/12,$B29,PMT(Rentevoet/12,AantalBetalingen,GeleendBedrag),GeleendBedrag),""),"")</f>
        <v>1822.360564</v>
      </c>
    </row>
    <row r="30" ht="22.5" customHeight="1">
      <c r="A30" s="46">
        <f>ROW()-ROW(Lening[[#HEADERS],[BET.NR.]])</f>
        <v>21</v>
      </c>
      <c r="B30" s="50">
        <f>IFERROR(IF(IF(ROW()-ROW(Lening!$9:$9)&lt;=AantalBetalingen,1,0)*IF(GeleendBedrag*Rentevoet*$D$5*BegindatumLening&gt;0,1,0),ROW()-ROW(Lening!$9:$9),""),"")</f>
        <v>21</v>
      </c>
      <c r="C30" s="48" t="str">
        <f>IFERROR(IF(IF(ROW()-ROW(Lening[[#HEADERS],[BET.NR.]])&lt;=AantalBetalingen,1,0)*IF(GeleendBedrag*Rentevoet*Leningjaren*BegindatumLening&gt;0,1,0),TEXT(DATE(YEAR(BegindatumLening),MONTH(BegindatumLening)+B30,DAY(BegindatumLening)),"d-m-yyyy"),""),"")</f>
        <v>1-11-2027</v>
      </c>
      <c r="D30" s="49">
        <f>IFERROR(IF(IF(ROW()-ROW(Lening[[#HEADERS],[BET.NR.]])&lt;=AantalBetalingen,1,0)*IF(GeleendBedrag*Rentevoet*Leningjaren*BegindatumLening&gt;0,1,0),-FV(Rentevoet/12,ROW()-ROW(Lening[[#HEADERS],[BET.NR.]])-1,PMT(Rentevoet/12,AantalBetalingen,GeleendBedrag),GeleendBedrag),""),"")</f>
        <v>1822.360564</v>
      </c>
      <c r="E30" s="49">
        <f>IFERROR(IF(IF(ROW()-ROW(Lening[[#HEADERS],[BET.NR.]])&lt;=AantalBetalingen,1,0)*IF(GeleendBedrag*Rentevoet*Leningjaren*BegindatumLening&gt;0,1,0),-PMT(Rentevoet/12,AantalBetalingen,GeleendBedrag),""),"")</f>
        <v>466.078382</v>
      </c>
      <c r="F30" s="49">
        <f>IFERROR(IF(IF($B30&lt;=AantalBetalingen,1,0)*IF(GeleendBedrag*Rentevoet*Leningjaren*BegindatumLening&gt;0,1,0),-PPMT(Rentevoet/12,ROW()-ROW(Lening[[#HEADERS],[BET.NR.]]),AantalBetalingen,GeleendBedrag),""),"")</f>
        <v>449.3734101</v>
      </c>
      <c r="G30" s="49">
        <f>IFERROR(IF(IF($B30&lt;=AantalBetalingen,1,0)*IF(GeleendBedrag*Rentevoet*Leningjaren*BegindatumLening&gt;0,1,0),-IPMT(Rentevoet/12,$B30,AantalBetalingen,GeleendBedrag),""),"")</f>
        <v>16.70497183</v>
      </c>
      <c r="H30" s="49">
        <f>IFERROR(IF(IF(ROW()-ROW(Lening[[#HEADERS],[BET.NR.]])&lt;=AantalBetalingen,1,0)*IF(GeleendBedrag*Rentevoet*Leningjaren*BegindatumLening&gt;0,1,0),-FV(Rentevoet/12,$B30,PMT(Rentevoet/12,AantalBetalingen,GeleendBedrag),GeleendBedrag),""),"")</f>
        <v>1372.987153</v>
      </c>
    </row>
    <row r="31" ht="22.5" customHeight="1">
      <c r="A31" s="46">
        <f>ROW()-ROW(Lening[[#HEADERS],[BET.NR.]])</f>
        <v>22</v>
      </c>
      <c r="B31" s="50">
        <f>IFERROR(IF(IF(ROW()-ROW(Lening!$9:$9)&lt;=AantalBetalingen,1,0)*IF(GeleendBedrag*Rentevoet*$D$5*BegindatumLening&gt;0,1,0),ROW()-ROW(Lening!$9:$9),""),"")</f>
        <v>22</v>
      </c>
      <c r="C31" s="48" t="str">
        <f>IFERROR(IF(IF(ROW()-ROW(Lening[[#HEADERS],[BET.NR.]])&lt;=AantalBetalingen,1,0)*IF(GeleendBedrag*Rentevoet*Leningjaren*BegindatumLening&gt;0,1,0),TEXT(DATE(YEAR(BegindatumLening),MONTH(BegindatumLening)+B31,DAY(BegindatumLening)),"d-m-yyyy"),""),"")</f>
        <v>1-12-2027</v>
      </c>
      <c r="D31" s="49">
        <f>IFERROR(IF(IF(ROW()-ROW(Lening[[#HEADERS],[BET.NR.]])&lt;=AantalBetalingen,1,0)*IF(GeleendBedrag*Rentevoet*Leningjaren*BegindatumLening&gt;0,1,0),-FV(Rentevoet/12,ROW()-ROW(Lening[[#HEADERS],[BET.NR.]])-1,PMT(Rentevoet/12,AantalBetalingen,GeleendBedrag),GeleendBedrag),""),"")</f>
        <v>1372.987153</v>
      </c>
      <c r="E31" s="49">
        <f>IFERROR(IF(IF(ROW()-ROW(Lening[[#HEADERS],[BET.NR.]])&lt;=AantalBetalingen,1,0)*IF(GeleendBedrag*Rentevoet*Leningjaren*BegindatumLening&gt;0,1,0),-PMT(Rentevoet/12,AantalBetalingen,GeleendBedrag),""),"")</f>
        <v>466.078382</v>
      </c>
      <c r="F31" s="49">
        <f>IFERROR(IF(IF($B31&lt;=AantalBetalingen,1,0)*IF(GeleendBedrag*Rentevoet*Leningjaren*BegindatumLening&gt;0,1,0),-PPMT(Rentevoet/12,ROW()-ROW(Lening[[#HEADERS],[BET.NR.]]),AantalBetalingen,GeleendBedrag),""),"")</f>
        <v>453.4926664</v>
      </c>
      <c r="G31" s="49">
        <f>IFERROR(IF(IF($B31&lt;=AantalBetalingen,1,0)*IF(GeleendBedrag*Rentevoet*Leningjaren*BegindatumLening&gt;0,1,0),-IPMT(Rentevoet/12,$B31,AantalBetalingen,GeleendBedrag),""),"")</f>
        <v>12.58571557</v>
      </c>
      <c r="H31" s="49">
        <f>IFERROR(IF(IF(ROW()-ROW(Lening[[#HEADERS],[BET.NR.]])&lt;=AantalBetalingen,1,0)*IF(GeleendBedrag*Rentevoet*Leningjaren*BegindatumLening&gt;0,1,0),-FV(Rentevoet/12,$B31,PMT(Rentevoet/12,AantalBetalingen,GeleendBedrag),GeleendBedrag),""),"")</f>
        <v>919.4944871</v>
      </c>
    </row>
    <row r="32" ht="22.5" customHeight="1">
      <c r="A32" s="46">
        <f>ROW()-ROW(Lening[[#HEADERS],[BET.NR.]])</f>
        <v>23</v>
      </c>
      <c r="B32" s="50">
        <f>IFERROR(IF(IF(ROW()-ROW(Lening!$9:$9)&lt;=AantalBetalingen,1,0)*IF(GeleendBedrag*Rentevoet*$D$5*BegindatumLening&gt;0,1,0),ROW()-ROW(Lening!$9:$9),""),"")</f>
        <v>23</v>
      </c>
      <c r="C32" s="48" t="str">
        <f>IFERROR(IF(IF(ROW()-ROW(Lening[[#HEADERS],[BET.NR.]])&lt;=AantalBetalingen,1,0)*IF(GeleendBedrag*Rentevoet*Leningjaren*BegindatumLening&gt;0,1,0),TEXT(DATE(YEAR(BegindatumLening),MONTH(BegindatumLening)+B32,DAY(BegindatumLening)),"d-m-yyyy"),""),"")</f>
        <v>1-1-2028</v>
      </c>
      <c r="D32" s="49">
        <f>IFERROR(IF(IF(ROW()-ROW(Lening[[#HEADERS],[BET.NR.]])&lt;=AantalBetalingen,1,0)*IF(GeleendBedrag*Rentevoet*Leningjaren*BegindatumLening&gt;0,1,0),-FV(Rentevoet/12,ROW()-ROW(Lening[[#HEADERS],[BET.NR.]])-1,PMT(Rentevoet/12,AantalBetalingen,GeleendBedrag),GeleendBedrag),""),"")</f>
        <v>919.4944871</v>
      </c>
      <c r="E32" s="49">
        <f>IFERROR(IF(IF(ROW()-ROW(Lening[[#HEADERS],[BET.NR.]])&lt;=AantalBetalingen,1,0)*IF(GeleendBedrag*Rentevoet*Leningjaren*BegindatumLening&gt;0,1,0),-PMT(Rentevoet/12,AantalBetalingen,GeleendBedrag),""),"")</f>
        <v>466.078382</v>
      </c>
      <c r="F32" s="49">
        <f>IFERROR(IF(IF($B32&lt;=AantalBetalingen,1,0)*IF(GeleendBedrag*Rentevoet*Leningjaren*BegindatumLening&gt;0,1,0),-PPMT(Rentevoet/12,ROW()-ROW(Lening[[#HEADERS],[BET.NR.]]),AantalBetalingen,GeleendBedrag),""),"")</f>
        <v>457.6496825</v>
      </c>
      <c r="G32" s="49">
        <f>IFERROR(IF(IF($B32&lt;=AantalBetalingen,1,0)*IF(GeleendBedrag*Rentevoet*Leningjaren*BegindatumLening&gt;0,1,0),-IPMT(Rentevoet/12,$B32,AantalBetalingen,GeleendBedrag),""),"")</f>
        <v>8.428699465</v>
      </c>
      <c r="H32" s="49">
        <f>IFERROR(IF(IF(ROW()-ROW(Lening[[#HEADERS],[BET.NR.]])&lt;=AantalBetalingen,1,0)*IF(GeleendBedrag*Rentevoet*Leningjaren*BegindatumLening&gt;0,1,0),-FV(Rentevoet/12,$B32,PMT(Rentevoet/12,AantalBetalingen,GeleendBedrag),GeleendBedrag),""),"")</f>
        <v>461.8448046</v>
      </c>
    </row>
    <row r="33" ht="22.5" customHeight="1">
      <c r="A33" s="46">
        <f>ROW()-ROW(Lening[[#HEADERS],[BET.NR.]])</f>
        <v>24</v>
      </c>
      <c r="B33" s="50">
        <f>IFERROR(IF(IF(ROW()-ROW(Lening!$9:$9)&lt;=AantalBetalingen,1,0)*IF(GeleendBedrag*Rentevoet*$D$5*BegindatumLening&gt;0,1,0),ROW()-ROW(Lening!$9:$9),""),"")</f>
        <v>24</v>
      </c>
      <c r="C33" s="48" t="str">
        <f>IFERROR(IF(IF(ROW()-ROW(Lening[[#HEADERS],[BET.NR.]])&lt;=AantalBetalingen,1,0)*IF(GeleendBedrag*Rentevoet*Leningjaren*BegindatumLening&gt;0,1,0),TEXT(DATE(YEAR(BegindatumLening),MONTH(BegindatumLening)+B33,DAY(BegindatumLening)),"d-m-yyyy"),""),"")</f>
        <v>1-2-2028</v>
      </c>
      <c r="D33" s="49">
        <f>IFERROR(IF(IF(ROW()-ROW(Lening[[#HEADERS],[BET.NR.]])&lt;=AantalBetalingen,1,0)*IF(GeleendBedrag*Rentevoet*Leningjaren*BegindatumLening&gt;0,1,0),-FV(Rentevoet/12,ROW()-ROW(Lening[[#HEADERS],[BET.NR.]])-1,PMT(Rentevoet/12,AantalBetalingen,GeleendBedrag),GeleendBedrag),""),"")</f>
        <v>461.8448046</v>
      </c>
      <c r="E33" s="49">
        <f>IFERROR(IF(IF(ROW()-ROW(Lening[[#HEADERS],[BET.NR.]])&lt;=AantalBetalingen,1,0)*IF(GeleendBedrag*Rentevoet*Leningjaren*BegindatumLening&gt;0,1,0),-PMT(Rentevoet/12,AantalBetalingen,GeleendBedrag),""),"")</f>
        <v>466.078382</v>
      </c>
      <c r="F33" s="49">
        <f>IFERROR(IF(IF($B33&lt;=AantalBetalingen,1,0)*IF(GeleendBedrag*Rentevoet*Leningjaren*BegindatumLening&gt;0,1,0),-PPMT(Rentevoet/12,ROW()-ROW(Lening[[#HEADERS],[BET.NR.]]),AantalBetalingen,GeleendBedrag),""),"")</f>
        <v>461.8448046</v>
      </c>
      <c r="G33" s="49">
        <f>IFERROR(IF(IF($B33&lt;=AantalBetalingen,1,0)*IF(GeleendBedrag*Rentevoet*Leningjaren*BegindatumLening&gt;0,1,0),-IPMT(Rentevoet/12,$B33,AantalBetalingen,GeleendBedrag),""),"")</f>
        <v>4.233577375</v>
      </c>
      <c r="H33" s="49">
        <f>IFERROR(IF(IF(ROW()-ROW(Lening[[#HEADERS],[BET.NR.]])&lt;=AantalBetalingen,1,0)*IF(GeleendBedrag*Rentevoet*Leningjaren*BegindatumLening&gt;0,1,0),-FV(Rentevoet/12,$B33,PMT(Rentevoet/12,AantalBetalingen,GeleendBedrag),GeleendBedrag),""),"")</f>
        <v>0</v>
      </c>
    </row>
    <row r="34" ht="22.5" customHeight="1">
      <c r="A34" s="46">
        <f>ROW()-ROW(Lening[[#HEADERS],[BET.NR.]])</f>
        <v>25</v>
      </c>
      <c r="B34" s="50" t="str">
        <f>IFERROR(IF(IF(ROW()-ROW(Lening!$9:$9)&lt;=AantalBetalingen,1,0)*IF(GeleendBedrag*Rentevoet*$D$5*BegindatumLening&gt;0,1,0),ROW()-ROW(Lening!$9:$9),""),"")</f>
        <v/>
      </c>
      <c r="C34" s="48" t="str">
        <f>IFERROR(IF(IF(ROW()-ROW(Lening[[#HEADERS],[BET.NR.]])&lt;=AantalBetalingen,1,0)*IF(GeleendBedrag*Rentevoet*Leningjaren*BegindatumLening&gt;0,1,0),TEXT(DATE(YEAR(BegindatumLening),MONTH(BegindatumLening)+B34,DAY(BegindatumLening)),"d-m-yyyy"),""),"")</f>
        <v/>
      </c>
      <c r="D34" s="49" t="str">
        <f>IFERROR(IF(IF(ROW()-ROW(Lening[[#HEADERS],[BET.NR.]])&lt;=AantalBetalingen,1,0)*IF(GeleendBedrag*Rentevoet*Leningjaren*BegindatumLening&gt;0,1,0),-FV(Rentevoet/12,ROW()-ROW(Lening[[#HEADERS],[BET.NR.]])-1,PMT(Rentevoet/12,AantalBetalingen,GeleendBedrag),GeleendBedrag),""),"")</f>
        <v/>
      </c>
      <c r="E34" s="49" t="str">
        <f>IFERROR(IF(IF(ROW()-ROW(Lening[[#HEADERS],[BET.NR.]])&lt;=AantalBetalingen,1,0)*IF(GeleendBedrag*Rentevoet*Leningjaren*BegindatumLening&gt;0,1,0),-PMT(Rentevoet/12,AantalBetalingen,GeleendBedrag),""),"")</f>
        <v/>
      </c>
      <c r="F34" s="49" t="str">
        <f>IFERROR(IF(IF($B34&lt;=AantalBetalingen,1,0)*IF(GeleendBedrag*Rentevoet*Leningjaren*BegindatumLening&gt;0,1,0),-PPMT(Rentevoet/12,ROW()-ROW(Lening[[#HEADERS],[BET.NR.]]),AantalBetalingen,GeleendBedrag),""),"")</f>
        <v/>
      </c>
      <c r="G34" s="49" t="str">
        <f>IFERROR(IF(IF($B34&lt;=AantalBetalingen,1,0)*IF(GeleendBedrag*Rentevoet*Leningjaren*BegindatumLening&gt;0,1,0),-IPMT(Rentevoet/12,$B34,AantalBetalingen,GeleendBedrag),""),"")</f>
        <v/>
      </c>
      <c r="H34" s="49" t="str">
        <f>IFERROR(IF(IF(ROW()-ROW(Lening[[#HEADERS],[BET.NR.]])&lt;=AantalBetalingen,1,0)*IF(GeleendBedrag*Rentevoet*Leningjaren*BegindatumLening&gt;0,1,0),-FV(Rentevoet/12,$B34,PMT(Rentevoet/12,AantalBetalingen,GeleendBedrag),GeleendBedrag),""),"")</f>
        <v/>
      </c>
    </row>
    <row r="35" ht="22.5" customHeight="1">
      <c r="A35" s="46">
        <f>ROW()-ROW(Lening[[#HEADERS],[BET.NR.]])</f>
        <v>26</v>
      </c>
      <c r="B35" s="50" t="str">
        <f>IFERROR(IF(IF(ROW()-ROW(Lening!$9:$9)&lt;=AantalBetalingen,1,0)*IF(GeleendBedrag*Rentevoet*$D$5*BegindatumLening&gt;0,1,0),ROW()-ROW(Lening!$9:$9),""),"")</f>
        <v/>
      </c>
      <c r="C35" s="48" t="str">
        <f>IFERROR(IF(IF(ROW()-ROW(Lening[[#HEADERS],[BET.NR.]])&lt;=AantalBetalingen,1,0)*IF(GeleendBedrag*Rentevoet*Leningjaren*BegindatumLening&gt;0,1,0),TEXT(DATE(YEAR(BegindatumLening),MONTH(BegindatumLening)+B35,DAY(BegindatumLening)),"d-m-yyyy"),""),"")</f>
        <v/>
      </c>
      <c r="D35" s="49" t="str">
        <f>IFERROR(IF(IF(ROW()-ROW(Lening[[#HEADERS],[BET.NR.]])&lt;=AantalBetalingen,1,0)*IF(GeleendBedrag*Rentevoet*Leningjaren*BegindatumLening&gt;0,1,0),-FV(Rentevoet/12,ROW()-ROW(Lening[[#HEADERS],[BET.NR.]])-1,PMT(Rentevoet/12,AantalBetalingen,GeleendBedrag),GeleendBedrag),""),"")</f>
        <v/>
      </c>
      <c r="E35" s="49" t="str">
        <f>IFERROR(IF(IF(ROW()-ROW(Lening[[#HEADERS],[BET.NR.]])&lt;=AantalBetalingen,1,0)*IF(GeleendBedrag*Rentevoet*Leningjaren*BegindatumLening&gt;0,1,0),-PMT(Rentevoet/12,AantalBetalingen,GeleendBedrag),""),"")</f>
        <v/>
      </c>
      <c r="F35" s="49" t="str">
        <f>IFERROR(IF(IF($B35&lt;=AantalBetalingen,1,0)*IF(GeleendBedrag*Rentevoet*Leningjaren*BegindatumLening&gt;0,1,0),-PPMT(Rentevoet/12,ROW()-ROW(Lening[[#HEADERS],[BET.NR.]]),AantalBetalingen,GeleendBedrag),""),"")</f>
        <v/>
      </c>
      <c r="G35" s="49" t="str">
        <f>IFERROR(IF(IF($B35&lt;=AantalBetalingen,1,0)*IF(GeleendBedrag*Rentevoet*Leningjaren*BegindatumLening&gt;0,1,0),-IPMT(Rentevoet/12,$B35,AantalBetalingen,GeleendBedrag),""),"")</f>
        <v/>
      </c>
      <c r="H35" s="49" t="str">
        <f>IFERROR(IF(IF(ROW()-ROW(Lening[[#HEADERS],[BET.NR.]])&lt;=AantalBetalingen,1,0)*IF(GeleendBedrag*Rentevoet*Leningjaren*BegindatumLening&gt;0,1,0),-FV(Rentevoet/12,$B35,PMT(Rentevoet/12,AantalBetalingen,GeleendBedrag),GeleendBedrag),""),"")</f>
        <v/>
      </c>
    </row>
    <row r="36" ht="22.5" customHeight="1">
      <c r="A36" s="46">
        <f>ROW()-ROW(Lening[[#HEADERS],[BET.NR.]])</f>
        <v>27</v>
      </c>
      <c r="B36" s="50" t="str">
        <f>IFERROR(IF(IF(ROW()-ROW(Lening!$9:$9)&lt;=AantalBetalingen,1,0)*IF(GeleendBedrag*Rentevoet*$D$5*BegindatumLening&gt;0,1,0),ROW()-ROW(Lening!$9:$9),""),"")</f>
        <v/>
      </c>
      <c r="C36" s="48" t="str">
        <f>IFERROR(IF(IF(ROW()-ROW(Lening[[#HEADERS],[BET.NR.]])&lt;=AantalBetalingen,1,0)*IF(GeleendBedrag*Rentevoet*Leningjaren*BegindatumLening&gt;0,1,0),TEXT(DATE(YEAR(BegindatumLening),MONTH(BegindatumLening)+B36,DAY(BegindatumLening)),"d-m-yyyy"),""),"")</f>
        <v/>
      </c>
      <c r="D36" s="49" t="str">
        <f>IFERROR(IF(IF(ROW()-ROW(Lening[[#HEADERS],[BET.NR.]])&lt;=AantalBetalingen,1,0)*IF(GeleendBedrag*Rentevoet*Leningjaren*BegindatumLening&gt;0,1,0),-FV(Rentevoet/12,ROW()-ROW(Lening[[#HEADERS],[BET.NR.]])-1,PMT(Rentevoet/12,AantalBetalingen,GeleendBedrag),GeleendBedrag),""),"")</f>
        <v/>
      </c>
      <c r="E36" s="49" t="str">
        <f>IFERROR(IF(IF(ROW()-ROW(Lening[[#HEADERS],[BET.NR.]])&lt;=AantalBetalingen,1,0)*IF(GeleendBedrag*Rentevoet*Leningjaren*BegindatumLening&gt;0,1,0),-PMT(Rentevoet/12,AantalBetalingen,GeleendBedrag),""),"")</f>
        <v/>
      </c>
      <c r="F36" s="49" t="str">
        <f>IFERROR(IF(IF($B36&lt;=AantalBetalingen,1,0)*IF(GeleendBedrag*Rentevoet*Leningjaren*BegindatumLening&gt;0,1,0),-PPMT(Rentevoet/12,ROW()-ROW(Lening[[#HEADERS],[BET.NR.]]),AantalBetalingen,GeleendBedrag),""),"")</f>
        <v/>
      </c>
      <c r="G36" s="49" t="str">
        <f>IFERROR(IF(IF($B36&lt;=AantalBetalingen,1,0)*IF(GeleendBedrag*Rentevoet*Leningjaren*BegindatumLening&gt;0,1,0),-IPMT(Rentevoet/12,$B36,AantalBetalingen,GeleendBedrag),""),"")</f>
        <v/>
      </c>
      <c r="H36" s="49" t="str">
        <f>IFERROR(IF(IF(ROW()-ROW(Lening[[#HEADERS],[BET.NR.]])&lt;=AantalBetalingen,1,0)*IF(GeleendBedrag*Rentevoet*Leningjaren*BegindatumLening&gt;0,1,0),-FV(Rentevoet/12,$B36,PMT(Rentevoet/12,AantalBetalingen,GeleendBedrag),GeleendBedrag),""),"")</f>
        <v/>
      </c>
    </row>
    <row r="37" ht="22.5" customHeight="1">
      <c r="A37" s="46">
        <f>ROW()-ROW(Lening[[#HEADERS],[BET.NR.]])</f>
        <v>28</v>
      </c>
      <c r="B37" s="50" t="str">
        <f>IFERROR(IF(IF(ROW()-ROW(Lening!$9:$9)&lt;=AantalBetalingen,1,0)*IF(GeleendBedrag*Rentevoet*$D$5*BegindatumLening&gt;0,1,0),ROW()-ROW(Lening!$9:$9),""),"")</f>
        <v/>
      </c>
      <c r="C37" s="48" t="str">
        <f>IFERROR(IF(IF(ROW()-ROW(Lening[[#HEADERS],[BET.NR.]])&lt;=AantalBetalingen,1,0)*IF(GeleendBedrag*Rentevoet*Leningjaren*BegindatumLening&gt;0,1,0),TEXT(DATE(YEAR(BegindatumLening),MONTH(BegindatumLening)+B37,DAY(BegindatumLening)),"d-m-yyyy"),""),"")</f>
        <v/>
      </c>
      <c r="D37" s="49" t="str">
        <f>IFERROR(IF(IF(ROW()-ROW(Lening[[#HEADERS],[BET.NR.]])&lt;=AantalBetalingen,1,0)*IF(GeleendBedrag*Rentevoet*Leningjaren*BegindatumLening&gt;0,1,0),-FV(Rentevoet/12,ROW()-ROW(Lening[[#HEADERS],[BET.NR.]])-1,PMT(Rentevoet/12,AantalBetalingen,GeleendBedrag),GeleendBedrag),""),"")</f>
        <v/>
      </c>
      <c r="E37" s="49" t="str">
        <f>IFERROR(IF(IF(ROW()-ROW(Lening[[#HEADERS],[BET.NR.]])&lt;=AantalBetalingen,1,0)*IF(GeleendBedrag*Rentevoet*Leningjaren*BegindatumLening&gt;0,1,0),-PMT(Rentevoet/12,AantalBetalingen,GeleendBedrag),""),"")</f>
        <v/>
      </c>
      <c r="F37" s="49" t="str">
        <f>IFERROR(IF(IF($B37&lt;=AantalBetalingen,1,0)*IF(GeleendBedrag*Rentevoet*Leningjaren*BegindatumLening&gt;0,1,0),-PPMT(Rentevoet/12,ROW()-ROW(Lening[[#HEADERS],[BET.NR.]]),AantalBetalingen,GeleendBedrag),""),"")</f>
        <v/>
      </c>
      <c r="G37" s="49" t="str">
        <f>IFERROR(IF(IF($B37&lt;=AantalBetalingen,1,0)*IF(GeleendBedrag*Rentevoet*Leningjaren*BegindatumLening&gt;0,1,0),-IPMT(Rentevoet/12,$B37,AantalBetalingen,GeleendBedrag),""),"")</f>
        <v/>
      </c>
      <c r="H37" s="49" t="str">
        <f>IFERROR(IF(IF(ROW()-ROW(Lening[[#HEADERS],[BET.NR.]])&lt;=AantalBetalingen,1,0)*IF(GeleendBedrag*Rentevoet*Leningjaren*BegindatumLening&gt;0,1,0),-FV(Rentevoet/12,$B37,PMT(Rentevoet/12,AantalBetalingen,GeleendBedrag),GeleendBedrag),""),"")</f>
        <v/>
      </c>
    </row>
    <row r="38" ht="22.5" customHeight="1">
      <c r="A38" s="46">
        <f>ROW()-ROW(Lening[[#HEADERS],[BET.NR.]])</f>
        <v>29</v>
      </c>
      <c r="B38" s="50" t="str">
        <f>IFERROR(IF(IF(ROW()-ROW(Lening!$9:$9)&lt;=AantalBetalingen,1,0)*IF(GeleendBedrag*Rentevoet*$D$5*BegindatumLening&gt;0,1,0),ROW()-ROW(Lening!$9:$9),""),"")</f>
        <v/>
      </c>
      <c r="C38" s="48" t="str">
        <f>IFERROR(IF(IF(ROW()-ROW(Lening[[#HEADERS],[BET.NR.]])&lt;=AantalBetalingen,1,0)*IF(GeleendBedrag*Rentevoet*Leningjaren*BegindatumLening&gt;0,1,0),TEXT(DATE(YEAR(BegindatumLening),MONTH(BegindatumLening)+B38,DAY(BegindatumLening)),"d-m-yyyy"),""),"")</f>
        <v/>
      </c>
      <c r="D38" s="49" t="str">
        <f>IFERROR(IF(IF(ROW()-ROW(Lening[[#HEADERS],[BET.NR.]])&lt;=AantalBetalingen,1,0)*IF(GeleendBedrag*Rentevoet*Leningjaren*BegindatumLening&gt;0,1,0),-FV(Rentevoet/12,ROW()-ROW(Lening[[#HEADERS],[BET.NR.]])-1,PMT(Rentevoet/12,AantalBetalingen,GeleendBedrag),GeleendBedrag),""),"")</f>
        <v/>
      </c>
      <c r="E38" s="49" t="str">
        <f>IFERROR(IF(IF(ROW()-ROW(Lening[[#HEADERS],[BET.NR.]])&lt;=AantalBetalingen,1,0)*IF(GeleendBedrag*Rentevoet*Leningjaren*BegindatumLening&gt;0,1,0),-PMT(Rentevoet/12,AantalBetalingen,GeleendBedrag),""),"")</f>
        <v/>
      </c>
      <c r="F38" s="49" t="str">
        <f>IFERROR(IF(IF($B38&lt;=AantalBetalingen,1,0)*IF(GeleendBedrag*Rentevoet*Leningjaren*BegindatumLening&gt;0,1,0),-PPMT(Rentevoet/12,ROW()-ROW(Lening[[#HEADERS],[BET.NR.]]),AantalBetalingen,GeleendBedrag),""),"")</f>
        <v/>
      </c>
      <c r="G38" s="49" t="str">
        <f>IFERROR(IF(IF($B38&lt;=AantalBetalingen,1,0)*IF(GeleendBedrag*Rentevoet*Leningjaren*BegindatumLening&gt;0,1,0),-IPMT(Rentevoet/12,$B38,AantalBetalingen,GeleendBedrag),""),"")</f>
        <v/>
      </c>
      <c r="H38" s="49" t="str">
        <f>IFERROR(IF(IF(ROW()-ROW(Lening[[#HEADERS],[BET.NR.]])&lt;=AantalBetalingen,1,0)*IF(GeleendBedrag*Rentevoet*Leningjaren*BegindatumLening&gt;0,1,0),-FV(Rentevoet/12,$B38,PMT(Rentevoet/12,AantalBetalingen,GeleendBedrag),GeleendBedrag),""),"")</f>
        <v/>
      </c>
    </row>
    <row r="39" ht="22.5" customHeight="1">
      <c r="A39" s="46">
        <f>ROW()-ROW(Lening[[#HEADERS],[BET.NR.]])</f>
        <v>30</v>
      </c>
      <c r="B39" s="50" t="str">
        <f>IFERROR(IF(IF(ROW()-ROW(Lening!$9:$9)&lt;=AantalBetalingen,1,0)*IF(GeleendBedrag*Rentevoet*$D$5*BegindatumLening&gt;0,1,0),ROW()-ROW(Lening!$9:$9),""),"")</f>
        <v/>
      </c>
      <c r="C39" s="48" t="str">
        <f>IFERROR(IF(IF(ROW()-ROW(Lening[[#HEADERS],[BET.NR.]])&lt;=AantalBetalingen,1,0)*IF(GeleendBedrag*Rentevoet*Leningjaren*BegindatumLening&gt;0,1,0),TEXT(DATE(YEAR(BegindatumLening),MONTH(BegindatumLening)+B39,DAY(BegindatumLening)),"d-m-yyyy"),""),"")</f>
        <v/>
      </c>
      <c r="D39" s="49" t="str">
        <f>IFERROR(IF(IF(ROW()-ROW(Lening[[#HEADERS],[BET.NR.]])&lt;=AantalBetalingen,1,0)*IF(GeleendBedrag*Rentevoet*Leningjaren*BegindatumLening&gt;0,1,0),-FV(Rentevoet/12,ROW()-ROW(Lening[[#HEADERS],[BET.NR.]])-1,PMT(Rentevoet/12,AantalBetalingen,GeleendBedrag),GeleendBedrag),""),"")</f>
        <v/>
      </c>
      <c r="E39" s="49" t="str">
        <f>IFERROR(IF(IF(ROW()-ROW(Lening[[#HEADERS],[BET.NR.]])&lt;=AantalBetalingen,1,0)*IF(GeleendBedrag*Rentevoet*Leningjaren*BegindatumLening&gt;0,1,0),-PMT(Rentevoet/12,AantalBetalingen,GeleendBedrag),""),"")</f>
        <v/>
      </c>
      <c r="F39" s="49" t="str">
        <f>IFERROR(IF(IF($B39&lt;=AantalBetalingen,1,0)*IF(GeleendBedrag*Rentevoet*Leningjaren*BegindatumLening&gt;0,1,0),-PPMT(Rentevoet/12,ROW()-ROW(Lening[[#HEADERS],[BET.NR.]]),AantalBetalingen,GeleendBedrag),""),"")</f>
        <v/>
      </c>
      <c r="G39" s="49" t="str">
        <f>IFERROR(IF(IF($B39&lt;=AantalBetalingen,1,0)*IF(GeleendBedrag*Rentevoet*Leningjaren*BegindatumLening&gt;0,1,0),-IPMT(Rentevoet/12,$B39,AantalBetalingen,GeleendBedrag),""),"")</f>
        <v/>
      </c>
      <c r="H39" s="49" t="str">
        <f>IFERROR(IF(IF(ROW()-ROW(Lening[[#HEADERS],[BET.NR.]])&lt;=AantalBetalingen,1,0)*IF(GeleendBedrag*Rentevoet*Leningjaren*BegindatumLening&gt;0,1,0),-FV(Rentevoet/12,$B39,PMT(Rentevoet/12,AantalBetalingen,GeleendBedrag),GeleendBedrag),""),"")</f>
        <v/>
      </c>
    </row>
    <row r="40" ht="22.5" customHeight="1">
      <c r="A40" s="46">
        <f>ROW()-ROW(Lening[[#HEADERS],[BET.NR.]])</f>
        <v>31</v>
      </c>
      <c r="B40" s="50" t="str">
        <f>IFERROR(IF(IF(ROW()-ROW(Lening!$9:$9)&lt;=AantalBetalingen,1,0)*IF(GeleendBedrag*Rentevoet*$D$5*BegindatumLening&gt;0,1,0),ROW()-ROW(Lening!$9:$9),""),"")</f>
        <v/>
      </c>
      <c r="C40" s="48" t="str">
        <f>IFERROR(IF(IF(ROW()-ROW(Lening[[#HEADERS],[BET.NR.]])&lt;=AantalBetalingen,1,0)*IF(GeleendBedrag*Rentevoet*Leningjaren*BegindatumLening&gt;0,1,0),TEXT(DATE(YEAR(BegindatumLening),MONTH(BegindatumLening)+B40,DAY(BegindatumLening)),"d-m-yyyy"),""),"")</f>
        <v/>
      </c>
      <c r="D40" s="49" t="str">
        <f>IFERROR(IF(IF(ROW()-ROW(Lening[[#HEADERS],[BET.NR.]])&lt;=AantalBetalingen,1,0)*IF(GeleendBedrag*Rentevoet*Leningjaren*BegindatumLening&gt;0,1,0),-FV(Rentevoet/12,ROW()-ROW(Lening[[#HEADERS],[BET.NR.]])-1,PMT(Rentevoet/12,AantalBetalingen,GeleendBedrag),GeleendBedrag),""),"")</f>
        <v/>
      </c>
      <c r="E40" s="49" t="str">
        <f>IFERROR(IF(IF(ROW()-ROW(Lening[[#HEADERS],[BET.NR.]])&lt;=AantalBetalingen,1,0)*IF(GeleendBedrag*Rentevoet*Leningjaren*BegindatumLening&gt;0,1,0),-PMT(Rentevoet/12,AantalBetalingen,GeleendBedrag),""),"")</f>
        <v/>
      </c>
      <c r="F40" s="49" t="str">
        <f>IFERROR(IF(IF($B40&lt;=AantalBetalingen,1,0)*IF(GeleendBedrag*Rentevoet*Leningjaren*BegindatumLening&gt;0,1,0),-PPMT(Rentevoet/12,ROW()-ROW(Lening[[#HEADERS],[BET.NR.]]),AantalBetalingen,GeleendBedrag),""),"")</f>
        <v/>
      </c>
      <c r="G40" s="49" t="str">
        <f>IFERROR(IF(IF($B40&lt;=AantalBetalingen,1,0)*IF(GeleendBedrag*Rentevoet*Leningjaren*BegindatumLening&gt;0,1,0),-IPMT(Rentevoet/12,$B40,AantalBetalingen,GeleendBedrag),""),"")</f>
        <v/>
      </c>
      <c r="H40" s="49" t="str">
        <f>IFERROR(IF(IF(ROW()-ROW(Lening[[#HEADERS],[BET.NR.]])&lt;=AantalBetalingen,1,0)*IF(GeleendBedrag*Rentevoet*Leningjaren*BegindatumLening&gt;0,1,0),-FV(Rentevoet/12,$B40,PMT(Rentevoet/12,AantalBetalingen,GeleendBedrag),GeleendBedrag),""),"")</f>
        <v/>
      </c>
    </row>
    <row r="41" ht="22.5" customHeight="1">
      <c r="A41" s="46">
        <f>ROW()-ROW(Lening[[#HEADERS],[BET.NR.]])</f>
        <v>32</v>
      </c>
      <c r="B41" s="50" t="str">
        <f>IFERROR(IF(IF(ROW()-ROW(Lening!$9:$9)&lt;=AantalBetalingen,1,0)*IF(GeleendBedrag*Rentevoet*$D$5*BegindatumLening&gt;0,1,0),ROW()-ROW(Lening!$9:$9),""),"")</f>
        <v/>
      </c>
      <c r="C41" s="48" t="str">
        <f>IFERROR(IF(IF(ROW()-ROW(Lening[[#HEADERS],[BET.NR.]])&lt;=AantalBetalingen,1,0)*IF(GeleendBedrag*Rentevoet*Leningjaren*BegindatumLening&gt;0,1,0),TEXT(DATE(YEAR(BegindatumLening),MONTH(BegindatumLening)+B41,DAY(BegindatumLening)),"d-m-yyyy"),""),"")</f>
        <v/>
      </c>
      <c r="D41" s="49" t="str">
        <f>IFERROR(IF(IF(ROW()-ROW(Lening[[#HEADERS],[BET.NR.]])&lt;=AantalBetalingen,1,0)*IF(GeleendBedrag*Rentevoet*Leningjaren*BegindatumLening&gt;0,1,0),-FV(Rentevoet/12,ROW()-ROW(Lening[[#HEADERS],[BET.NR.]])-1,PMT(Rentevoet/12,AantalBetalingen,GeleendBedrag),GeleendBedrag),""),"")</f>
        <v/>
      </c>
      <c r="E41" s="49" t="str">
        <f>IFERROR(IF(IF(ROW()-ROW(Lening[[#HEADERS],[BET.NR.]])&lt;=AantalBetalingen,1,0)*IF(GeleendBedrag*Rentevoet*Leningjaren*BegindatumLening&gt;0,1,0),-PMT(Rentevoet/12,AantalBetalingen,GeleendBedrag),""),"")</f>
        <v/>
      </c>
      <c r="F41" s="49" t="str">
        <f>IFERROR(IF(IF($B41&lt;=AantalBetalingen,1,0)*IF(GeleendBedrag*Rentevoet*Leningjaren*BegindatumLening&gt;0,1,0),-PPMT(Rentevoet/12,ROW()-ROW(Lening[[#HEADERS],[BET.NR.]]),AantalBetalingen,GeleendBedrag),""),"")</f>
        <v/>
      </c>
      <c r="G41" s="49" t="str">
        <f>IFERROR(IF(IF($B41&lt;=AantalBetalingen,1,0)*IF(GeleendBedrag*Rentevoet*Leningjaren*BegindatumLening&gt;0,1,0),-IPMT(Rentevoet/12,$B41,AantalBetalingen,GeleendBedrag),""),"")</f>
        <v/>
      </c>
      <c r="H41" s="49" t="str">
        <f>IFERROR(IF(IF(ROW()-ROW(Lening[[#HEADERS],[BET.NR.]])&lt;=AantalBetalingen,1,0)*IF(GeleendBedrag*Rentevoet*Leningjaren*BegindatumLening&gt;0,1,0),-FV(Rentevoet/12,$B41,PMT(Rentevoet/12,AantalBetalingen,GeleendBedrag),GeleendBedrag),""),"")</f>
        <v/>
      </c>
    </row>
    <row r="42" ht="22.5" customHeight="1">
      <c r="A42" s="46">
        <f>ROW()-ROW(Lening[[#HEADERS],[BET.NR.]])</f>
        <v>33</v>
      </c>
      <c r="B42" s="50" t="str">
        <f>IFERROR(IF(IF(ROW()-ROW(Lening!$9:$9)&lt;=AantalBetalingen,1,0)*IF(GeleendBedrag*Rentevoet*$D$5*BegindatumLening&gt;0,1,0),ROW()-ROW(Lening!$9:$9),""),"")</f>
        <v/>
      </c>
      <c r="C42" s="48" t="str">
        <f>IFERROR(IF(IF(ROW()-ROW(Lening[[#HEADERS],[BET.NR.]])&lt;=AantalBetalingen,1,0)*IF(GeleendBedrag*Rentevoet*Leningjaren*BegindatumLening&gt;0,1,0),TEXT(DATE(YEAR(BegindatumLening),MONTH(BegindatumLening)+B42,DAY(BegindatumLening)),"d-m-yyyy"),""),"")</f>
        <v/>
      </c>
      <c r="D42" s="49" t="str">
        <f>IFERROR(IF(IF(ROW()-ROW(Lening[[#HEADERS],[BET.NR.]])&lt;=AantalBetalingen,1,0)*IF(GeleendBedrag*Rentevoet*Leningjaren*BegindatumLening&gt;0,1,0),-FV(Rentevoet/12,ROW()-ROW(Lening[[#HEADERS],[BET.NR.]])-1,PMT(Rentevoet/12,AantalBetalingen,GeleendBedrag),GeleendBedrag),""),"")</f>
        <v/>
      </c>
      <c r="E42" s="49" t="str">
        <f>IFERROR(IF(IF(ROW()-ROW(Lening[[#HEADERS],[BET.NR.]])&lt;=AantalBetalingen,1,0)*IF(GeleendBedrag*Rentevoet*Leningjaren*BegindatumLening&gt;0,1,0),-PMT(Rentevoet/12,AantalBetalingen,GeleendBedrag),""),"")</f>
        <v/>
      </c>
      <c r="F42" s="49" t="str">
        <f>IFERROR(IF(IF($B42&lt;=AantalBetalingen,1,0)*IF(GeleendBedrag*Rentevoet*Leningjaren*BegindatumLening&gt;0,1,0),-PPMT(Rentevoet/12,ROW()-ROW(Lening[[#HEADERS],[BET.NR.]]),AantalBetalingen,GeleendBedrag),""),"")</f>
        <v/>
      </c>
      <c r="G42" s="49" t="str">
        <f>IFERROR(IF(IF($B42&lt;=AantalBetalingen,1,0)*IF(GeleendBedrag*Rentevoet*Leningjaren*BegindatumLening&gt;0,1,0),-IPMT(Rentevoet/12,$B42,AantalBetalingen,GeleendBedrag),""),"")</f>
        <v/>
      </c>
      <c r="H42" s="49" t="str">
        <f>IFERROR(IF(IF(ROW()-ROW(Lening[[#HEADERS],[BET.NR.]])&lt;=AantalBetalingen,1,0)*IF(GeleendBedrag*Rentevoet*Leningjaren*BegindatumLening&gt;0,1,0),-FV(Rentevoet/12,$B42,PMT(Rentevoet/12,AantalBetalingen,GeleendBedrag),GeleendBedrag),""),"")</f>
        <v/>
      </c>
    </row>
    <row r="43" ht="22.5" customHeight="1">
      <c r="A43" s="46">
        <f>ROW()-ROW(Lening[[#HEADERS],[BET.NR.]])</f>
        <v>34</v>
      </c>
      <c r="B43" s="50" t="str">
        <f>IFERROR(IF(IF(ROW()-ROW(Lening!$9:$9)&lt;=AantalBetalingen,1,0)*IF(GeleendBedrag*Rentevoet*$D$5*BegindatumLening&gt;0,1,0),ROW()-ROW(Lening!$9:$9),""),"")</f>
        <v/>
      </c>
      <c r="C43" s="48" t="str">
        <f>IFERROR(IF(IF(ROW()-ROW(Lening[[#HEADERS],[BET.NR.]])&lt;=AantalBetalingen,1,0)*IF(GeleendBedrag*Rentevoet*Leningjaren*BegindatumLening&gt;0,1,0),TEXT(DATE(YEAR(BegindatumLening),MONTH(BegindatumLening)+B43,DAY(BegindatumLening)),"d-m-yyyy"),""),"")</f>
        <v/>
      </c>
      <c r="D43" s="49" t="str">
        <f>IFERROR(IF(IF(ROW()-ROW(Lening[[#HEADERS],[BET.NR.]])&lt;=AantalBetalingen,1,0)*IF(GeleendBedrag*Rentevoet*Leningjaren*BegindatumLening&gt;0,1,0),-FV(Rentevoet/12,ROW()-ROW(Lening[[#HEADERS],[BET.NR.]])-1,PMT(Rentevoet/12,AantalBetalingen,GeleendBedrag),GeleendBedrag),""),"")</f>
        <v/>
      </c>
      <c r="E43" s="49" t="str">
        <f>IFERROR(IF(IF(ROW()-ROW(Lening[[#HEADERS],[BET.NR.]])&lt;=AantalBetalingen,1,0)*IF(GeleendBedrag*Rentevoet*Leningjaren*BegindatumLening&gt;0,1,0),-PMT(Rentevoet/12,AantalBetalingen,GeleendBedrag),""),"")</f>
        <v/>
      </c>
      <c r="F43" s="49" t="str">
        <f>IFERROR(IF(IF($B43&lt;=AantalBetalingen,1,0)*IF(GeleendBedrag*Rentevoet*Leningjaren*BegindatumLening&gt;0,1,0),-PPMT(Rentevoet/12,ROW()-ROW(Lening[[#HEADERS],[BET.NR.]]),AantalBetalingen,GeleendBedrag),""),"")</f>
        <v/>
      </c>
      <c r="G43" s="49" t="str">
        <f>IFERROR(IF(IF($B43&lt;=AantalBetalingen,1,0)*IF(GeleendBedrag*Rentevoet*Leningjaren*BegindatumLening&gt;0,1,0),-IPMT(Rentevoet/12,$B43,AantalBetalingen,GeleendBedrag),""),"")</f>
        <v/>
      </c>
      <c r="H43" s="49" t="str">
        <f>IFERROR(IF(IF(ROW()-ROW(Lening[[#HEADERS],[BET.NR.]])&lt;=AantalBetalingen,1,0)*IF(GeleendBedrag*Rentevoet*Leningjaren*BegindatumLening&gt;0,1,0),-FV(Rentevoet/12,$B43,PMT(Rentevoet/12,AantalBetalingen,GeleendBedrag),GeleendBedrag),""),"")</f>
        <v/>
      </c>
    </row>
    <row r="44" ht="22.5" customHeight="1">
      <c r="A44" s="46">
        <f>ROW()-ROW(Lening[[#HEADERS],[BET.NR.]])</f>
        <v>35</v>
      </c>
      <c r="B44" s="50" t="str">
        <f>IFERROR(IF(IF(ROW()-ROW(Lening!$9:$9)&lt;=AantalBetalingen,1,0)*IF(GeleendBedrag*Rentevoet*$D$5*BegindatumLening&gt;0,1,0),ROW()-ROW(Lening!$9:$9),""),"")</f>
        <v/>
      </c>
      <c r="C44" s="48" t="str">
        <f>IFERROR(IF(IF(ROW()-ROW(Lening[[#HEADERS],[BET.NR.]])&lt;=AantalBetalingen,1,0)*IF(GeleendBedrag*Rentevoet*Leningjaren*BegindatumLening&gt;0,1,0),TEXT(DATE(YEAR(BegindatumLening),MONTH(BegindatumLening)+B44,DAY(BegindatumLening)),"d-m-yyyy"),""),"")</f>
        <v/>
      </c>
      <c r="D44" s="49" t="str">
        <f>IFERROR(IF(IF(ROW()-ROW(Lening[[#HEADERS],[BET.NR.]])&lt;=AantalBetalingen,1,0)*IF(GeleendBedrag*Rentevoet*Leningjaren*BegindatumLening&gt;0,1,0),-FV(Rentevoet/12,ROW()-ROW(Lening[[#HEADERS],[BET.NR.]])-1,PMT(Rentevoet/12,AantalBetalingen,GeleendBedrag),GeleendBedrag),""),"")</f>
        <v/>
      </c>
      <c r="E44" s="49" t="str">
        <f>IFERROR(IF(IF(ROW()-ROW(Lening[[#HEADERS],[BET.NR.]])&lt;=AantalBetalingen,1,0)*IF(GeleendBedrag*Rentevoet*Leningjaren*BegindatumLening&gt;0,1,0),-PMT(Rentevoet/12,AantalBetalingen,GeleendBedrag),""),"")</f>
        <v/>
      </c>
      <c r="F44" s="49" t="str">
        <f>IFERROR(IF(IF($B44&lt;=AantalBetalingen,1,0)*IF(GeleendBedrag*Rentevoet*Leningjaren*BegindatumLening&gt;0,1,0),-PPMT(Rentevoet/12,ROW()-ROW(Lening[[#HEADERS],[BET.NR.]]),AantalBetalingen,GeleendBedrag),""),"")</f>
        <v/>
      </c>
      <c r="G44" s="49" t="str">
        <f>IFERROR(IF(IF($B44&lt;=AantalBetalingen,1,0)*IF(GeleendBedrag*Rentevoet*Leningjaren*BegindatumLening&gt;0,1,0),-IPMT(Rentevoet/12,$B44,AantalBetalingen,GeleendBedrag),""),"")</f>
        <v/>
      </c>
      <c r="H44" s="49" t="str">
        <f>IFERROR(IF(IF(ROW()-ROW(Lening[[#HEADERS],[BET.NR.]])&lt;=AantalBetalingen,1,0)*IF(GeleendBedrag*Rentevoet*Leningjaren*BegindatumLening&gt;0,1,0),-FV(Rentevoet/12,$B44,PMT(Rentevoet/12,AantalBetalingen,GeleendBedrag),GeleendBedrag),""),"")</f>
        <v/>
      </c>
    </row>
    <row r="45" ht="22.5" customHeight="1">
      <c r="A45" s="46">
        <f>ROW()-ROW(Lening[[#HEADERS],[BET.NR.]])</f>
        <v>36</v>
      </c>
      <c r="B45" s="50" t="str">
        <f>IFERROR(IF(IF(ROW()-ROW(Lening!$9:$9)&lt;=AantalBetalingen,1,0)*IF(GeleendBedrag*Rentevoet*$D$5*BegindatumLening&gt;0,1,0),ROW()-ROW(Lening!$9:$9),""),"")</f>
        <v/>
      </c>
      <c r="C45" s="48" t="str">
        <f>IFERROR(IF(IF(ROW()-ROW(Lening[[#HEADERS],[BET.NR.]])&lt;=AantalBetalingen,1,0)*IF(GeleendBedrag*Rentevoet*Leningjaren*BegindatumLening&gt;0,1,0),TEXT(DATE(YEAR(BegindatumLening),MONTH(BegindatumLening)+B45,DAY(BegindatumLening)),"d-m-yyyy"),""),"")</f>
        <v/>
      </c>
      <c r="D45" s="49" t="str">
        <f>IFERROR(IF(IF(ROW()-ROW(Lening[[#HEADERS],[BET.NR.]])&lt;=AantalBetalingen,1,0)*IF(GeleendBedrag*Rentevoet*Leningjaren*BegindatumLening&gt;0,1,0),-FV(Rentevoet/12,ROW()-ROW(Lening[[#HEADERS],[BET.NR.]])-1,PMT(Rentevoet/12,AantalBetalingen,GeleendBedrag),GeleendBedrag),""),"")</f>
        <v/>
      </c>
      <c r="E45" s="49" t="str">
        <f>IFERROR(IF(IF(ROW()-ROW(Lening[[#HEADERS],[BET.NR.]])&lt;=AantalBetalingen,1,0)*IF(GeleendBedrag*Rentevoet*Leningjaren*BegindatumLening&gt;0,1,0),-PMT(Rentevoet/12,AantalBetalingen,GeleendBedrag),""),"")</f>
        <v/>
      </c>
      <c r="F45" s="49" t="str">
        <f>IFERROR(IF(IF($B45&lt;=AantalBetalingen,1,0)*IF(GeleendBedrag*Rentevoet*Leningjaren*BegindatumLening&gt;0,1,0),-PPMT(Rentevoet/12,ROW()-ROW(Lening[[#HEADERS],[BET.NR.]]),AantalBetalingen,GeleendBedrag),""),"")</f>
        <v/>
      </c>
      <c r="G45" s="49" t="str">
        <f>IFERROR(IF(IF($B45&lt;=AantalBetalingen,1,0)*IF(GeleendBedrag*Rentevoet*Leningjaren*BegindatumLening&gt;0,1,0),-IPMT(Rentevoet/12,$B45,AantalBetalingen,GeleendBedrag),""),"")</f>
        <v/>
      </c>
      <c r="H45" s="49" t="str">
        <f>IFERROR(IF(IF(ROW()-ROW(Lening[[#HEADERS],[BET.NR.]])&lt;=AantalBetalingen,1,0)*IF(GeleendBedrag*Rentevoet*Leningjaren*BegindatumLening&gt;0,1,0),-FV(Rentevoet/12,$B45,PMT(Rentevoet/12,AantalBetalingen,GeleendBedrag),GeleendBedrag),""),"")</f>
        <v/>
      </c>
    </row>
    <row r="46" ht="22.5" customHeight="1">
      <c r="A46" s="46">
        <f>ROW()-ROW(Lening[[#HEADERS],[BET.NR.]])</f>
        <v>37</v>
      </c>
      <c r="B46" s="50" t="str">
        <f>IFERROR(IF(IF(ROW()-ROW(Lening!$9:$9)&lt;=AantalBetalingen,1,0)*IF(GeleendBedrag*Rentevoet*$D$5*BegindatumLening&gt;0,1,0),ROW()-ROW(Lening!$9:$9),""),"")</f>
        <v/>
      </c>
      <c r="C46" s="48" t="str">
        <f>IFERROR(IF(IF(ROW()-ROW(Lening[[#HEADERS],[BET.NR.]])&lt;=AantalBetalingen,1,0)*IF(GeleendBedrag*Rentevoet*Leningjaren*BegindatumLening&gt;0,1,0),TEXT(DATE(YEAR(BegindatumLening),MONTH(BegindatumLening)+B46,DAY(BegindatumLening)),"d-m-yyyy"),""),"")</f>
        <v/>
      </c>
      <c r="D46" s="49" t="str">
        <f>IFERROR(IF(IF(ROW()-ROW(Lening[[#HEADERS],[BET.NR.]])&lt;=AantalBetalingen,1,0)*IF(GeleendBedrag*Rentevoet*Leningjaren*BegindatumLening&gt;0,1,0),-FV(Rentevoet/12,ROW()-ROW(Lening[[#HEADERS],[BET.NR.]])-1,PMT(Rentevoet/12,AantalBetalingen,GeleendBedrag),GeleendBedrag),""),"")</f>
        <v/>
      </c>
      <c r="E46" s="49" t="str">
        <f>IFERROR(IF(IF(ROW()-ROW(Lening[[#HEADERS],[BET.NR.]])&lt;=AantalBetalingen,1,0)*IF(GeleendBedrag*Rentevoet*Leningjaren*BegindatumLening&gt;0,1,0),-PMT(Rentevoet/12,AantalBetalingen,GeleendBedrag),""),"")</f>
        <v/>
      </c>
      <c r="F46" s="49" t="str">
        <f>IFERROR(IF(IF($B46&lt;=AantalBetalingen,1,0)*IF(GeleendBedrag*Rentevoet*Leningjaren*BegindatumLening&gt;0,1,0),-PPMT(Rentevoet/12,ROW()-ROW(Lening[[#HEADERS],[BET.NR.]]),AantalBetalingen,GeleendBedrag),""),"")</f>
        <v/>
      </c>
      <c r="G46" s="49" t="str">
        <f>IFERROR(IF(IF($B46&lt;=AantalBetalingen,1,0)*IF(GeleendBedrag*Rentevoet*Leningjaren*BegindatumLening&gt;0,1,0),-IPMT(Rentevoet/12,$B46,AantalBetalingen,GeleendBedrag),""),"")</f>
        <v/>
      </c>
      <c r="H46" s="49" t="str">
        <f>IFERROR(IF(IF(ROW()-ROW(Lening[[#HEADERS],[BET.NR.]])&lt;=AantalBetalingen,1,0)*IF(GeleendBedrag*Rentevoet*Leningjaren*BegindatumLening&gt;0,1,0),-FV(Rentevoet/12,$B46,PMT(Rentevoet/12,AantalBetalingen,GeleendBedrag),GeleendBedrag),""),"")</f>
        <v/>
      </c>
    </row>
    <row r="47" ht="22.5" customHeight="1">
      <c r="A47" s="46">
        <f>ROW()-ROW(Lening[[#HEADERS],[BET.NR.]])</f>
        <v>38</v>
      </c>
      <c r="B47" s="50" t="str">
        <f>IFERROR(IF(IF(ROW()-ROW(Lening!$9:$9)&lt;=AantalBetalingen,1,0)*IF(GeleendBedrag*Rentevoet*$D$5*BegindatumLening&gt;0,1,0),ROW()-ROW(Lening!$9:$9),""),"")</f>
        <v/>
      </c>
      <c r="C47" s="48" t="str">
        <f>IFERROR(IF(IF(ROW()-ROW(Lening[[#HEADERS],[BET.NR.]])&lt;=AantalBetalingen,1,0)*IF(GeleendBedrag*Rentevoet*Leningjaren*BegindatumLening&gt;0,1,0),TEXT(DATE(YEAR(BegindatumLening),MONTH(BegindatumLening)+B47,DAY(BegindatumLening)),"d-m-yyyy"),""),"")</f>
        <v/>
      </c>
      <c r="D47" s="49" t="str">
        <f>IFERROR(IF(IF(ROW()-ROW(Lening[[#HEADERS],[BET.NR.]])&lt;=AantalBetalingen,1,0)*IF(GeleendBedrag*Rentevoet*Leningjaren*BegindatumLening&gt;0,1,0),-FV(Rentevoet/12,ROW()-ROW(Lening[[#HEADERS],[BET.NR.]])-1,PMT(Rentevoet/12,AantalBetalingen,GeleendBedrag),GeleendBedrag),""),"")</f>
        <v/>
      </c>
      <c r="E47" s="49" t="str">
        <f>IFERROR(IF(IF(ROW()-ROW(Lening[[#HEADERS],[BET.NR.]])&lt;=AantalBetalingen,1,0)*IF(GeleendBedrag*Rentevoet*Leningjaren*BegindatumLening&gt;0,1,0),-PMT(Rentevoet/12,AantalBetalingen,GeleendBedrag),""),"")</f>
        <v/>
      </c>
      <c r="F47" s="49" t="str">
        <f>IFERROR(IF(IF($B47&lt;=AantalBetalingen,1,0)*IF(GeleendBedrag*Rentevoet*Leningjaren*BegindatumLening&gt;0,1,0),-PPMT(Rentevoet/12,ROW()-ROW(Lening[[#HEADERS],[BET.NR.]]),AantalBetalingen,GeleendBedrag),""),"")</f>
        <v/>
      </c>
      <c r="G47" s="49" t="str">
        <f>IFERROR(IF(IF($B47&lt;=AantalBetalingen,1,0)*IF(GeleendBedrag*Rentevoet*Leningjaren*BegindatumLening&gt;0,1,0),-IPMT(Rentevoet/12,$B47,AantalBetalingen,GeleendBedrag),""),"")</f>
        <v/>
      </c>
      <c r="H47" s="49" t="str">
        <f>IFERROR(IF(IF(ROW()-ROW(Lening[[#HEADERS],[BET.NR.]])&lt;=AantalBetalingen,1,0)*IF(GeleendBedrag*Rentevoet*Leningjaren*BegindatumLening&gt;0,1,0),-FV(Rentevoet/12,$B47,PMT(Rentevoet/12,AantalBetalingen,GeleendBedrag),GeleendBedrag),""),"")</f>
        <v/>
      </c>
    </row>
    <row r="48" ht="22.5" customHeight="1">
      <c r="A48" s="46">
        <f>ROW()-ROW(Lening[[#HEADERS],[BET.NR.]])</f>
        <v>39</v>
      </c>
      <c r="B48" s="50" t="str">
        <f>IFERROR(IF(IF(ROW()-ROW(Lening!$9:$9)&lt;=AantalBetalingen,1,0)*IF(GeleendBedrag*Rentevoet*$D$5*BegindatumLening&gt;0,1,0),ROW()-ROW(Lening!$9:$9),""),"")</f>
        <v/>
      </c>
      <c r="C48" s="48" t="str">
        <f>IFERROR(IF(IF(ROW()-ROW(Lening[[#HEADERS],[BET.NR.]])&lt;=AantalBetalingen,1,0)*IF(GeleendBedrag*Rentevoet*Leningjaren*BegindatumLening&gt;0,1,0),TEXT(DATE(YEAR(BegindatumLening),MONTH(BegindatumLening)+B48,DAY(BegindatumLening)),"d-m-yyyy"),""),"")</f>
        <v/>
      </c>
      <c r="D48" s="49" t="str">
        <f>IFERROR(IF(IF(ROW()-ROW(Lening[[#HEADERS],[BET.NR.]])&lt;=AantalBetalingen,1,0)*IF(GeleendBedrag*Rentevoet*Leningjaren*BegindatumLening&gt;0,1,0),-FV(Rentevoet/12,ROW()-ROW(Lening[[#HEADERS],[BET.NR.]])-1,PMT(Rentevoet/12,AantalBetalingen,GeleendBedrag),GeleendBedrag),""),"")</f>
        <v/>
      </c>
      <c r="E48" s="49" t="str">
        <f>IFERROR(IF(IF(ROW()-ROW(Lening[[#HEADERS],[BET.NR.]])&lt;=AantalBetalingen,1,0)*IF(GeleendBedrag*Rentevoet*Leningjaren*BegindatumLening&gt;0,1,0),-PMT(Rentevoet/12,AantalBetalingen,GeleendBedrag),""),"")</f>
        <v/>
      </c>
      <c r="F48" s="49" t="str">
        <f>IFERROR(IF(IF($B48&lt;=AantalBetalingen,1,0)*IF(GeleendBedrag*Rentevoet*Leningjaren*BegindatumLening&gt;0,1,0),-PPMT(Rentevoet/12,ROW()-ROW(Lening[[#HEADERS],[BET.NR.]]),AantalBetalingen,GeleendBedrag),""),"")</f>
        <v/>
      </c>
      <c r="G48" s="49" t="str">
        <f>IFERROR(IF(IF($B48&lt;=AantalBetalingen,1,0)*IF(GeleendBedrag*Rentevoet*Leningjaren*BegindatumLening&gt;0,1,0),-IPMT(Rentevoet/12,$B48,AantalBetalingen,GeleendBedrag),""),"")</f>
        <v/>
      </c>
      <c r="H48" s="49" t="str">
        <f>IFERROR(IF(IF(ROW()-ROW(Lening[[#HEADERS],[BET.NR.]])&lt;=AantalBetalingen,1,0)*IF(GeleendBedrag*Rentevoet*Leningjaren*BegindatumLening&gt;0,1,0),-FV(Rentevoet/12,$B48,PMT(Rentevoet/12,AantalBetalingen,GeleendBedrag),GeleendBedrag),""),"")</f>
        <v/>
      </c>
    </row>
    <row r="49" ht="22.5" customHeight="1">
      <c r="A49" s="46">
        <f>ROW()-ROW(Lening[[#HEADERS],[BET.NR.]])</f>
        <v>40</v>
      </c>
      <c r="B49" s="50" t="str">
        <f>IFERROR(IF(IF(ROW()-ROW(Lening!$9:$9)&lt;=AantalBetalingen,1,0)*IF(GeleendBedrag*Rentevoet*$D$5*BegindatumLening&gt;0,1,0),ROW()-ROW(Lening!$9:$9),""),"")</f>
        <v/>
      </c>
      <c r="C49" s="48" t="str">
        <f>IFERROR(IF(IF(ROW()-ROW(Lening[[#HEADERS],[BET.NR.]])&lt;=AantalBetalingen,1,0)*IF(GeleendBedrag*Rentevoet*Leningjaren*BegindatumLening&gt;0,1,0),TEXT(DATE(YEAR(BegindatumLening),MONTH(BegindatumLening)+B49,DAY(BegindatumLening)),"d-m-yyyy"),""),"")</f>
        <v/>
      </c>
      <c r="D49" s="49" t="str">
        <f>IFERROR(IF(IF(ROW()-ROW(Lening[[#HEADERS],[BET.NR.]])&lt;=AantalBetalingen,1,0)*IF(GeleendBedrag*Rentevoet*Leningjaren*BegindatumLening&gt;0,1,0),-FV(Rentevoet/12,ROW()-ROW(Lening[[#HEADERS],[BET.NR.]])-1,PMT(Rentevoet/12,AantalBetalingen,GeleendBedrag),GeleendBedrag),""),"")</f>
        <v/>
      </c>
      <c r="E49" s="49" t="str">
        <f>IFERROR(IF(IF(ROW()-ROW(Lening[[#HEADERS],[BET.NR.]])&lt;=AantalBetalingen,1,0)*IF(GeleendBedrag*Rentevoet*Leningjaren*BegindatumLening&gt;0,1,0),-PMT(Rentevoet/12,AantalBetalingen,GeleendBedrag),""),"")</f>
        <v/>
      </c>
      <c r="F49" s="49" t="str">
        <f>IFERROR(IF(IF($B49&lt;=AantalBetalingen,1,0)*IF(GeleendBedrag*Rentevoet*Leningjaren*BegindatumLening&gt;0,1,0),-PPMT(Rentevoet/12,ROW()-ROW(Lening[[#HEADERS],[BET.NR.]]),AantalBetalingen,GeleendBedrag),""),"")</f>
        <v/>
      </c>
      <c r="G49" s="49" t="str">
        <f>IFERROR(IF(IF($B49&lt;=AantalBetalingen,1,0)*IF(GeleendBedrag*Rentevoet*Leningjaren*BegindatumLening&gt;0,1,0),-IPMT(Rentevoet/12,$B49,AantalBetalingen,GeleendBedrag),""),"")</f>
        <v/>
      </c>
      <c r="H49" s="49" t="str">
        <f>IFERROR(IF(IF(ROW()-ROW(Lening[[#HEADERS],[BET.NR.]])&lt;=AantalBetalingen,1,0)*IF(GeleendBedrag*Rentevoet*Leningjaren*BegindatumLening&gt;0,1,0),-FV(Rentevoet/12,$B49,PMT(Rentevoet/12,AantalBetalingen,GeleendBedrag),GeleendBedrag),""),"")</f>
        <v/>
      </c>
    </row>
    <row r="50" ht="22.5" customHeight="1">
      <c r="A50" s="46">
        <f>ROW()-ROW(Lening[[#HEADERS],[BET.NR.]])</f>
        <v>41</v>
      </c>
      <c r="B50" s="50" t="str">
        <f>IFERROR(IF(IF(ROW()-ROW(Lening!$9:$9)&lt;=AantalBetalingen,1,0)*IF(GeleendBedrag*Rentevoet*$D$5*BegindatumLening&gt;0,1,0),ROW()-ROW(Lening!$9:$9),""),"")</f>
        <v/>
      </c>
      <c r="C50" s="48" t="str">
        <f>IFERROR(IF(IF(ROW()-ROW(Lening[[#HEADERS],[BET.NR.]])&lt;=AantalBetalingen,1,0)*IF(GeleendBedrag*Rentevoet*Leningjaren*BegindatumLening&gt;0,1,0),TEXT(DATE(YEAR(BegindatumLening),MONTH(BegindatumLening)+B50,DAY(BegindatumLening)),"d-m-yyyy"),""),"")</f>
        <v/>
      </c>
      <c r="D50" s="49" t="str">
        <f>IFERROR(IF(IF(ROW()-ROW(Lening[[#HEADERS],[BET.NR.]])&lt;=AantalBetalingen,1,0)*IF(GeleendBedrag*Rentevoet*Leningjaren*BegindatumLening&gt;0,1,0),-FV(Rentevoet/12,ROW()-ROW(Lening[[#HEADERS],[BET.NR.]])-1,PMT(Rentevoet/12,AantalBetalingen,GeleendBedrag),GeleendBedrag),""),"")</f>
        <v/>
      </c>
      <c r="E50" s="49" t="str">
        <f>IFERROR(IF(IF(ROW()-ROW(Lening[[#HEADERS],[BET.NR.]])&lt;=AantalBetalingen,1,0)*IF(GeleendBedrag*Rentevoet*Leningjaren*BegindatumLening&gt;0,1,0),-PMT(Rentevoet/12,AantalBetalingen,GeleendBedrag),""),"")</f>
        <v/>
      </c>
      <c r="F50" s="49" t="str">
        <f>IFERROR(IF(IF($B50&lt;=AantalBetalingen,1,0)*IF(GeleendBedrag*Rentevoet*Leningjaren*BegindatumLening&gt;0,1,0),-PPMT(Rentevoet/12,ROW()-ROW(Lening[[#HEADERS],[BET.NR.]]),AantalBetalingen,GeleendBedrag),""),"")</f>
        <v/>
      </c>
      <c r="G50" s="49" t="str">
        <f>IFERROR(IF(IF($B50&lt;=AantalBetalingen,1,0)*IF(GeleendBedrag*Rentevoet*Leningjaren*BegindatumLening&gt;0,1,0),-IPMT(Rentevoet/12,$B50,AantalBetalingen,GeleendBedrag),""),"")</f>
        <v/>
      </c>
      <c r="H50" s="49" t="str">
        <f>IFERROR(IF(IF(ROW()-ROW(Lening[[#HEADERS],[BET.NR.]])&lt;=AantalBetalingen,1,0)*IF(GeleendBedrag*Rentevoet*Leningjaren*BegindatumLening&gt;0,1,0),-FV(Rentevoet/12,$B50,PMT(Rentevoet/12,AantalBetalingen,GeleendBedrag),GeleendBedrag),""),"")</f>
        <v/>
      </c>
    </row>
    <row r="51" ht="22.5" customHeight="1">
      <c r="A51" s="46">
        <f>ROW()-ROW(Lening[[#HEADERS],[BET.NR.]])</f>
        <v>42</v>
      </c>
      <c r="B51" s="50" t="str">
        <f>IFERROR(IF(IF(ROW()-ROW(Lening!$9:$9)&lt;=AantalBetalingen,1,0)*IF(GeleendBedrag*Rentevoet*$D$5*BegindatumLening&gt;0,1,0),ROW()-ROW(Lening!$9:$9),""),"")</f>
        <v/>
      </c>
      <c r="C51" s="48" t="str">
        <f>IFERROR(IF(IF(ROW()-ROW(Lening[[#HEADERS],[BET.NR.]])&lt;=AantalBetalingen,1,0)*IF(GeleendBedrag*Rentevoet*Leningjaren*BegindatumLening&gt;0,1,0),TEXT(DATE(YEAR(BegindatumLening),MONTH(BegindatumLening)+B51,DAY(BegindatumLening)),"d-m-yyyy"),""),"")</f>
        <v/>
      </c>
      <c r="D51" s="49" t="str">
        <f>IFERROR(IF(IF(ROW()-ROW(Lening[[#HEADERS],[BET.NR.]])&lt;=AantalBetalingen,1,0)*IF(GeleendBedrag*Rentevoet*Leningjaren*BegindatumLening&gt;0,1,0),-FV(Rentevoet/12,ROW()-ROW(Lening[[#HEADERS],[BET.NR.]])-1,PMT(Rentevoet/12,AantalBetalingen,GeleendBedrag),GeleendBedrag),""),"")</f>
        <v/>
      </c>
      <c r="E51" s="49" t="str">
        <f>IFERROR(IF(IF(ROW()-ROW(Lening[[#HEADERS],[BET.NR.]])&lt;=AantalBetalingen,1,0)*IF(GeleendBedrag*Rentevoet*Leningjaren*BegindatumLening&gt;0,1,0),-PMT(Rentevoet/12,AantalBetalingen,GeleendBedrag),""),"")</f>
        <v/>
      </c>
      <c r="F51" s="49" t="str">
        <f>IFERROR(IF(IF($B51&lt;=AantalBetalingen,1,0)*IF(GeleendBedrag*Rentevoet*Leningjaren*BegindatumLening&gt;0,1,0),-PPMT(Rentevoet/12,ROW()-ROW(Lening[[#HEADERS],[BET.NR.]]),AantalBetalingen,GeleendBedrag),""),"")</f>
        <v/>
      </c>
      <c r="G51" s="49" t="str">
        <f>IFERROR(IF(IF($B51&lt;=AantalBetalingen,1,0)*IF(GeleendBedrag*Rentevoet*Leningjaren*BegindatumLening&gt;0,1,0),-IPMT(Rentevoet/12,$B51,AantalBetalingen,GeleendBedrag),""),"")</f>
        <v/>
      </c>
      <c r="H51" s="49" t="str">
        <f>IFERROR(IF(IF(ROW()-ROW(Lening[[#HEADERS],[BET.NR.]])&lt;=AantalBetalingen,1,0)*IF(GeleendBedrag*Rentevoet*Leningjaren*BegindatumLening&gt;0,1,0),-FV(Rentevoet/12,$B51,PMT(Rentevoet/12,AantalBetalingen,GeleendBedrag),GeleendBedrag),""),"")</f>
        <v/>
      </c>
    </row>
    <row r="52" ht="22.5" customHeight="1">
      <c r="A52" s="46">
        <f>ROW()-ROW(Lening[[#HEADERS],[BET.NR.]])</f>
        <v>43</v>
      </c>
      <c r="B52" s="50" t="str">
        <f>IFERROR(IF(IF(ROW()-ROW(Lening!$9:$9)&lt;=AantalBetalingen,1,0)*IF(GeleendBedrag*Rentevoet*$D$5*BegindatumLening&gt;0,1,0),ROW()-ROW(Lening!$9:$9),""),"")</f>
        <v/>
      </c>
      <c r="C52" s="48" t="str">
        <f>IFERROR(IF(IF(ROW()-ROW(Lening[[#HEADERS],[BET.NR.]])&lt;=AantalBetalingen,1,0)*IF(GeleendBedrag*Rentevoet*Leningjaren*BegindatumLening&gt;0,1,0),TEXT(DATE(YEAR(BegindatumLening),MONTH(BegindatumLening)+B52,DAY(BegindatumLening)),"d-m-yyyy"),""),"")</f>
        <v/>
      </c>
      <c r="D52" s="49" t="str">
        <f>IFERROR(IF(IF(ROW()-ROW(Lening[[#HEADERS],[BET.NR.]])&lt;=AantalBetalingen,1,0)*IF(GeleendBedrag*Rentevoet*Leningjaren*BegindatumLening&gt;0,1,0),-FV(Rentevoet/12,ROW()-ROW(Lening[[#HEADERS],[BET.NR.]])-1,PMT(Rentevoet/12,AantalBetalingen,GeleendBedrag),GeleendBedrag),""),"")</f>
        <v/>
      </c>
      <c r="E52" s="49" t="str">
        <f>IFERROR(IF(IF(ROW()-ROW(Lening[[#HEADERS],[BET.NR.]])&lt;=AantalBetalingen,1,0)*IF(GeleendBedrag*Rentevoet*Leningjaren*BegindatumLening&gt;0,1,0),-PMT(Rentevoet/12,AantalBetalingen,GeleendBedrag),""),"")</f>
        <v/>
      </c>
      <c r="F52" s="49" t="str">
        <f>IFERROR(IF(IF($B52&lt;=AantalBetalingen,1,0)*IF(GeleendBedrag*Rentevoet*Leningjaren*BegindatumLening&gt;0,1,0),-PPMT(Rentevoet/12,ROW()-ROW(Lening[[#HEADERS],[BET.NR.]]),AantalBetalingen,GeleendBedrag),""),"")</f>
        <v/>
      </c>
      <c r="G52" s="49" t="str">
        <f>IFERROR(IF(IF($B52&lt;=AantalBetalingen,1,0)*IF(GeleendBedrag*Rentevoet*Leningjaren*BegindatumLening&gt;0,1,0),-IPMT(Rentevoet/12,$B52,AantalBetalingen,GeleendBedrag),""),"")</f>
        <v/>
      </c>
      <c r="H52" s="49" t="str">
        <f>IFERROR(IF(IF(ROW()-ROW(Lening[[#HEADERS],[BET.NR.]])&lt;=AantalBetalingen,1,0)*IF(GeleendBedrag*Rentevoet*Leningjaren*BegindatumLening&gt;0,1,0),-FV(Rentevoet/12,$B52,PMT(Rentevoet/12,AantalBetalingen,GeleendBedrag),GeleendBedrag),""),"")</f>
        <v/>
      </c>
    </row>
    <row r="53" ht="22.5" customHeight="1">
      <c r="A53" s="46">
        <f>ROW()-ROW(Lening[[#HEADERS],[BET.NR.]])</f>
        <v>44</v>
      </c>
      <c r="B53" s="50" t="str">
        <f>IFERROR(IF(IF(ROW()-ROW(Lening!$9:$9)&lt;=AantalBetalingen,1,0)*IF(GeleendBedrag*Rentevoet*$D$5*BegindatumLening&gt;0,1,0),ROW()-ROW(Lening!$9:$9),""),"")</f>
        <v/>
      </c>
      <c r="C53" s="48" t="str">
        <f>IFERROR(IF(IF(ROW()-ROW(Lening[[#HEADERS],[BET.NR.]])&lt;=AantalBetalingen,1,0)*IF(GeleendBedrag*Rentevoet*Leningjaren*BegindatumLening&gt;0,1,0),TEXT(DATE(YEAR(BegindatumLening),MONTH(BegindatumLening)+B53,DAY(BegindatumLening)),"d-m-yyyy"),""),"")</f>
        <v/>
      </c>
      <c r="D53" s="49" t="str">
        <f>IFERROR(IF(IF(ROW()-ROW(Lening[[#HEADERS],[BET.NR.]])&lt;=AantalBetalingen,1,0)*IF(GeleendBedrag*Rentevoet*Leningjaren*BegindatumLening&gt;0,1,0),-FV(Rentevoet/12,ROW()-ROW(Lening[[#HEADERS],[BET.NR.]])-1,PMT(Rentevoet/12,AantalBetalingen,GeleendBedrag),GeleendBedrag),""),"")</f>
        <v/>
      </c>
      <c r="E53" s="49" t="str">
        <f>IFERROR(IF(IF(ROW()-ROW(Lening[[#HEADERS],[BET.NR.]])&lt;=AantalBetalingen,1,0)*IF(GeleendBedrag*Rentevoet*Leningjaren*BegindatumLening&gt;0,1,0),-PMT(Rentevoet/12,AantalBetalingen,GeleendBedrag),""),"")</f>
        <v/>
      </c>
      <c r="F53" s="49" t="str">
        <f>IFERROR(IF(IF($B53&lt;=AantalBetalingen,1,0)*IF(GeleendBedrag*Rentevoet*Leningjaren*BegindatumLening&gt;0,1,0),-PPMT(Rentevoet/12,ROW()-ROW(Lening[[#HEADERS],[BET.NR.]]),AantalBetalingen,GeleendBedrag),""),"")</f>
        <v/>
      </c>
      <c r="G53" s="49" t="str">
        <f>IFERROR(IF(IF($B53&lt;=AantalBetalingen,1,0)*IF(GeleendBedrag*Rentevoet*Leningjaren*BegindatumLening&gt;0,1,0),-IPMT(Rentevoet/12,$B53,AantalBetalingen,GeleendBedrag),""),"")</f>
        <v/>
      </c>
      <c r="H53" s="49" t="str">
        <f>IFERROR(IF(IF(ROW()-ROW(Lening[[#HEADERS],[BET.NR.]])&lt;=AantalBetalingen,1,0)*IF(GeleendBedrag*Rentevoet*Leningjaren*BegindatumLening&gt;0,1,0),-FV(Rentevoet/12,$B53,PMT(Rentevoet/12,AantalBetalingen,GeleendBedrag),GeleendBedrag),""),"")</f>
        <v/>
      </c>
    </row>
    <row r="54" ht="22.5" customHeight="1">
      <c r="A54" s="46">
        <f>ROW()-ROW(Lening[[#HEADERS],[BET.NR.]])</f>
        <v>45</v>
      </c>
      <c r="B54" s="50" t="str">
        <f>IFERROR(IF(IF(ROW()-ROW(Lening!$9:$9)&lt;=AantalBetalingen,1,0)*IF(GeleendBedrag*Rentevoet*$D$5*BegindatumLening&gt;0,1,0),ROW()-ROW(Lening!$9:$9),""),"")</f>
        <v/>
      </c>
      <c r="C54" s="48" t="str">
        <f>IFERROR(IF(IF(ROW()-ROW(Lening[[#HEADERS],[BET.NR.]])&lt;=AantalBetalingen,1,0)*IF(GeleendBedrag*Rentevoet*Leningjaren*BegindatumLening&gt;0,1,0),TEXT(DATE(YEAR(BegindatumLening),MONTH(BegindatumLening)+B54,DAY(BegindatumLening)),"d-m-yyyy"),""),"")</f>
        <v/>
      </c>
      <c r="D54" s="49" t="str">
        <f>IFERROR(IF(IF(ROW()-ROW(Lening[[#HEADERS],[BET.NR.]])&lt;=AantalBetalingen,1,0)*IF(GeleendBedrag*Rentevoet*Leningjaren*BegindatumLening&gt;0,1,0),-FV(Rentevoet/12,ROW()-ROW(Lening[[#HEADERS],[BET.NR.]])-1,PMT(Rentevoet/12,AantalBetalingen,GeleendBedrag),GeleendBedrag),""),"")</f>
        <v/>
      </c>
      <c r="E54" s="49" t="str">
        <f>IFERROR(IF(IF(ROW()-ROW(Lening[[#HEADERS],[BET.NR.]])&lt;=AantalBetalingen,1,0)*IF(GeleendBedrag*Rentevoet*Leningjaren*BegindatumLening&gt;0,1,0),-PMT(Rentevoet/12,AantalBetalingen,GeleendBedrag),""),"")</f>
        <v/>
      </c>
      <c r="F54" s="49" t="str">
        <f>IFERROR(IF(IF($B54&lt;=AantalBetalingen,1,0)*IF(GeleendBedrag*Rentevoet*Leningjaren*BegindatumLening&gt;0,1,0),-PPMT(Rentevoet/12,ROW()-ROW(Lening[[#HEADERS],[BET.NR.]]),AantalBetalingen,GeleendBedrag),""),"")</f>
        <v/>
      </c>
      <c r="G54" s="49" t="str">
        <f>IFERROR(IF(IF($B54&lt;=AantalBetalingen,1,0)*IF(GeleendBedrag*Rentevoet*Leningjaren*BegindatumLening&gt;0,1,0),-IPMT(Rentevoet/12,$B54,AantalBetalingen,GeleendBedrag),""),"")</f>
        <v/>
      </c>
      <c r="H54" s="49" t="str">
        <f>IFERROR(IF(IF(ROW()-ROW(Lening[[#HEADERS],[BET.NR.]])&lt;=AantalBetalingen,1,0)*IF(GeleendBedrag*Rentevoet*Leningjaren*BegindatumLening&gt;0,1,0),-FV(Rentevoet/12,$B54,PMT(Rentevoet/12,AantalBetalingen,GeleendBedrag),GeleendBedrag),""),"")</f>
        <v/>
      </c>
    </row>
    <row r="55" ht="22.5" customHeight="1">
      <c r="A55" s="46">
        <f>ROW()-ROW(Lening[[#HEADERS],[BET.NR.]])</f>
        <v>46</v>
      </c>
      <c r="B55" s="50" t="str">
        <f>IFERROR(IF(IF(ROW()-ROW(Lening!$9:$9)&lt;=AantalBetalingen,1,0)*IF(GeleendBedrag*Rentevoet*$D$5*BegindatumLening&gt;0,1,0),ROW()-ROW(Lening!$9:$9),""),"")</f>
        <v/>
      </c>
      <c r="C55" s="48" t="str">
        <f>IFERROR(IF(IF(ROW()-ROW(Lening[[#HEADERS],[BET.NR.]])&lt;=AantalBetalingen,1,0)*IF(GeleendBedrag*Rentevoet*Leningjaren*BegindatumLening&gt;0,1,0),TEXT(DATE(YEAR(BegindatumLening),MONTH(BegindatumLening)+B55,DAY(BegindatumLening)),"d-m-yyyy"),""),"")</f>
        <v/>
      </c>
      <c r="D55" s="49" t="str">
        <f>IFERROR(IF(IF(ROW()-ROW(Lening[[#HEADERS],[BET.NR.]])&lt;=AantalBetalingen,1,0)*IF(GeleendBedrag*Rentevoet*Leningjaren*BegindatumLening&gt;0,1,0),-FV(Rentevoet/12,ROW()-ROW(Lening[[#HEADERS],[BET.NR.]])-1,PMT(Rentevoet/12,AantalBetalingen,GeleendBedrag),GeleendBedrag),""),"")</f>
        <v/>
      </c>
      <c r="E55" s="49" t="str">
        <f>IFERROR(IF(IF(ROW()-ROW(Lening[[#HEADERS],[BET.NR.]])&lt;=AantalBetalingen,1,0)*IF(GeleendBedrag*Rentevoet*Leningjaren*BegindatumLening&gt;0,1,0),-PMT(Rentevoet/12,AantalBetalingen,GeleendBedrag),""),"")</f>
        <v/>
      </c>
      <c r="F55" s="49" t="str">
        <f>IFERROR(IF(IF($B55&lt;=AantalBetalingen,1,0)*IF(GeleendBedrag*Rentevoet*Leningjaren*BegindatumLening&gt;0,1,0),-PPMT(Rentevoet/12,ROW()-ROW(Lening[[#HEADERS],[BET.NR.]]),AantalBetalingen,GeleendBedrag),""),"")</f>
        <v/>
      </c>
      <c r="G55" s="49" t="str">
        <f>IFERROR(IF(IF($B55&lt;=AantalBetalingen,1,0)*IF(GeleendBedrag*Rentevoet*Leningjaren*BegindatumLening&gt;0,1,0),-IPMT(Rentevoet/12,$B55,AantalBetalingen,GeleendBedrag),""),"")</f>
        <v/>
      </c>
      <c r="H55" s="49" t="str">
        <f>IFERROR(IF(IF(ROW()-ROW(Lening[[#HEADERS],[BET.NR.]])&lt;=AantalBetalingen,1,0)*IF(GeleendBedrag*Rentevoet*Leningjaren*BegindatumLening&gt;0,1,0),-FV(Rentevoet/12,$B55,PMT(Rentevoet/12,AantalBetalingen,GeleendBedrag),GeleendBedrag),""),"")</f>
        <v/>
      </c>
    </row>
    <row r="56" ht="22.5" customHeight="1">
      <c r="A56" s="46">
        <f>ROW()-ROW(Lening[[#HEADERS],[BET.NR.]])</f>
        <v>47</v>
      </c>
      <c r="B56" s="50" t="str">
        <f>IFERROR(IF(IF(ROW()-ROW(Lening!$9:$9)&lt;=AantalBetalingen,1,0)*IF(GeleendBedrag*Rentevoet*$D$5*BegindatumLening&gt;0,1,0),ROW()-ROW(Lening!$9:$9),""),"")</f>
        <v/>
      </c>
      <c r="C56" s="48" t="str">
        <f>IFERROR(IF(IF(ROW()-ROW(Lening[[#HEADERS],[BET.NR.]])&lt;=AantalBetalingen,1,0)*IF(GeleendBedrag*Rentevoet*Leningjaren*BegindatumLening&gt;0,1,0),TEXT(DATE(YEAR(BegindatumLening),MONTH(BegindatumLening)+B56,DAY(BegindatumLening)),"d-m-yyyy"),""),"")</f>
        <v/>
      </c>
      <c r="D56" s="49" t="str">
        <f>IFERROR(IF(IF(ROW()-ROW(Lening[[#HEADERS],[BET.NR.]])&lt;=AantalBetalingen,1,0)*IF(GeleendBedrag*Rentevoet*Leningjaren*BegindatumLening&gt;0,1,0),-FV(Rentevoet/12,ROW()-ROW(Lening[[#HEADERS],[BET.NR.]])-1,PMT(Rentevoet/12,AantalBetalingen,GeleendBedrag),GeleendBedrag),""),"")</f>
        <v/>
      </c>
      <c r="E56" s="49" t="str">
        <f>IFERROR(IF(IF(ROW()-ROW(Lening[[#HEADERS],[BET.NR.]])&lt;=AantalBetalingen,1,0)*IF(GeleendBedrag*Rentevoet*Leningjaren*BegindatumLening&gt;0,1,0),-PMT(Rentevoet/12,AantalBetalingen,GeleendBedrag),""),"")</f>
        <v/>
      </c>
      <c r="F56" s="49" t="str">
        <f>IFERROR(IF(IF($B56&lt;=AantalBetalingen,1,0)*IF(GeleendBedrag*Rentevoet*Leningjaren*BegindatumLening&gt;0,1,0),-PPMT(Rentevoet/12,ROW()-ROW(Lening[[#HEADERS],[BET.NR.]]),AantalBetalingen,GeleendBedrag),""),"")</f>
        <v/>
      </c>
      <c r="G56" s="49" t="str">
        <f>IFERROR(IF(IF($B56&lt;=AantalBetalingen,1,0)*IF(GeleendBedrag*Rentevoet*Leningjaren*BegindatumLening&gt;0,1,0),-IPMT(Rentevoet/12,$B56,AantalBetalingen,GeleendBedrag),""),"")</f>
        <v/>
      </c>
      <c r="H56" s="49" t="str">
        <f>IFERROR(IF(IF(ROW()-ROW(Lening[[#HEADERS],[BET.NR.]])&lt;=AantalBetalingen,1,0)*IF(GeleendBedrag*Rentevoet*Leningjaren*BegindatumLening&gt;0,1,0),-FV(Rentevoet/12,$B56,PMT(Rentevoet/12,AantalBetalingen,GeleendBedrag),GeleendBedrag),""),"")</f>
        <v/>
      </c>
    </row>
    <row r="57" ht="22.5" customHeight="1">
      <c r="A57" s="46">
        <f>ROW()-ROW(Lening[[#HEADERS],[BET.NR.]])</f>
        <v>48</v>
      </c>
      <c r="B57" s="50" t="str">
        <f>IFERROR(IF(IF(ROW()-ROW(Lening!$9:$9)&lt;=AantalBetalingen,1,0)*IF(GeleendBedrag*Rentevoet*$D$5*BegindatumLening&gt;0,1,0),ROW()-ROW(Lening!$9:$9),""),"")</f>
        <v/>
      </c>
      <c r="C57" s="48" t="str">
        <f>IFERROR(IF(IF(ROW()-ROW(Lening[[#HEADERS],[BET.NR.]])&lt;=AantalBetalingen,1,0)*IF(GeleendBedrag*Rentevoet*Leningjaren*BegindatumLening&gt;0,1,0),TEXT(DATE(YEAR(BegindatumLening),MONTH(BegindatumLening)+B57,DAY(BegindatumLening)),"d-m-yyyy"),""),"")</f>
        <v/>
      </c>
      <c r="D57" s="49" t="str">
        <f>IFERROR(IF(IF(ROW()-ROW(Lening[[#HEADERS],[BET.NR.]])&lt;=AantalBetalingen,1,0)*IF(GeleendBedrag*Rentevoet*Leningjaren*BegindatumLening&gt;0,1,0),-FV(Rentevoet/12,ROW()-ROW(Lening[[#HEADERS],[BET.NR.]])-1,PMT(Rentevoet/12,AantalBetalingen,GeleendBedrag),GeleendBedrag),""),"")</f>
        <v/>
      </c>
      <c r="E57" s="49" t="str">
        <f>IFERROR(IF(IF(ROW()-ROW(Lening[[#HEADERS],[BET.NR.]])&lt;=AantalBetalingen,1,0)*IF(GeleendBedrag*Rentevoet*Leningjaren*BegindatumLening&gt;0,1,0),-PMT(Rentevoet/12,AantalBetalingen,GeleendBedrag),""),"")</f>
        <v/>
      </c>
      <c r="F57" s="49" t="str">
        <f>IFERROR(IF(IF($B57&lt;=AantalBetalingen,1,0)*IF(GeleendBedrag*Rentevoet*Leningjaren*BegindatumLening&gt;0,1,0),-PPMT(Rentevoet/12,ROW()-ROW(Lening[[#HEADERS],[BET.NR.]]),AantalBetalingen,GeleendBedrag),""),"")</f>
        <v/>
      </c>
      <c r="G57" s="49" t="str">
        <f>IFERROR(IF(IF($B57&lt;=AantalBetalingen,1,0)*IF(GeleendBedrag*Rentevoet*Leningjaren*BegindatumLening&gt;0,1,0),-IPMT(Rentevoet/12,$B57,AantalBetalingen,GeleendBedrag),""),"")</f>
        <v/>
      </c>
      <c r="H57" s="49" t="str">
        <f>IFERROR(IF(IF(ROW()-ROW(Lening[[#HEADERS],[BET.NR.]])&lt;=AantalBetalingen,1,0)*IF(GeleendBedrag*Rentevoet*Leningjaren*BegindatumLening&gt;0,1,0),-FV(Rentevoet/12,$B57,PMT(Rentevoet/12,AantalBetalingen,GeleendBedrag),GeleendBedrag),""),"")</f>
        <v/>
      </c>
    </row>
    <row r="58" ht="22.5" customHeight="1">
      <c r="A58" s="46">
        <f>ROW()-ROW(Lening[[#HEADERS],[BET.NR.]])</f>
        <v>49</v>
      </c>
      <c r="B58" s="50" t="str">
        <f>IFERROR(IF(IF(ROW()-ROW(Lening!$9:$9)&lt;=AantalBetalingen,1,0)*IF(GeleendBedrag*Rentevoet*$D$5*BegindatumLening&gt;0,1,0),ROW()-ROW(Lening!$9:$9),""),"")</f>
        <v/>
      </c>
      <c r="C58" s="48" t="str">
        <f>IFERROR(IF(IF(ROW()-ROW(Lening[[#HEADERS],[BET.NR.]])&lt;=AantalBetalingen,1,0)*IF(GeleendBedrag*Rentevoet*Leningjaren*BegindatumLening&gt;0,1,0),TEXT(DATE(YEAR(BegindatumLening),MONTH(BegindatumLening)+B58,DAY(BegindatumLening)),"d-m-yyyy"),""),"")</f>
        <v/>
      </c>
      <c r="D58" s="49" t="str">
        <f>IFERROR(IF(IF(ROW()-ROW(Lening[[#HEADERS],[BET.NR.]])&lt;=AantalBetalingen,1,0)*IF(GeleendBedrag*Rentevoet*Leningjaren*BegindatumLening&gt;0,1,0),-FV(Rentevoet/12,ROW()-ROW(Lening[[#HEADERS],[BET.NR.]])-1,PMT(Rentevoet/12,AantalBetalingen,GeleendBedrag),GeleendBedrag),""),"")</f>
        <v/>
      </c>
      <c r="E58" s="49" t="str">
        <f>IFERROR(IF(IF(ROW()-ROW(Lening[[#HEADERS],[BET.NR.]])&lt;=AantalBetalingen,1,0)*IF(GeleendBedrag*Rentevoet*Leningjaren*BegindatumLening&gt;0,1,0),-PMT(Rentevoet/12,AantalBetalingen,GeleendBedrag),""),"")</f>
        <v/>
      </c>
      <c r="F58" s="49" t="str">
        <f>IFERROR(IF(IF($B58&lt;=AantalBetalingen,1,0)*IF(GeleendBedrag*Rentevoet*Leningjaren*BegindatumLening&gt;0,1,0),-PPMT(Rentevoet/12,ROW()-ROW(Lening[[#HEADERS],[BET.NR.]]),AantalBetalingen,GeleendBedrag),""),"")</f>
        <v/>
      </c>
      <c r="G58" s="49" t="str">
        <f>IFERROR(IF(IF($B58&lt;=AantalBetalingen,1,0)*IF(GeleendBedrag*Rentevoet*Leningjaren*BegindatumLening&gt;0,1,0),-IPMT(Rentevoet/12,$B58,AantalBetalingen,GeleendBedrag),""),"")</f>
        <v/>
      </c>
      <c r="H58" s="49" t="str">
        <f>IFERROR(IF(IF(ROW()-ROW(Lening[[#HEADERS],[BET.NR.]])&lt;=AantalBetalingen,1,0)*IF(GeleendBedrag*Rentevoet*Leningjaren*BegindatumLening&gt;0,1,0),-FV(Rentevoet/12,$B58,PMT(Rentevoet/12,AantalBetalingen,GeleendBedrag),GeleendBedrag),""),"")</f>
        <v/>
      </c>
    </row>
    <row r="59" ht="22.5" customHeight="1">
      <c r="A59" s="46">
        <f>ROW()-ROW(Lening[[#HEADERS],[BET.NR.]])</f>
        <v>50</v>
      </c>
      <c r="B59" s="50" t="str">
        <f>IFERROR(IF(IF(ROW()-ROW(Lening!$9:$9)&lt;=AantalBetalingen,1,0)*IF(GeleendBedrag*Rentevoet*$D$5*BegindatumLening&gt;0,1,0),ROW()-ROW(Lening!$9:$9),""),"")</f>
        <v/>
      </c>
      <c r="C59" s="48" t="str">
        <f>IFERROR(IF(IF(ROW()-ROW(Lening[[#HEADERS],[BET.NR.]])&lt;=AantalBetalingen,1,0)*IF(GeleendBedrag*Rentevoet*Leningjaren*BegindatumLening&gt;0,1,0),TEXT(DATE(YEAR(BegindatumLening),MONTH(BegindatumLening)+B59,DAY(BegindatumLening)),"d-m-yyyy"),""),"")</f>
        <v/>
      </c>
      <c r="D59" s="49" t="str">
        <f>IFERROR(IF(IF(ROW()-ROW(Lening[[#HEADERS],[BET.NR.]])&lt;=AantalBetalingen,1,0)*IF(GeleendBedrag*Rentevoet*Leningjaren*BegindatumLening&gt;0,1,0),-FV(Rentevoet/12,ROW()-ROW(Lening[[#HEADERS],[BET.NR.]])-1,PMT(Rentevoet/12,AantalBetalingen,GeleendBedrag),GeleendBedrag),""),"")</f>
        <v/>
      </c>
      <c r="E59" s="49" t="str">
        <f>IFERROR(IF(IF(ROW()-ROW(Lening[[#HEADERS],[BET.NR.]])&lt;=AantalBetalingen,1,0)*IF(GeleendBedrag*Rentevoet*Leningjaren*BegindatumLening&gt;0,1,0),-PMT(Rentevoet/12,AantalBetalingen,GeleendBedrag),""),"")</f>
        <v/>
      </c>
      <c r="F59" s="49" t="str">
        <f>IFERROR(IF(IF($B59&lt;=AantalBetalingen,1,0)*IF(GeleendBedrag*Rentevoet*Leningjaren*BegindatumLening&gt;0,1,0),-PPMT(Rentevoet/12,ROW()-ROW(Lening[[#HEADERS],[BET.NR.]]),AantalBetalingen,GeleendBedrag),""),"")</f>
        <v/>
      </c>
      <c r="G59" s="49" t="str">
        <f>IFERROR(IF(IF($B59&lt;=AantalBetalingen,1,0)*IF(GeleendBedrag*Rentevoet*Leningjaren*BegindatumLening&gt;0,1,0),-IPMT(Rentevoet/12,$B59,AantalBetalingen,GeleendBedrag),""),"")</f>
        <v/>
      </c>
      <c r="H59" s="49" t="str">
        <f>IFERROR(IF(IF(ROW()-ROW(Lening[[#HEADERS],[BET.NR.]])&lt;=AantalBetalingen,1,0)*IF(GeleendBedrag*Rentevoet*Leningjaren*BegindatumLening&gt;0,1,0),-FV(Rentevoet/12,$B59,PMT(Rentevoet/12,AantalBetalingen,GeleendBedrag),GeleendBedrag),""),"")</f>
        <v/>
      </c>
    </row>
    <row r="60" ht="22.5" customHeight="1">
      <c r="A60" s="46">
        <f>ROW()-ROW(Lening[[#HEADERS],[BET.NR.]])</f>
        <v>51</v>
      </c>
      <c r="B60" s="50" t="str">
        <f>IFERROR(IF(IF(ROW()-ROW(Lening!$9:$9)&lt;=AantalBetalingen,1,0)*IF(GeleendBedrag*Rentevoet*$D$5*BegindatumLening&gt;0,1,0),ROW()-ROW(Lening!$9:$9),""),"")</f>
        <v/>
      </c>
      <c r="C60" s="48" t="str">
        <f>IFERROR(IF(IF(ROW()-ROW(Lening[[#HEADERS],[BET.NR.]])&lt;=AantalBetalingen,1,0)*IF(GeleendBedrag*Rentevoet*Leningjaren*BegindatumLening&gt;0,1,0),TEXT(DATE(YEAR(BegindatumLening),MONTH(BegindatumLening)+B60,DAY(BegindatumLening)),"d-m-yyyy"),""),"")</f>
        <v/>
      </c>
      <c r="D60" s="49" t="str">
        <f>IFERROR(IF(IF(ROW()-ROW(Lening[[#HEADERS],[BET.NR.]])&lt;=AantalBetalingen,1,0)*IF(GeleendBedrag*Rentevoet*Leningjaren*BegindatumLening&gt;0,1,0),-FV(Rentevoet/12,ROW()-ROW(Lening[[#HEADERS],[BET.NR.]])-1,PMT(Rentevoet/12,AantalBetalingen,GeleendBedrag),GeleendBedrag),""),"")</f>
        <v/>
      </c>
      <c r="E60" s="49" t="str">
        <f>IFERROR(IF(IF(ROW()-ROW(Lening[[#HEADERS],[BET.NR.]])&lt;=AantalBetalingen,1,0)*IF(GeleendBedrag*Rentevoet*Leningjaren*BegindatumLening&gt;0,1,0),-PMT(Rentevoet/12,AantalBetalingen,GeleendBedrag),""),"")</f>
        <v/>
      </c>
      <c r="F60" s="49" t="str">
        <f>IFERROR(IF(IF($B60&lt;=AantalBetalingen,1,0)*IF(GeleendBedrag*Rentevoet*Leningjaren*BegindatumLening&gt;0,1,0),-PPMT(Rentevoet/12,ROW()-ROW(Lening[[#HEADERS],[BET.NR.]]),AantalBetalingen,GeleendBedrag),""),"")</f>
        <v/>
      </c>
      <c r="G60" s="49" t="str">
        <f>IFERROR(IF(IF($B60&lt;=AantalBetalingen,1,0)*IF(GeleendBedrag*Rentevoet*Leningjaren*BegindatumLening&gt;0,1,0),-IPMT(Rentevoet/12,$B60,AantalBetalingen,GeleendBedrag),""),"")</f>
        <v/>
      </c>
      <c r="H60" s="49" t="str">
        <f>IFERROR(IF(IF(ROW()-ROW(Lening[[#HEADERS],[BET.NR.]])&lt;=AantalBetalingen,1,0)*IF(GeleendBedrag*Rentevoet*Leningjaren*BegindatumLening&gt;0,1,0),-FV(Rentevoet/12,$B60,PMT(Rentevoet/12,AantalBetalingen,GeleendBedrag),GeleendBedrag),""),"")</f>
        <v/>
      </c>
    </row>
    <row r="61" ht="22.5" customHeight="1">
      <c r="A61" s="46">
        <f>ROW()-ROW(Lening[[#HEADERS],[BET.NR.]])</f>
        <v>52</v>
      </c>
      <c r="B61" s="50" t="str">
        <f>IFERROR(IF(IF(ROW()-ROW(Lening!$9:$9)&lt;=AantalBetalingen,1,0)*IF(GeleendBedrag*Rentevoet*$D$5*BegindatumLening&gt;0,1,0),ROW()-ROW(Lening!$9:$9),""),"")</f>
        <v/>
      </c>
      <c r="C61" s="48" t="str">
        <f>IFERROR(IF(IF(ROW()-ROW(Lening[[#HEADERS],[BET.NR.]])&lt;=AantalBetalingen,1,0)*IF(GeleendBedrag*Rentevoet*Leningjaren*BegindatumLening&gt;0,1,0),TEXT(DATE(YEAR(BegindatumLening),MONTH(BegindatumLening)+B61,DAY(BegindatumLening)),"d-m-yyyy"),""),"")</f>
        <v/>
      </c>
      <c r="D61" s="49" t="str">
        <f>IFERROR(IF(IF(ROW()-ROW(Lening[[#HEADERS],[BET.NR.]])&lt;=AantalBetalingen,1,0)*IF(GeleendBedrag*Rentevoet*Leningjaren*BegindatumLening&gt;0,1,0),-FV(Rentevoet/12,ROW()-ROW(Lening[[#HEADERS],[BET.NR.]])-1,PMT(Rentevoet/12,AantalBetalingen,GeleendBedrag),GeleendBedrag),""),"")</f>
        <v/>
      </c>
      <c r="E61" s="49" t="str">
        <f>IFERROR(IF(IF(ROW()-ROW(Lening[[#HEADERS],[BET.NR.]])&lt;=AantalBetalingen,1,0)*IF(GeleendBedrag*Rentevoet*Leningjaren*BegindatumLening&gt;0,1,0),-PMT(Rentevoet/12,AantalBetalingen,GeleendBedrag),""),"")</f>
        <v/>
      </c>
      <c r="F61" s="49" t="str">
        <f>IFERROR(IF(IF($B61&lt;=AantalBetalingen,1,0)*IF(GeleendBedrag*Rentevoet*Leningjaren*BegindatumLening&gt;0,1,0),-PPMT(Rentevoet/12,ROW()-ROW(Lening[[#HEADERS],[BET.NR.]]),AantalBetalingen,GeleendBedrag),""),"")</f>
        <v/>
      </c>
      <c r="G61" s="49" t="str">
        <f>IFERROR(IF(IF($B61&lt;=AantalBetalingen,1,0)*IF(GeleendBedrag*Rentevoet*Leningjaren*BegindatumLening&gt;0,1,0),-IPMT(Rentevoet/12,$B61,AantalBetalingen,GeleendBedrag),""),"")</f>
        <v/>
      </c>
      <c r="H61" s="49" t="str">
        <f>IFERROR(IF(IF(ROW()-ROW(Lening[[#HEADERS],[BET.NR.]])&lt;=AantalBetalingen,1,0)*IF(GeleendBedrag*Rentevoet*Leningjaren*BegindatumLening&gt;0,1,0),-FV(Rentevoet/12,$B61,PMT(Rentevoet/12,AantalBetalingen,GeleendBedrag),GeleendBedrag),""),"")</f>
        <v/>
      </c>
    </row>
    <row r="62" ht="22.5" customHeight="1">
      <c r="A62" s="46">
        <f>ROW()-ROW(Lening[[#HEADERS],[BET.NR.]])</f>
        <v>53</v>
      </c>
      <c r="B62" s="50" t="str">
        <f>IFERROR(IF(IF(ROW()-ROW(Lening!$9:$9)&lt;=AantalBetalingen,1,0)*IF(GeleendBedrag*Rentevoet*$D$5*BegindatumLening&gt;0,1,0),ROW()-ROW(Lening!$9:$9),""),"")</f>
        <v/>
      </c>
      <c r="C62" s="48" t="str">
        <f>IFERROR(IF(IF(ROW()-ROW(Lening[[#HEADERS],[BET.NR.]])&lt;=AantalBetalingen,1,0)*IF(GeleendBedrag*Rentevoet*Leningjaren*BegindatumLening&gt;0,1,0),TEXT(DATE(YEAR(BegindatumLening),MONTH(BegindatumLening)+B62,DAY(BegindatumLening)),"d-m-yyyy"),""),"")</f>
        <v/>
      </c>
      <c r="D62" s="49" t="str">
        <f>IFERROR(IF(IF(ROW()-ROW(Lening[[#HEADERS],[BET.NR.]])&lt;=AantalBetalingen,1,0)*IF(GeleendBedrag*Rentevoet*Leningjaren*BegindatumLening&gt;0,1,0),-FV(Rentevoet/12,ROW()-ROW(Lening[[#HEADERS],[BET.NR.]])-1,PMT(Rentevoet/12,AantalBetalingen,GeleendBedrag),GeleendBedrag),""),"")</f>
        <v/>
      </c>
      <c r="E62" s="49" t="str">
        <f>IFERROR(IF(IF(ROW()-ROW(Lening[[#HEADERS],[BET.NR.]])&lt;=AantalBetalingen,1,0)*IF(GeleendBedrag*Rentevoet*Leningjaren*BegindatumLening&gt;0,1,0),-PMT(Rentevoet/12,AantalBetalingen,GeleendBedrag),""),"")</f>
        <v/>
      </c>
      <c r="F62" s="49" t="str">
        <f>IFERROR(IF(IF($B62&lt;=AantalBetalingen,1,0)*IF(GeleendBedrag*Rentevoet*Leningjaren*BegindatumLening&gt;0,1,0),-PPMT(Rentevoet/12,ROW()-ROW(Lening[[#HEADERS],[BET.NR.]]),AantalBetalingen,GeleendBedrag),""),"")</f>
        <v/>
      </c>
      <c r="G62" s="49" t="str">
        <f>IFERROR(IF(IF($B62&lt;=AantalBetalingen,1,0)*IF(GeleendBedrag*Rentevoet*Leningjaren*BegindatumLening&gt;0,1,0),-IPMT(Rentevoet/12,$B62,AantalBetalingen,GeleendBedrag),""),"")</f>
        <v/>
      </c>
      <c r="H62" s="49" t="str">
        <f>IFERROR(IF(IF(ROW()-ROW(Lening[[#HEADERS],[BET.NR.]])&lt;=AantalBetalingen,1,0)*IF(GeleendBedrag*Rentevoet*Leningjaren*BegindatumLening&gt;0,1,0),-FV(Rentevoet/12,$B62,PMT(Rentevoet/12,AantalBetalingen,GeleendBedrag),GeleendBedrag),""),"")</f>
        <v/>
      </c>
    </row>
    <row r="63" ht="22.5" customHeight="1">
      <c r="A63" s="46">
        <f>ROW()-ROW(Lening[[#HEADERS],[BET.NR.]])</f>
        <v>54</v>
      </c>
      <c r="B63" s="50" t="str">
        <f>IFERROR(IF(IF(ROW()-ROW(Lening!$9:$9)&lt;=AantalBetalingen,1,0)*IF(GeleendBedrag*Rentevoet*$D$5*BegindatumLening&gt;0,1,0),ROW()-ROW(Lening!$9:$9),""),"")</f>
        <v/>
      </c>
      <c r="C63" s="48" t="str">
        <f>IFERROR(IF(IF(ROW()-ROW(Lening[[#HEADERS],[BET.NR.]])&lt;=AantalBetalingen,1,0)*IF(GeleendBedrag*Rentevoet*Leningjaren*BegindatumLening&gt;0,1,0),TEXT(DATE(YEAR(BegindatumLening),MONTH(BegindatumLening)+B63,DAY(BegindatumLening)),"d-m-yyyy"),""),"")</f>
        <v/>
      </c>
      <c r="D63" s="49" t="str">
        <f>IFERROR(IF(IF(ROW()-ROW(Lening[[#HEADERS],[BET.NR.]])&lt;=AantalBetalingen,1,0)*IF(GeleendBedrag*Rentevoet*Leningjaren*BegindatumLening&gt;0,1,0),-FV(Rentevoet/12,ROW()-ROW(Lening[[#HEADERS],[BET.NR.]])-1,PMT(Rentevoet/12,AantalBetalingen,GeleendBedrag),GeleendBedrag),""),"")</f>
        <v/>
      </c>
      <c r="E63" s="49" t="str">
        <f>IFERROR(IF(IF(ROW()-ROW(Lening[[#HEADERS],[BET.NR.]])&lt;=AantalBetalingen,1,0)*IF(GeleendBedrag*Rentevoet*Leningjaren*BegindatumLening&gt;0,1,0),-PMT(Rentevoet/12,AantalBetalingen,GeleendBedrag),""),"")</f>
        <v/>
      </c>
      <c r="F63" s="49" t="str">
        <f>IFERROR(IF(IF($B63&lt;=AantalBetalingen,1,0)*IF(GeleendBedrag*Rentevoet*Leningjaren*BegindatumLening&gt;0,1,0),-PPMT(Rentevoet/12,ROW()-ROW(Lening[[#HEADERS],[BET.NR.]]),AantalBetalingen,GeleendBedrag),""),"")</f>
        <v/>
      </c>
      <c r="G63" s="49" t="str">
        <f>IFERROR(IF(IF($B63&lt;=AantalBetalingen,1,0)*IF(GeleendBedrag*Rentevoet*Leningjaren*BegindatumLening&gt;0,1,0),-IPMT(Rentevoet/12,$B63,AantalBetalingen,GeleendBedrag),""),"")</f>
        <v/>
      </c>
      <c r="H63" s="49" t="str">
        <f>IFERROR(IF(IF(ROW()-ROW(Lening[[#HEADERS],[BET.NR.]])&lt;=AantalBetalingen,1,0)*IF(GeleendBedrag*Rentevoet*Leningjaren*BegindatumLening&gt;0,1,0),-FV(Rentevoet/12,$B63,PMT(Rentevoet/12,AantalBetalingen,GeleendBedrag),GeleendBedrag),""),"")</f>
        <v/>
      </c>
    </row>
    <row r="64" ht="22.5" customHeight="1">
      <c r="A64" s="46">
        <f>ROW()-ROW(Lening[[#HEADERS],[BET.NR.]])</f>
        <v>55</v>
      </c>
      <c r="B64" s="50" t="str">
        <f>IFERROR(IF(IF(ROW()-ROW(Lening!$9:$9)&lt;=AantalBetalingen,1,0)*IF(GeleendBedrag*Rentevoet*$D$5*BegindatumLening&gt;0,1,0),ROW()-ROW(Lening!$9:$9),""),"")</f>
        <v/>
      </c>
      <c r="C64" s="48" t="str">
        <f>IFERROR(IF(IF(ROW()-ROW(Lening[[#HEADERS],[BET.NR.]])&lt;=AantalBetalingen,1,0)*IF(GeleendBedrag*Rentevoet*Leningjaren*BegindatumLening&gt;0,1,0),TEXT(DATE(YEAR(BegindatumLening),MONTH(BegindatumLening)+B64,DAY(BegindatumLening)),"d-m-yyyy"),""),"")</f>
        <v/>
      </c>
      <c r="D64" s="49" t="str">
        <f>IFERROR(IF(IF(ROW()-ROW(Lening[[#HEADERS],[BET.NR.]])&lt;=AantalBetalingen,1,0)*IF(GeleendBedrag*Rentevoet*Leningjaren*BegindatumLening&gt;0,1,0),-FV(Rentevoet/12,ROW()-ROW(Lening[[#HEADERS],[BET.NR.]])-1,PMT(Rentevoet/12,AantalBetalingen,GeleendBedrag),GeleendBedrag),""),"")</f>
        <v/>
      </c>
      <c r="E64" s="49" t="str">
        <f>IFERROR(IF(IF(ROW()-ROW(Lening[[#HEADERS],[BET.NR.]])&lt;=AantalBetalingen,1,0)*IF(GeleendBedrag*Rentevoet*Leningjaren*BegindatumLening&gt;0,1,0),-PMT(Rentevoet/12,AantalBetalingen,GeleendBedrag),""),"")</f>
        <v/>
      </c>
      <c r="F64" s="49" t="str">
        <f>IFERROR(IF(IF($B64&lt;=AantalBetalingen,1,0)*IF(GeleendBedrag*Rentevoet*Leningjaren*BegindatumLening&gt;0,1,0),-PPMT(Rentevoet/12,ROW()-ROW(Lening[[#HEADERS],[BET.NR.]]),AantalBetalingen,GeleendBedrag),""),"")</f>
        <v/>
      </c>
      <c r="G64" s="49" t="str">
        <f>IFERROR(IF(IF($B64&lt;=AantalBetalingen,1,0)*IF(GeleendBedrag*Rentevoet*Leningjaren*BegindatumLening&gt;0,1,0),-IPMT(Rentevoet/12,$B64,AantalBetalingen,GeleendBedrag),""),"")</f>
        <v/>
      </c>
      <c r="H64" s="49" t="str">
        <f>IFERROR(IF(IF(ROW()-ROW(Lening[[#HEADERS],[BET.NR.]])&lt;=AantalBetalingen,1,0)*IF(GeleendBedrag*Rentevoet*Leningjaren*BegindatumLening&gt;0,1,0),-FV(Rentevoet/12,$B64,PMT(Rentevoet/12,AantalBetalingen,GeleendBedrag),GeleendBedrag),""),"")</f>
        <v/>
      </c>
    </row>
    <row r="65" ht="22.5" customHeight="1">
      <c r="A65" s="46">
        <f>ROW()-ROW(Lening[[#HEADERS],[BET.NR.]])</f>
        <v>56</v>
      </c>
      <c r="B65" s="50" t="str">
        <f>IFERROR(IF(IF(ROW()-ROW(Lening!$9:$9)&lt;=AantalBetalingen,1,0)*IF(GeleendBedrag*Rentevoet*$D$5*BegindatumLening&gt;0,1,0),ROW()-ROW(Lening!$9:$9),""),"")</f>
        <v/>
      </c>
      <c r="C65" s="48" t="str">
        <f>IFERROR(IF(IF(ROW()-ROW(Lening[[#HEADERS],[BET.NR.]])&lt;=AantalBetalingen,1,0)*IF(GeleendBedrag*Rentevoet*Leningjaren*BegindatumLening&gt;0,1,0),TEXT(DATE(YEAR(BegindatumLening),MONTH(BegindatumLening)+B65,DAY(BegindatumLening)),"d-m-yyyy"),""),"")</f>
        <v/>
      </c>
      <c r="D65" s="49" t="str">
        <f>IFERROR(IF(IF(ROW()-ROW(Lening[[#HEADERS],[BET.NR.]])&lt;=AantalBetalingen,1,0)*IF(GeleendBedrag*Rentevoet*Leningjaren*BegindatumLening&gt;0,1,0),-FV(Rentevoet/12,ROW()-ROW(Lening[[#HEADERS],[BET.NR.]])-1,PMT(Rentevoet/12,AantalBetalingen,GeleendBedrag),GeleendBedrag),""),"")</f>
        <v/>
      </c>
      <c r="E65" s="49" t="str">
        <f>IFERROR(IF(IF(ROW()-ROW(Lening[[#HEADERS],[BET.NR.]])&lt;=AantalBetalingen,1,0)*IF(GeleendBedrag*Rentevoet*Leningjaren*BegindatumLening&gt;0,1,0),-PMT(Rentevoet/12,AantalBetalingen,GeleendBedrag),""),"")</f>
        <v/>
      </c>
      <c r="F65" s="49" t="str">
        <f>IFERROR(IF(IF($B65&lt;=AantalBetalingen,1,0)*IF(GeleendBedrag*Rentevoet*Leningjaren*BegindatumLening&gt;0,1,0),-PPMT(Rentevoet/12,ROW()-ROW(Lening[[#HEADERS],[BET.NR.]]),AantalBetalingen,GeleendBedrag),""),"")</f>
        <v/>
      </c>
      <c r="G65" s="49" t="str">
        <f>IFERROR(IF(IF($B65&lt;=AantalBetalingen,1,0)*IF(GeleendBedrag*Rentevoet*Leningjaren*BegindatumLening&gt;0,1,0),-IPMT(Rentevoet/12,$B65,AantalBetalingen,GeleendBedrag),""),"")</f>
        <v/>
      </c>
      <c r="H65" s="49" t="str">
        <f>IFERROR(IF(IF(ROW()-ROW(Lening[[#HEADERS],[BET.NR.]])&lt;=AantalBetalingen,1,0)*IF(GeleendBedrag*Rentevoet*Leningjaren*BegindatumLening&gt;0,1,0),-FV(Rentevoet/12,$B65,PMT(Rentevoet/12,AantalBetalingen,GeleendBedrag),GeleendBedrag),""),"")</f>
        <v/>
      </c>
    </row>
    <row r="66" ht="22.5" customHeight="1">
      <c r="A66" s="46">
        <f>ROW()-ROW(Lening[[#HEADERS],[BET.NR.]])</f>
        <v>57</v>
      </c>
      <c r="B66" s="50" t="str">
        <f>IFERROR(IF(IF(ROW()-ROW(Lening!$9:$9)&lt;=AantalBetalingen,1,0)*IF(GeleendBedrag*Rentevoet*$D$5*BegindatumLening&gt;0,1,0),ROW()-ROW(Lening!$9:$9),""),"")</f>
        <v/>
      </c>
      <c r="C66" s="48" t="str">
        <f>IFERROR(IF(IF(ROW()-ROW(Lening[[#HEADERS],[BET.NR.]])&lt;=AantalBetalingen,1,0)*IF(GeleendBedrag*Rentevoet*Leningjaren*BegindatumLening&gt;0,1,0),TEXT(DATE(YEAR(BegindatumLening),MONTH(BegindatumLening)+B66,DAY(BegindatumLening)),"d-m-yyyy"),""),"")</f>
        <v/>
      </c>
      <c r="D66" s="49" t="str">
        <f>IFERROR(IF(IF(ROW()-ROW(Lening[[#HEADERS],[BET.NR.]])&lt;=AantalBetalingen,1,0)*IF(GeleendBedrag*Rentevoet*Leningjaren*BegindatumLening&gt;0,1,0),-FV(Rentevoet/12,ROW()-ROW(Lening[[#HEADERS],[BET.NR.]])-1,PMT(Rentevoet/12,AantalBetalingen,GeleendBedrag),GeleendBedrag),""),"")</f>
        <v/>
      </c>
      <c r="E66" s="49" t="str">
        <f>IFERROR(IF(IF(ROW()-ROW(Lening[[#HEADERS],[BET.NR.]])&lt;=AantalBetalingen,1,0)*IF(GeleendBedrag*Rentevoet*Leningjaren*BegindatumLening&gt;0,1,0),-PMT(Rentevoet/12,AantalBetalingen,GeleendBedrag),""),"")</f>
        <v/>
      </c>
      <c r="F66" s="49" t="str">
        <f>IFERROR(IF(IF($B66&lt;=AantalBetalingen,1,0)*IF(GeleendBedrag*Rentevoet*Leningjaren*BegindatumLening&gt;0,1,0),-PPMT(Rentevoet/12,ROW()-ROW(Lening[[#HEADERS],[BET.NR.]]),AantalBetalingen,GeleendBedrag),""),"")</f>
        <v/>
      </c>
      <c r="G66" s="49" t="str">
        <f>IFERROR(IF(IF($B66&lt;=AantalBetalingen,1,0)*IF(GeleendBedrag*Rentevoet*Leningjaren*BegindatumLening&gt;0,1,0),-IPMT(Rentevoet/12,$B66,AantalBetalingen,GeleendBedrag),""),"")</f>
        <v/>
      </c>
      <c r="H66" s="49" t="str">
        <f>IFERROR(IF(IF(ROW()-ROW(Lening[[#HEADERS],[BET.NR.]])&lt;=AantalBetalingen,1,0)*IF(GeleendBedrag*Rentevoet*Leningjaren*BegindatumLening&gt;0,1,0),-FV(Rentevoet/12,$B66,PMT(Rentevoet/12,AantalBetalingen,GeleendBedrag),GeleendBedrag),""),"")</f>
        <v/>
      </c>
    </row>
    <row r="67" ht="22.5" customHeight="1">
      <c r="A67" s="46">
        <f>ROW()-ROW(Lening[[#HEADERS],[BET.NR.]])</f>
        <v>58</v>
      </c>
      <c r="B67" s="50" t="str">
        <f>IFERROR(IF(IF(ROW()-ROW(Lening!$9:$9)&lt;=AantalBetalingen,1,0)*IF(GeleendBedrag*Rentevoet*$D$5*BegindatumLening&gt;0,1,0),ROW()-ROW(Lening!$9:$9),""),"")</f>
        <v/>
      </c>
      <c r="C67" s="48" t="str">
        <f>IFERROR(IF(IF(ROW()-ROW(Lening[[#HEADERS],[BET.NR.]])&lt;=AantalBetalingen,1,0)*IF(GeleendBedrag*Rentevoet*Leningjaren*BegindatumLening&gt;0,1,0),TEXT(DATE(YEAR(BegindatumLening),MONTH(BegindatumLening)+B67,DAY(BegindatumLening)),"d-m-yyyy"),""),"")</f>
        <v/>
      </c>
      <c r="D67" s="49" t="str">
        <f>IFERROR(IF(IF(ROW()-ROW(Lening[[#HEADERS],[BET.NR.]])&lt;=AantalBetalingen,1,0)*IF(GeleendBedrag*Rentevoet*Leningjaren*BegindatumLening&gt;0,1,0),-FV(Rentevoet/12,ROW()-ROW(Lening[[#HEADERS],[BET.NR.]])-1,PMT(Rentevoet/12,AantalBetalingen,GeleendBedrag),GeleendBedrag),""),"")</f>
        <v/>
      </c>
      <c r="E67" s="49" t="str">
        <f>IFERROR(IF(IF(ROW()-ROW(Lening[[#HEADERS],[BET.NR.]])&lt;=AantalBetalingen,1,0)*IF(GeleendBedrag*Rentevoet*Leningjaren*BegindatumLening&gt;0,1,0),-PMT(Rentevoet/12,AantalBetalingen,GeleendBedrag),""),"")</f>
        <v/>
      </c>
      <c r="F67" s="49" t="str">
        <f>IFERROR(IF(IF($B67&lt;=AantalBetalingen,1,0)*IF(GeleendBedrag*Rentevoet*Leningjaren*BegindatumLening&gt;0,1,0),-PPMT(Rentevoet/12,ROW()-ROW(Lening[[#HEADERS],[BET.NR.]]),AantalBetalingen,GeleendBedrag),""),"")</f>
        <v/>
      </c>
      <c r="G67" s="49" t="str">
        <f>IFERROR(IF(IF($B67&lt;=AantalBetalingen,1,0)*IF(GeleendBedrag*Rentevoet*Leningjaren*BegindatumLening&gt;0,1,0),-IPMT(Rentevoet/12,$B67,AantalBetalingen,GeleendBedrag),""),"")</f>
        <v/>
      </c>
      <c r="H67" s="49" t="str">
        <f>IFERROR(IF(IF(ROW()-ROW(Lening[[#HEADERS],[BET.NR.]])&lt;=AantalBetalingen,1,0)*IF(GeleendBedrag*Rentevoet*Leningjaren*BegindatumLening&gt;0,1,0),-FV(Rentevoet/12,$B67,PMT(Rentevoet/12,AantalBetalingen,GeleendBedrag),GeleendBedrag),""),"")</f>
        <v/>
      </c>
    </row>
    <row r="68" ht="22.5" customHeight="1">
      <c r="A68" s="46">
        <f>ROW()-ROW(Lening[[#HEADERS],[BET.NR.]])</f>
        <v>59</v>
      </c>
      <c r="B68" s="50" t="str">
        <f>IFERROR(IF(IF(ROW()-ROW(Lening!$9:$9)&lt;=AantalBetalingen,1,0)*IF(GeleendBedrag*Rentevoet*$D$5*BegindatumLening&gt;0,1,0),ROW()-ROW(Lening!$9:$9),""),"")</f>
        <v/>
      </c>
      <c r="C68" s="48" t="str">
        <f>IFERROR(IF(IF(ROW()-ROW(Lening[[#HEADERS],[BET.NR.]])&lt;=AantalBetalingen,1,0)*IF(GeleendBedrag*Rentevoet*Leningjaren*BegindatumLening&gt;0,1,0),TEXT(DATE(YEAR(BegindatumLening),MONTH(BegindatumLening)+B68,DAY(BegindatumLening)),"d-m-yyyy"),""),"")</f>
        <v/>
      </c>
      <c r="D68" s="49" t="str">
        <f>IFERROR(IF(IF(ROW()-ROW(Lening[[#HEADERS],[BET.NR.]])&lt;=AantalBetalingen,1,0)*IF(GeleendBedrag*Rentevoet*Leningjaren*BegindatumLening&gt;0,1,0),-FV(Rentevoet/12,ROW()-ROW(Lening[[#HEADERS],[BET.NR.]])-1,PMT(Rentevoet/12,AantalBetalingen,GeleendBedrag),GeleendBedrag),""),"")</f>
        <v/>
      </c>
      <c r="E68" s="49" t="str">
        <f>IFERROR(IF(IF(ROW()-ROW(Lening[[#HEADERS],[BET.NR.]])&lt;=AantalBetalingen,1,0)*IF(GeleendBedrag*Rentevoet*Leningjaren*BegindatumLening&gt;0,1,0),-PMT(Rentevoet/12,AantalBetalingen,GeleendBedrag),""),"")</f>
        <v/>
      </c>
      <c r="F68" s="49" t="str">
        <f>IFERROR(IF(IF($B68&lt;=AantalBetalingen,1,0)*IF(GeleendBedrag*Rentevoet*Leningjaren*BegindatumLening&gt;0,1,0),-PPMT(Rentevoet/12,ROW()-ROW(Lening[[#HEADERS],[BET.NR.]]),AantalBetalingen,GeleendBedrag),""),"")</f>
        <v/>
      </c>
      <c r="G68" s="49" t="str">
        <f>IFERROR(IF(IF($B68&lt;=AantalBetalingen,1,0)*IF(GeleendBedrag*Rentevoet*Leningjaren*BegindatumLening&gt;0,1,0),-IPMT(Rentevoet/12,$B68,AantalBetalingen,GeleendBedrag),""),"")</f>
        <v/>
      </c>
      <c r="H68" s="49" t="str">
        <f>IFERROR(IF(IF(ROW()-ROW(Lening[[#HEADERS],[BET.NR.]])&lt;=AantalBetalingen,1,0)*IF(GeleendBedrag*Rentevoet*Leningjaren*BegindatumLening&gt;0,1,0),-FV(Rentevoet/12,$B68,PMT(Rentevoet/12,AantalBetalingen,GeleendBedrag),GeleendBedrag),""),"")</f>
        <v/>
      </c>
    </row>
    <row r="69" ht="22.5" customHeight="1">
      <c r="A69" s="46">
        <f>ROW()-ROW(Lening[[#HEADERS],[BET.NR.]])</f>
        <v>60</v>
      </c>
      <c r="B69" s="50" t="str">
        <f>IFERROR(IF(IF(ROW()-ROW(Lening!$9:$9)&lt;=AantalBetalingen,1,0)*IF(GeleendBedrag*Rentevoet*$D$5*BegindatumLening&gt;0,1,0),ROW()-ROW(Lening!$9:$9),""),"")</f>
        <v/>
      </c>
      <c r="C69" s="48" t="str">
        <f>IFERROR(IF(IF(ROW()-ROW(Lening[[#HEADERS],[BET.NR.]])&lt;=AantalBetalingen,1,0)*IF(GeleendBedrag*Rentevoet*Leningjaren*BegindatumLening&gt;0,1,0),TEXT(DATE(YEAR(BegindatumLening),MONTH(BegindatumLening)+B69,DAY(BegindatumLening)),"d-m-yyyy"),""),"")</f>
        <v/>
      </c>
      <c r="D69" s="49" t="str">
        <f>IFERROR(IF(IF(ROW()-ROW(Lening[[#HEADERS],[BET.NR.]])&lt;=AantalBetalingen,1,0)*IF(GeleendBedrag*Rentevoet*Leningjaren*BegindatumLening&gt;0,1,0),-FV(Rentevoet/12,ROW()-ROW(Lening[[#HEADERS],[BET.NR.]])-1,PMT(Rentevoet/12,AantalBetalingen,GeleendBedrag),GeleendBedrag),""),"")</f>
        <v/>
      </c>
      <c r="E69" s="49" t="str">
        <f>IFERROR(IF(IF(ROW()-ROW(Lening[[#HEADERS],[BET.NR.]])&lt;=AantalBetalingen,1,0)*IF(GeleendBedrag*Rentevoet*Leningjaren*BegindatumLening&gt;0,1,0),-PMT(Rentevoet/12,AantalBetalingen,GeleendBedrag),""),"")</f>
        <v/>
      </c>
      <c r="F69" s="49" t="str">
        <f>IFERROR(IF(IF($B69&lt;=AantalBetalingen,1,0)*IF(GeleendBedrag*Rentevoet*Leningjaren*BegindatumLening&gt;0,1,0),-PPMT(Rentevoet/12,ROW()-ROW(Lening[[#HEADERS],[BET.NR.]]),AantalBetalingen,GeleendBedrag),""),"")</f>
        <v/>
      </c>
      <c r="G69" s="49" t="str">
        <f>IFERROR(IF(IF($B69&lt;=AantalBetalingen,1,0)*IF(GeleendBedrag*Rentevoet*Leningjaren*BegindatumLening&gt;0,1,0),-IPMT(Rentevoet/12,$B69,AantalBetalingen,GeleendBedrag),""),"")</f>
        <v/>
      </c>
      <c r="H69" s="49" t="str">
        <f>IFERROR(IF(IF(ROW()-ROW(Lening[[#HEADERS],[BET.NR.]])&lt;=AantalBetalingen,1,0)*IF(GeleendBedrag*Rentevoet*Leningjaren*BegindatumLening&gt;0,1,0),-FV(Rentevoet/12,$B69,PMT(Rentevoet/12,AantalBetalingen,GeleendBedrag),GeleendBedrag),""),"")</f>
        <v/>
      </c>
    </row>
    <row r="70" ht="22.5" hidden="1" customHeight="1">
      <c r="A70" s="46">
        <f>ROW()-ROW(Lening[[#HEADERS],[BET.NR.]])</f>
        <v>61</v>
      </c>
      <c r="B70" s="50" t="str">
        <f>IFERROR(IF(IF(ROW()-ROW(Lening!$9:$9)&lt;=AantalBetalingen,1,0)*IF(GeleendBedrag*Rentevoet*$D$5*BegindatumLening&gt;0,1,0),ROW()-ROW(Lening!$9:$9),""),"")</f>
        <v/>
      </c>
      <c r="C70" s="48" t="str">
        <f>IFERROR(IF(B70="","",IF(IF(B70&lt;=AantalBetalingen,1,0)*IF(GeleendBedrag*Rentevoet*Leningjaren*BegindatumLening&gt;0,1,0),TEXT(DATE(YEAR(BegindatumLening),MONTH(BegindatumLening)+B70,DAY(BegindatumLening)),"d-m-yyyy"),""),""),"")</f>
        <v/>
      </c>
      <c r="D70" s="49" t="str">
        <f>IFERROR(IF(IF(B70="","",IF($B70&lt;=AantalBetalingen,1,0)*IF(GeleendBedrag*Rentevoet*Leningjaren*BegindatumLening&gt;0,1,0),-FV(Rentevoet/12,ROW()-ROW(Lening[[#HEADERS],[BET.NR.]])-1,PMT(Rentevoet/12,AantalBetalingen,GeleendBedrag),GeleendBedrag),""),""),"")</f>
        <v/>
      </c>
      <c r="E70" s="49" t="str">
        <f>IFERROR(IF(IF(B70="","",IF($B70&lt;=AantalBetalingen,1,0)*IF(GeleendBedrag*Rentevoet*Leningjaren*BegindatumLening&gt;0,1,0),-PMT(Rentevoet/12,AantalBetalingen,GeleendBedrag),""),""),"")</f>
        <v/>
      </c>
      <c r="F70" s="49" t="str">
        <f>IFERROR(IF(IF($B70&lt;=AantalBetalingen,1,0)*IF(GeleendBedrag*Rentevoet*Leningjaren*BegindatumLening&gt;0,1,0),-PPMT(Rentevoet/12,ROW()-ROW(Lening[[#HEADERS],[BET.NR.]]),AantalBetalingen,GeleendBedrag),""),"")</f>
        <v/>
      </c>
      <c r="G70" s="49" t="str">
        <f>IFERROR(IF(IF($B70&lt;=AantalBetalingen,1,0)*IF(GeleendBedrag*Rentevoet*Leningjaren*BegindatumLening&gt;0,1,0),-IPMT(Rentevoet/12,$B70,AantalBetalingen,GeleendBedrag),""),"")</f>
        <v/>
      </c>
      <c r="H70" s="49" t="str">
        <f>IFERROR(IF(IF(B70="","",IF($B70&lt;=AantalBetalingen,1,0)*IF(GeleendBedrag*Rentevoet*Leningjaren*BegindatumLening&gt;0,1,0),-FV(Rentevoet/12,$B70,PMT(Rentevoet/12,AantalBetalingen,GeleendBedrag),GeleendBedrag),""),""),"")</f>
        <v/>
      </c>
    </row>
    <row r="71" ht="22.5" hidden="1" customHeight="1">
      <c r="A71" s="46">
        <f>ROW()-ROW(Lening[[#HEADERS],[BET.NR.]])</f>
        <v>62</v>
      </c>
      <c r="B71" s="50" t="str">
        <f>IFERROR(IF(IF(ROW()-ROW(Lening!$9:$9)&lt;=AantalBetalingen,1,0)*IF(GeleendBedrag*Rentevoet*$D$5*BegindatumLening&gt;0,1,0),ROW()-ROW(Lening!$9:$9),""),"")</f>
        <v/>
      </c>
      <c r="C71" s="48" t="str">
        <f>IFERROR(IF(B71="","",IF(IF(B71&lt;=AantalBetalingen,1,0)*IF(GeleendBedrag*Rentevoet*Leningjaren*BegindatumLening&gt;0,1,0),TEXT(DATE(YEAR(BegindatumLening),MONTH(BegindatumLening)+B71,DAY(BegindatumLening)),"d-m-yyyy"),""),""),"")</f>
        <v/>
      </c>
      <c r="D71" s="49" t="str">
        <f>IFERROR(IF(IF(B71="","",IF($B71&lt;=AantalBetalingen,1,0)*IF(GeleendBedrag*Rentevoet*Leningjaren*BegindatumLening&gt;0,1,0),-FV(Rentevoet/12,ROW()-ROW(Lening[[#HEADERS],[BET.NR.]])-1,PMT(Rentevoet/12,AantalBetalingen,GeleendBedrag),GeleendBedrag),""),""),"")</f>
        <v/>
      </c>
      <c r="E71" s="49" t="str">
        <f>IFERROR(IF(IF(B71="","",IF($B71&lt;=AantalBetalingen,1,0)*IF(GeleendBedrag*Rentevoet*Leningjaren*BegindatumLening&gt;0,1,0),-PMT(Rentevoet/12,AantalBetalingen,GeleendBedrag),""),""),"")</f>
        <v/>
      </c>
      <c r="F71" s="49" t="str">
        <f>IFERROR(IF(IF($B71&lt;=AantalBetalingen,1,0)*IF(GeleendBedrag*Rentevoet*Leningjaren*BegindatumLening&gt;0,1,0),-PPMT(Rentevoet/12,ROW()-ROW(Lening[[#HEADERS],[BET.NR.]]),AantalBetalingen,GeleendBedrag),""),"")</f>
        <v/>
      </c>
      <c r="G71" s="49" t="str">
        <f>IFERROR(IF(IF($B71&lt;=AantalBetalingen,1,0)*IF(GeleendBedrag*Rentevoet*Leningjaren*BegindatumLening&gt;0,1,0),-IPMT(Rentevoet/12,$B71,AantalBetalingen,GeleendBedrag),""),"")</f>
        <v/>
      </c>
      <c r="H71" s="49" t="str">
        <f>IFERROR(IF(IF(B71="","",IF($B71&lt;=AantalBetalingen,1,0)*IF(GeleendBedrag*Rentevoet*Leningjaren*BegindatumLening&gt;0,1,0),-FV(Rentevoet/12,$B71,PMT(Rentevoet/12,AantalBetalingen,GeleendBedrag),GeleendBedrag),""),""),"")</f>
        <v/>
      </c>
    </row>
    <row r="72" ht="22.5" hidden="1" customHeight="1">
      <c r="A72" s="46">
        <f>ROW()-ROW(Lening[[#HEADERS],[BET.NR.]])</f>
        <v>63</v>
      </c>
      <c r="B72" s="50" t="str">
        <f>IFERROR(IF(IF(ROW()-ROW(Lening!$9:$9)&lt;=AantalBetalingen,1,0)*IF(GeleendBedrag*Rentevoet*$D$5*BegindatumLening&gt;0,1,0),ROW()-ROW(Lening!$9:$9),""),"")</f>
        <v/>
      </c>
      <c r="C72" s="48" t="str">
        <f>IFERROR(IF(B72="","",IF(IF(B72&lt;=AantalBetalingen,1,0)*IF(GeleendBedrag*Rentevoet*Leningjaren*BegindatumLening&gt;0,1,0),TEXT(DATE(YEAR(BegindatumLening),MONTH(BegindatumLening)+B72,DAY(BegindatumLening)),"d-m-yyyy"),""),""),"")</f>
        <v/>
      </c>
      <c r="D72" s="49" t="str">
        <f>IFERROR(IF(IF(B72="","",IF($B72&lt;=AantalBetalingen,1,0)*IF(GeleendBedrag*Rentevoet*Leningjaren*BegindatumLening&gt;0,1,0),-FV(Rentevoet/12,ROW()-ROW(Lening[[#HEADERS],[BET.NR.]])-1,PMT(Rentevoet/12,AantalBetalingen,GeleendBedrag),GeleendBedrag),""),""),"")</f>
        <v/>
      </c>
      <c r="E72" s="49" t="str">
        <f>IFERROR(IF(IF(B72="","",IF($B72&lt;=AantalBetalingen,1,0)*IF(GeleendBedrag*Rentevoet*Leningjaren*BegindatumLening&gt;0,1,0),-PMT(Rentevoet/12,AantalBetalingen,GeleendBedrag),""),""),"")</f>
        <v/>
      </c>
      <c r="F72" s="49" t="str">
        <f>IFERROR(IF(IF($B72&lt;=AantalBetalingen,1,0)*IF(GeleendBedrag*Rentevoet*Leningjaren*BegindatumLening&gt;0,1,0),-PPMT(Rentevoet/12,ROW()-ROW(Lening[[#HEADERS],[BET.NR.]]),AantalBetalingen,GeleendBedrag),""),"")</f>
        <v/>
      </c>
      <c r="G72" s="49" t="str">
        <f>IFERROR(IF(IF($B72&lt;=AantalBetalingen,1,0)*IF(GeleendBedrag*Rentevoet*Leningjaren*BegindatumLening&gt;0,1,0),-IPMT(Rentevoet/12,$B72,AantalBetalingen,GeleendBedrag),""),"")</f>
        <v/>
      </c>
      <c r="H72" s="49" t="str">
        <f>IFERROR(IF(IF(B72="","",IF($B72&lt;=AantalBetalingen,1,0)*IF(GeleendBedrag*Rentevoet*Leningjaren*BegindatumLening&gt;0,1,0),-FV(Rentevoet/12,$B72,PMT(Rentevoet/12,AantalBetalingen,GeleendBedrag),GeleendBedrag),""),""),"")</f>
        <v/>
      </c>
    </row>
    <row r="73" ht="22.5" hidden="1" customHeight="1">
      <c r="A73" s="46">
        <f>ROW()-ROW(Lening[[#HEADERS],[BET.NR.]])</f>
        <v>64</v>
      </c>
      <c r="B73" s="50" t="str">
        <f>IFERROR(IF(IF(ROW()-ROW(Lening!$9:$9)&lt;=AantalBetalingen,1,0)*IF(GeleendBedrag*Rentevoet*$D$5*BegindatumLening&gt;0,1,0),ROW()-ROW(Lening!$9:$9),""),"")</f>
        <v/>
      </c>
      <c r="C73" s="48" t="str">
        <f>IFERROR(IF(B73="","",IF(IF(B73&lt;=AantalBetalingen,1,0)*IF(GeleendBedrag*Rentevoet*Leningjaren*BegindatumLening&gt;0,1,0),TEXT(DATE(YEAR(BegindatumLening),MONTH(BegindatumLening)+B73,DAY(BegindatumLening)),"d-m-yyyy"),""),""),"")</f>
        <v/>
      </c>
      <c r="D73" s="49" t="str">
        <f>IFERROR(IF(IF(B73="","",IF($B73&lt;=AantalBetalingen,1,0)*IF(GeleendBedrag*Rentevoet*Leningjaren*BegindatumLening&gt;0,1,0),-FV(Rentevoet/12,ROW()-ROW(Lening[[#HEADERS],[BET.NR.]])-1,PMT(Rentevoet/12,AantalBetalingen,GeleendBedrag),GeleendBedrag),""),""),"")</f>
        <v/>
      </c>
      <c r="E73" s="49" t="str">
        <f>IFERROR(IF(IF(B73="","",IF($B73&lt;=AantalBetalingen,1,0)*IF(GeleendBedrag*Rentevoet*Leningjaren*BegindatumLening&gt;0,1,0),-PMT(Rentevoet/12,AantalBetalingen,GeleendBedrag),""),""),"")</f>
        <v/>
      </c>
      <c r="F73" s="49" t="str">
        <f>IFERROR(IF(IF($B73&lt;=AantalBetalingen,1,0)*IF(GeleendBedrag*Rentevoet*Leningjaren*BegindatumLening&gt;0,1,0),-PPMT(Rentevoet/12,ROW()-ROW(Lening[[#HEADERS],[BET.NR.]]),AantalBetalingen,GeleendBedrag),""),"")</f>
        <v/>
      </c>
      <c r="G73" s="49" t="str">
        <f>IFERROR(IF(IF($B73&lt;=AantalBetalingen,1,0)*IF(GeleendBedrag*Rentevoet*Leningjaren*BegindatumLening&gt;0,1,0),-IPMT(Rentevoet/12,$B73,AantalBetalingen,GeleendBedrag),""),"")</f>
        <v/>
      </c>
      <c r="H73" s="49" t="str">
        <f>IFERROR(IF(IF(B73="","",IF($B73&lt;=AantalBetalingen,1,0)*IF(GeleendBedrag*Rentevoet*Leningjaren*BegindatumLening&gt;0,1,0),-FV(Rentevoet/12,$B73,PMT(Rentevoet/12,AantalBetalingen,GeleendBedrag),GeleendBedrag),""),""),"")</f>
        <v/>
      </c>
    </row>
    <row r="74" ht="22.5" hidden="1" customHeight="1">
      <c r="A74" s="46">
        <f>ROW()-ROW(Lening[[#HEADERS],[BET.NR.]])</f>
        <v>65</v>
      </c>
      <c r="B74" s="50" t="str">
        <f>IFERROR(IF(IF(ROW()-ROW(Lening!$9:$9)&lt;=AantalBetalingen,1,0)*IF(GeleendBedrag*Rentevoet*$D$5*BegindatumLening&gt;0,1,0),ROW()-ROW(Lening!$9:$9),""),"")</f>
        <v/>
      </c>
      <c r="C74" s="48" t="str">
        <f>IFERROR(IF(B74="","",IF(IF(B74&lt;=AantalBetalingen,1,0)*IF(GeleendBedrag*Rentevoet*Leningjaren*BegindatumLening&gt;0,1,0),TEXT(DATE(YEAR(BegindatumLening),MONTH(BegindatumLening)+B74,DAY(BegindatumLening)),"d-m-yyyy"),""),""),"")</f>
        <v/>
      </c>
      <c r="D74" s="49" t="str">
        <f>IFERROR(IF(IF(B74="","",IF($B74&lt;=AantalBetalingen,1,0)*IF(GeleendBedrag*Rentevoet*Leningjaren*BegindatumLening&gt;0,1,0),-FV(Rentevoet/12,ROW()-ROW(Lening[[#HEADERS],[BET.NR.]])-1,PMT(Rentevoet/12,AantalBetalingen,GeleendBedrag),GeleendBedrag),""),""),"")</f>
        <v/>
      </c>
      <c r="E74" s="49" t="str">
        <f>IFERROR(IF(IF(B74="","",IF($B74&lt;=AantalBetalingen,1,0)*IF(GeleendBedrag*Rentevoet*Leningjaren*BegindatumLening&gt;0,1,0),-PMT(Rentevoet/12,AantalBetalingen,GeleendBedrag),""),""),"")</f>
        <v/>
      </c>
      <c r="F74" s="49" t="str">
        <f>IFERROR(IF(IF($B74&lt;=AantalBetalingen,1,0)*IF(GeleendBedrag*Rentevoet*Leningjaren*BegindatumLening&gt;0,1,0),-PPMT(Rentevoet/12,ROW()-ROW(Lening[[#HEADERS],[BET.NR.]]),AantalBetalingen,GeleendBedrag),""),"")</f>
        <v/>
      </c>
      <c r="G74" s="49" t="str">
        <f>IFERROR(IF(IF($B74&lt;=AantalBetalingen,1,0)*IF(GeleendBedrag*Rentevoet*Leningjaren*BegindatumLening&gt;0,1,0),-IPMT(Rentevoet/12,$B74,AantalBetalingen,GeleendBedrag),""),"")</f>
        <v/>
      </c>
      <c r="H74" s="49" t="str">
        <f>IFERROR(IF(IF(B74="","",IF($B74&lt;=AantalBetalingen,1,0)*IF(GeleendBedrag*Rentevoet*Leningjaren*BegindatumLening&gt;0,1,0),-FV(Rentevoet/12,$B74,PMT(Rentevoet/12,AantalBetalingen,GeleendBedrag),GeleendBedrag),""),""),"")</f>
        <v/>
      </c>
    </row>
    <row r="75" ht="22.5" hidden="1" customHeight="1">
      <c r="A75" s="46">
        <f>ROW()-ROW(Lening[[#HEADERS],[BET.NR.]])</f>
        <v>66</v>
      </c>
      <c r="B75" s="50" t="str">
        <f>IFERROR(IF(IF(ROW()-ROW(Lening!$9:$9)&lt;=AantalBetalingen,1,0)*IF(GeleendBedrag*Rentevoet*$D$5*BegindatumLening&gt;0,1,0),ROW()-ROW(Lening!$9:$9),""),"")</f>
        <v/>
      </c>
      <c r="C75" s="48" t="str">
        <f>IFERROR(IF(B75="","",IF(IF(B75&lt;=AantalBetalingen,1,0)*IF(GeleendBedrag*Rentevoet*Leningjaren*BegindatumLening&gt;0,1,0),TEXT(DATE(YEAR(BegindatumLening),MONTH(BegindatumLening)+B75,DAY(BegindatumLening)),"d-m-yyyy"),""),""),"")</f>
        <v/>
      </c>
      <c r="D75" s="49" t="str">
        <f>IFERROR(IF(IF(B75="","",IF($B75&lt;=AantalBetalingen,1,0)*IF(GeleendBedrag*Rentevoet*Leningjaren*BegindatumLening&gt;0,1,0),-FV(Rentevoet/12,ROW()-ROW(Lening[[#HEADERS],[BET.NR.]])-1,PMT(Rentevoet/12,AantalBetalingen,GeleendBedrag),GeleendBedrag),""),""),"")</f>
        <v/>
      </c>
      <c r="E75" s="49" t="str">
        <f>IFERROR(IF(IF(B75="","",IF($B75&lt;=AantalBetalingen,1,0)*IF(GeleendBedrag*Rentevoet*Leningjaren*BegindatumLening&gt;0,1,0),-PMT(Rentevoet/12,AantalBetalingen,GeleendBedrag),""),""),"")</f>
        <v/>
      </c>
      <c r="F75" s="49" t="str">
        <f>IFERROR(IF(IF($B75&lt;=AantalBetalingen,1,0)*IF(GeleendBedrag*Rentevoet*Leningjaren*BegindatumLening&gt;0,1,0),-PPMT(Rentevoet/12,ROW()-ROW(Lening[[#HEADERS],[BET.NR.]]),AantalBetalingen,GeleendBedrag),""),"")</f>
        <v/>
      </c>
      <c r="G75" s="49" t="str">
        <f>IFERROR(IF(IF($B75&lt;=AantalBetalingen,1,0)*IF(GeleendBedrag*Rentevoet*Leningjaren*BegindatumLening&gt;0,1,0),-IPMT(Rentevoet/12,$B75,AantalBetalingen,GeleendBedrag),""),"")</f>
        <v/>
      </c>
      <c r="H75" s="49" t="str">
        <f>IFERROR(IF(IF(B75="","",IF($B75&lt;=AantalBetalingen,1,0)*IF(GeleendBedrag*Rentevoet*Leningjaren*BegindatumLening&gt;0,1,0),-FV(Rentevoet/12,$B75,PMT(Rentevoet/12,AantalBetalingen,GeleendBedrag),GeleendBedrag),""),""),"")</f>
        <v/>
      </c>
    </row>
    <row r="76" ht="22.5" hidden="1" customHeight="1">
      <c r="A76" s="46">
        <f>ROW()-ROW(Lening[[#HEADERS],[BET.NR.]])</f>
        <v>67</v>
      </c>
      <c r="B76" s="50" t="str">
        <f>IFERROR(IF(IF(ROW()-ROW(Lening!$9:$9)&lt;=AantalBetalingen,1,0)*IF(GeleendBedrag*Rentevoet*$D$5*BegindatumLening&gt;0,1,0),ROW()-ROW(Lening!$9:$9),""),"")</f>
        <v/>
      </c>
      <c r="C76" s="48" t="str">
        <f>IFERROR(IF(B76="","",IF(IF(B76&lt;=AantalBetalingen,1,0)*IF(GeleendBedrag*Rentevoet*Leningjaren*BegindatumLening&gt;0,1,0),TEXT(DATE(YEAR(BegindatumLening),MONTH(BegindatumLening)+B76,DAY(BegindatumLening)),"d-m-yyyy"),""),""),"")</f>
        <v/>
      </c>
      <c r="D76" s="49" t="str">
        <f>IFERROR(IF(IF(B76="","",IF($B76&lt;=AantalBetalingen,1,0)*IF(GeleendBedrag*Rentevoet*Leningjaren*BegindatumLening&gt;0,1,0),-FV(Rentevoet/12,ROW()-ROW(Lening[[#HEADERS],[BET.NR.]])-1,PMT(Rentevoet/12,AantalBetalingen,GeleendBedrag),GeleendBedrag),""),""),"")</f>
        <v/>
      </c>
      <c r="E76" s="49" t="str">
        <f>IFERROR(IF(IF(B76="","",IF($B76&lt;=AantalBetalingen,1,0)*IF(GeleendBedrag*Rentevoet*Leningjaren*BegindatumLening&gt;0,1,0),-PMT(Rentevoet/12,AantalBetalingen,GeleendBedrag),""),""),"")</f>
        <v/>
      </c>
      <c r="F76" s="49" t="str">
        <f>IFERROR(IF(IF($B76&lt;=AantalBetalingen,1,0)*IF(GeleendBedrag*Rentevoet*Leningjaren*BegindatumLening&gt;0,1,0),-PPMT(Rentevoet/12,ROW()-ROW(Lening[[#HEADERS],[BET.NR.]]),AantalBetalingen,GeleendBedrag),""),"")</f>
        <v/>
      </c>
      <c r="G76" s="49" t="str">
        <f>IFERROR(IF(IF($B76&lt;=AantalBetalingen,1,0)*IF(GeleendBedrag*Rentevoet*Leningjaren*BegindatumLening&gt;0,1,0),-IPMT(Rentevoet/12,$B76,AantalBetalingen,GeleendBedrag),""),"")</f>
        <v/>
      </c>
      <c r="H76" s="49" t="str">
        <f>IFERROR(IF(IF(B76="","",IF($B76&lt;=AantalBetalingen,1,0)*IF(GeleendBedrag*Rentevoet*Leningjaren*BegindatumLening&gt;0,1,0),-FV(Rentevoet/12,$B76,PMT(Rentevoet/12,AantalBetalingen,GeleendBedrag),GeleendBedrag),""),""),"")</f>
        <v/>
      </c>
    </row>
    <row r="77" ht="22.5" hidden="1" customHeight="1">
      <c r="A77" s="46">
        <f>ROW()-ROW(Lening[[#HEADERS],[BET.NR.]])</f>
        <v>68</v>
      </c>
      <c r="B77" s="50" t="str">
        <f>IFERROR(IF(IF(ROW()-ROW(Lening!$9:$9)&lt;=AantalBetalingen,1,0)*IF(GeleendBedrag*Rentevoet*$D$5*BegindatumLening&gt;0,1,0),ROW()-ROW(Lening!$9:$9),""),"")</f>
        <v/>
      </c>
      <c r="C77" s="48" t="str">
        <f>IFERROR(IF(B77="","",IF(IF(B77&lt;=AantalBetalingen,1,0)*IF(GeleendBedrag*Rentevoet*Leningjaren*BegindatumLening&gt;0,1,0),TEXT(DATE(YEAR(BegindatumLening),MONTH(BegindatumLening)+B77,DAY(BegindatumLening)),"d-m-yyyy"),""),""),"")</f>
        <v/>
      </c>
      <c r="D77" s="49" t="str">
        <f>IFERROR(IF(IF(B77="","",IF($B77&lt;=AantalBetalingen,1,0)*IF(GeleendBedrag*Rentevoet*Leningjaren*BegindatumLening&gt;0,1,0),-FV(Rentevoet/12,ROW()-ROW(Lening[[#HEADERS],[BET.NR.]])-1,PMT(Rentevoet/12,AantalBetalingen,GeleendBedrag),GeleendBedrag),""),""),"")</f>
        <v/>
      </c>
      <c r="E77" s="49" t="str">
        <f>IFERROR(IF(IF(B77="","",IF($B77&lt;=AantalBetalingen,1,0)*IF(GeleendBedrag*Rentevoet*Leningjaren*BegindatumLening&gt;0,1,0),-PMT(Rentevoet/12,AantalBetalingen,GeleendBedrag),""),""),"")</f>
        <v/>
      </c>
      <c r="F77" s="49" t="str">
        <f>IFERROR(IF(IF($B77&lt;=AantalBetalingen,1,0)*IF(GeleendBedrag*Rentevoet*Leningjaren*BegindatumLening&gt;0,1,0),-PPMT(Rentevoet/12,ROW()-ROW(Lening[[#HEADERS],[BET.NR.]]),AantalBetalingen,GeleendBedrag),""),"")</f>
        <v/>
      </c>
      <c r="G77" s="49" t="str">
        <f>IFERROR(IF(IF($B77&lt;=AantalBetalingen,1,0)*IF(GeleendBedrag*Rentevoet*Leningjaren*BegindatumLening&gt;0,1,0),-IPMT(Rentevoet/12,$B77,AantalBetalingen,GeleendBedrag),""),"")</f>
        <v/>
      </c>
      <c r="H77" s="49" t="str">
        <f>IFERROR(IF(IF(B77="","",IF($B77&lt;=AantalBetalingen,1,0)*IF(GeleendBedrag*Rentevoet*Leningjaren*BegindatumLening&gt;0,1,0),-FV(Rentevoet/12,$B77,PMT(Rentevoet/12,AantalBetalingen,GeleendBedrag),GeleendBedrag),""),""),"")</f>
        <v/>
      </c>
    </row>
    <row r="78" ht="22.5" hidden="1" customHeight="1">
      <c r="A78" s="46">
        <f>ROW()-ROW(Lening[[#HEADERS],[BET.NR.]])</f>
        <v>69</v>
      </c>
      <c r="B78" s="50" t="str">
        <f>IFERROR(IF(IF(ROW()-ROW(Lening!$9:$9)&lt;=AantalBetalingen,1,0)*IF(GeleendBedrag*Rentevoet*$D$5*BegindatumLening&gt;0,1,0),ROW()-ROW(Lening!$9:$9),""),"")</f>
        <v/>
      </c>
      <c r="C78" s="48" t="str">
        <f>IFERROR(IF(B78="","",IF(IF(B78&lt;=AantalBetalingen,1,0)*IF(GeleendBedrag*Rentevoet*Leningjaren*BegindatumLening&gt;0,1,0),TEXT(DATE(YEAR(BegindatumLening),MONTH(BegindatumLening)+B78,DAY(BegindatumLening)),"d-m-yyyy"),""),""),"")</f>
        <v/>
      </c>
      <c r="D78" s="49" t="str">
        <f>IFERROR(IF(IF(B78="","",IF($B78&lt;=AantalBetalingen,1,0)*IF(GeleendBedrag*Rentevoet*Leningjaren*BegindatumLening&gt;0,1,0),-FV(Rentevoet/12,ROW()-ROW(Lening[[#HEADERS],[BET.NR.]])-1,PMT(Rentevoet/12,AantalBetalingen,GeleendBedrag),GeleendBedrag),""),""),"")</f>
        <v/>
      </c>
      <c r="E78" s="49" t="str">
        <f>IFERROR(IF(IF(B78="","",IF($B78&lt;=AantalBetalingen,1,0)*IF(GeleendBedrag*Rentevoet*Leningjaren*BegindatumLening&gt;0,1,0),-PMT(Rentevoet/12,AantalBetalingen,GeleendBedrag),""),""),"")</f>
        <v/>
      </c>
      <c r="F78" s="49" t="str">
        <f>IFERROR(IF(IF($B78&lt;=AantalBetalingen,1,0)*IF(GeleendBedrag*Rentevoet*Leningjaren*BegindatumLening&gt;0,1,0),-PPMT(Rentevoet/12,ROW()-ROW(Lening[[#HEADERS],[BET.NR.]]),AantalBetalingen,GeleendBedrag),""),"")</f>
        <v/>
      </c>
      <c r="G78" s="49" t="str">
        <f>IFERROR(IF(IF($B78&lt;=AantalBetalingen,1,0)*IF(GeleendBedrag*Rentevoet*Leningjaren*BegindatumLening&gt;0,1,0),-IPMT(Rentevoet/12,$B78,AantalBetalingen,GeleendBedrag),""),"")</f>
        <v/>
      </c>
      <c r="H78" s="49" t="str">
        <f>IFERROR(IF(IF(B78="","",IF($B78&lt;=AantalBetalingen,1,0)*IF(GeleendBedrag*Rentevoet*Leningjaren*BegindatumLening&gt;0,1,0),-FV(Rentevoet/12,$B78,PMT(Rentevoet/12,AantalBetalingen,GeleendBedrag),GeleendBedrag),""),""),"")</f>
        <v/>
      </c>
    </row>
    <row r="79" ht="22.5" hidden="1" customHeight="1">
      <c r="A79" s="46">
        <f>ROW()-ROW(Lening[[#HEADERS],[BET.NR.]])</f>
        <v>70</v>
      </c>
      <c r="B79" s="50" t="str">
        <f>IFERROR(IF(IF(ROW()-ROW(Lening!$9:$9)&lt;=AantalBetalingen,1,0)*IF(GeleendBedrag*Rentevoet*$D$5*BegindatumLening&gt;0,1,0),ROW()-ROW(Lening!$9:$9),""),"")</f>
        <v/>
      </c>
      <c r="C79" s="48" t="str">
        <f>IFERROR(IF(B79="","",IF(IF(B79&lt;=AantalBetalingen,1,0)*IF(GeleendBedrag*Rentevoet*Leningjaren*BegindatumLening&gt;0,1,0),TEXT(DATE(YEAR(BegindatumLening),MONTH(BegindatumLening)+B79,DAY(BegindatumLening)),"d-m-yyyy"),""),""),"")</f>
        <v/>
      </c>
      <c r="D79" s="49" t="str">
        <f>IFERROR(IF(IF(B79="","",IF($B79&lt;=AantalBetalingen,1,0)*IF(GeleendBedrag*Rentevoet*Leningjaren*BegindatumLening&gt;0,1,0),-FV(Rentevoet/12,ROW()-ROW(Lening[[#HEADERS],[BET.NR.]])-1,PMT(Rentevoet/12,AantalBetalingen,GeleendBedrag),GeleendBedrag),""),""),"")</f>
        <v/>
      </c>
      <c r="E79" s="49" t="str">
        <f>IFERROR(IF(IF(B79="","",IF($B79&lt;=AantalBetalingen,1,0)*IF(GeleendBedrag*Rentevoet*Leningjaren*BegindatumLening&gt;0,1,0),-PMT(Rentevoet/12,AantalBetalingen,GeleendBedrag),""),""),"")</f>
        <v/>
      </c>
      <c r="F79" s="49" t="str">
        <f>IFERROR(IF(IF($B79&lt;=AantalBetalingen,1,0)*IF(GeleendBedrag*Rentevoet*Leningjaren*BegindatumLening&gt;0,1,0),-PPMT(Rentevoet/12,ROW()-ROW(Lening[[#HEADERS],[BET.NR.]]),AantalBetalingen,GeleendBedrag),""),"")</f>
        <v/>
      </c>
      <c r="G79" s="49" t="str">
        <f>IFERROR(IF(IF($B79&lt;=AantalBetalingen,1,0)*IF(GeleendBedrag*Rentevoet*Leningjaren*BegindatumLening&gt;0,1,0),-IPMT(Rentevoet/12,$B79,AantalBetalingen,GeleendBedrag),""),"")</f>
        <v/>
      </c>
      <c r="H79" s="49" t="str">
        <f>IFERROR(IF(IF(B79="","",IF($B79&lt;=AantalBetalingen,1,0)*IF(GeleendBedrag*Rentevoet*Leningjaren*BegindatumLening&gt;0,1,0),-FV(Rentevoet/12,$B79,PMT(Rentevoet/12,AantalBetalingen,GeleendBedrag),GeleendBedrag),""),""),"")</f>
        <v/>
      </c>
    </row>
    <row r="80" ht="22.5" hidden="1" customHeight="1">
      <c r="A80" s="46">
        <f>ROW()-ROW(Lening[[#HEADERS],[BET.NR.]])</f>
        <v>71</v>
      </c>
      <c r="B80" s="50" t="str">
        <f>IFERROR(IF(IF(ROW()-ROW(Lening!$9:$9)&lt;=AantalBetalingen,1,0)*IF(GeleendBedrag*Rentevoet*$D$5*BegindatumLening&gt;0,1,0),ROW()-ROW(Lening!$9:$9),""),"")</f>
        <v/>
      </c>
      <c r="C80" s="48" t="str">
        <f>IFERROR(IF(B80="","",IF(IF(B80&lt;=AantalBetalingen,1,0)*IF(GeleendBedrag*Rentevoet*Leningjaren*BegindatumLening&gt;0,1,0),TEXT(DATE(YEAR(BegindatumLening),MONTH(BegindatumLening)+B80,DAY(BegindatumLening)),"d-m-yyyy"),""),""),"")</f>
        <v/>
      </c>
      <c r="D80" s="49" t="str">
        <f>IFERROR(IF(IF(B80="","",IF($B80&lt;=AantalBetalingen,1,0)*IF(GeleendBedrag*Rentevoet*Leningjaren*BegindatumLening&gt;0,1,0),-FV(Rentevoet/12,ROW()-ROW(Lening[[#HEADERS],[BET.NR.]])-1,PMT(Rentevoet/12,AantalBetalingen,GeleendBedrag),GeleendBedrag),""),""),"")</f>
        <v/>
      </c>
      <c r="E80" s="49" t="str">
        <f>IFERROR(IF(IF(B80="","",IF($B80&lt;=AantalBetalingen,1,0)*IF(GeleendBedrag*Rentevoet*Leningjaren*BegindatumLening&gt;0,1,0),-PMT(Rentevoet/12,AantalBetalingen,GeleendBedrag),""),""),"")</f>
        <v/>
      </c>
      <c r="F80" s="49" t="str">
        <f>IFERROR(IF(IF($B80&lt;=AantalBetalingen,1,0)*IF(GeleendBedrag*Rentevoet*Leningjaren*BegindatumLening&gt;0,1,0),-PPMT(Rentevoet/12,ROW()-ROW(Lening[[#HEADERS],[BET.NR.]]),AantalBetalingen,GeleendBedrag),""),"")</f>
        <v/>
      </c>
      <c r="G80" s="49" t="str">
        <f>IFERROR(IF(IF($B80&lt;=AantalBetalingen,1,0)*IF(GeleendBedrag*Rentevoet*Leningjaren*BegindatumLening&gt;0,1,0),-IPMT(Rentevoet/12,$B80,AantalBetalingen,GeleendBedrag),""),"")</f>
        <v/>
      </c>
      <c r="H80" s="49" t="str">
        <f>IFERROR(IF(IF(B80="","",IF($B80&lt;=AantalBetalingen,1,0)*IF(GeleendBedrag*Rentevoet*Leningjaren*BegindatumLening&gt;0,1,0),-FV(Rentevoet/12,$B80,PMT(Rentevoet/12,AantalBetalingen,GeleendBedrag),GeleendBedrag),""),""),"")</f>
        <v/>
      </c>
    </row>
    <row r="81" ht="22.5" hidden="1" customHeight="1">
      <c r="A81" s="46">
        <f>ROW()-ROW(Lening[[#HEADERS],[BET.NR.]])</f>
        <v>72</v>
      </c>
      <c r="B81" s="50" t="str">
        <f>IFERROR(IF(IF(ROW()-ROW(Lening!$9:$9)&lt;=AantalBetalingen,1,0)*IF(GeleendBedrag*Rentevoet*$D$5*BegindatumLening&gt;0,1,0),ROW()-ROW(Lening!$9:$9),""),"")</f>
        <v/>
      </c>
      <c r="C81" s="48" t="str">
        <f>IFERROR(IF(B81="","",IF(IF(B81&lt;=AantalBetalingen,1,0)*IF(GeleendBedrag*Rentevoet*Leningjaren*BegindatumLening&gt;0,1,0),TEXT(DATE(YEAR(BegindatumLening),MONTH(BegindatumLening)+B81,DAY(BegindatumLening)),"d-m-yyyy"),""),""),"")</f>
        <v/>
      </c>
      <c r="D81" s="49" t="str">
        <f>IFERROR(IF(IF(B81="","",IF($B81&lt;=AantalBetalingen,1,0)*IF(GeleendBedrag*Rentevoet*Leningjaren*BegindatumLening&gt;0,1,0),-FV(Rentevoet/12,ROW()-ROW(Lening[[#HEADERS],[BET.NR.]])-1,PMT(Rentevoet/12,AantalBetalingen,GeleendBedrag),GeleendBedrag),""),""),"")</f>
        <v/>
      </c>
      <c r="E81" s="49" t="str">
        <f>IFERROR(IF(IF(B81="","",IF($B81&lt;=AantalBetalingen,1,0)*IF(GeleendBedrag*Rentevoet*Leningjaren*BegindatumLening&gt;0,1,0),-PMT(Rentevoet/12,AantalBetalingen,GeleendBedrag),""),""),"")</f>
        <v/>
      </c>
      <c r="F81" s="49" t="str">
        <f>IFERROR(IF(IF($B81&lt;=AantalBetalingen,1,0)*IF(GeleendBedrag*Rentevoet*Leningjaren*BegindatumLening&gt;0,1,0),-PPMT(Rentevoet/12,ROW()-ROW(Lening[[#HEADERS],[BET.NR.]]),AantalBetalingen,GeleendBedrag),""),"")</f>
        <v/>
      </c>
      <c r="G81" s="49" t="str">
        <f>IFERROR(IF(IF($B81&lt;=AantalBetalingen,1,0)*IF(GeleendBedrag*Rentevoet*Leningjaren*BegindatumLening&gt;0,1,0),-IPMT(Rentevoet/12,$B81,AantalBetalingen,GeleendBedrag),""),"")</f>
        <v/>
      </c>
      <c r="H81" s="49" t="str">
        <f>IFERROR(IF(IF(B81="","",IF($B81&lt;=AantalBetalingen,1,0)*IF(GeleendBedrag*Rentevoet*Leningjaren*BegindatumLening&gt;0,1,0),-FV(Rentevoet/12,$B81,PMT(Rentevoet/12,AantalBetalingen,GeleendBedrag),GeleendBedrag),""),""),"")</f>
        <v/>
      </c>
    </row>
    <row r="82" ht="22.5" hidden="1" customHeight="1">
      <c r="A82" s="46">
        <f>ROW()-ROW(Lening[[#HEADERS],[BET.NR.]])</f>
        <v>73</v>
      </c>
      <c r="B82" s="50" t="str">
        <f>IFERROR(IF(IF(ROW()-ROW(Lening!$9:$9)&lt;=AantalBetalingen,1,0)*IF(GeleendBedrag*Rentevoet*$D$5*BegindatumLening&gt;0,1,0),ROW()-ROW(Lening!$9:$9),""),"")</f>
        <v/>
      </c>
      <c r="C82" s="48" t="str">
        <f>IFERROR(IF(B82="","",IF(IF(B82&lt;=AantalBetalingen,1,0)*IF(GeleendBedrag*Rentevoet*Leningjaren*BegindatumLening&gt;0,1,0),TEXT(DATE(YEAR(BegindatumLening),MONTH(BegindatumLening)+B82,DAY(BegindatumLening)),"d-m-yyyy"),""),""),"")</f>
        <v/>
      </c>
      <c r="D82" s="49" t="str">
        <f>IFERROR(IF(IF(B82="","",IF($B82&lt;=AantalBetalingen,1,0)*IF(GeleendBedrag*Rentevoet*Leningjaren*BegindatumLening&gt;0,1,0),-FV(Rentevoet/12,ROW()-ROW(Lening[[#HEADERS],[BET.NR.]])-1,PMT(Rentevoet/12,AantalBetalingen,GeleendBedrag),GeleendBedrag),""),""),"")</f>
        <v/>
      </c>
      <c r="E82" s="49" t="str">
        <f>IFERROR(IF(IF(B82="","",IF($B82&lt;=AantalBetalingen,1,0)*IF(GeleendBedrag*Rentevoet*Leningjaren*BegindatumLening&gt;0,1,0),-PMT(Rentevoet/12,AantalBetalingen,GeleendBedrag),""),""),"")</f>
        <v/>
      </c>
      <c r="F82" s="49" t="str">
        <f>IFERROR(IF(IF($B82&lt;=AantalBetalingen,1,0)*IF(GeleendBedrag*Rentevoet*Leningjaren*BegindatumLening&gt;0,1,0),-PPMT(Rentevoet/12,ROW()-ROW(Lening[[#HEADERS],[BET.NR.]]),AantalBetalingen,GeleendBedrag),""),"")</f>
        <v/>
      </c>
      <c r="G82" s="49" t="str">
        <f>IFERROR(IF(IF($B82&lt;=AantalBetalingen,1,0)*IF(GeleendBedrag*Rentevoet*Leningjaren*BegindatumLening&gt;0,1,0),-IPMT(Rentevoet/12,$B82,AantalBetalingen,GeleendBedrag),""),"")</f>
        <v/>
      </c>
      <c r="H82" s="49" t="str">
        <f>IFERROR(IF(IF(B82="","",IF($B82&lt;=AantalBetalingen,1,0)*IF(GeleendBedrag*Rentevoet*Leningjaren*BegindatumLening&gt;0,1,0),-FV(Rentevoet/12,$B82,PMT(Rentevoet/12,AantalBetalingen,GeleendBedrag),GeleendBedrag),""),""),"")</f>
        <v/>
      </c>
    </row>
    <row r="83" ht="22.5" hidden="1" customHeight="1">
      <c r="A83" s="46">
        <f>ROW()-ROW(Lening[[#HEADERS],[BET.NR.]])</f>
        <v>74</v>
      </c>
      <c r="B83" s="50" t="str">
        <f>IFERROR(IF(IF(ROW()-ROW(Lening!$9:$9)&lt;=AantalBetalingen,1,0)*IF(GeleendBedrag*Rentevoet*$D$5*BegindatumLening&gt;0,1,0),ROW()-ROW(Lening!$9:$9),""),"")</f>
        <v/>
      </c>
      <c r="C83" s="48" t="str">
        <f>IFERROR(IF(B83="","",IF(IF(B83&lt;=AantalBetalingen,1,0)*IF(GeleendBedrag*Rentevoet*Leningjaren*BegindatumLening&gt;0,1,0),TEXT(DATE(YEAR(BegindatumLening),MONTH(BegindatumLening)+B83,DAY(BegindatumLening)),"d-m-yyyy"),""),""),"")</f>
        <v/>
      </c>
      <c r="D83" s="49" t="str">
        <f>IFERROR(IF(IF(B83="","",IF($B83&lt;=AantalBetalingen,1,0)*IF(GeleendBedrag*Rentevoet*Leningjaren*BegindatumLening&gt;0,1,0),-FV(Rentevoet/12,ROW()-ROW(Lening[[#HEADERS],[BET.NR.]])-1,PMT(Rentevoet/12,AantalBetalingen,GeleendBedrag),GeleendBedrag),""),""),"")</f>
        <v/>
      </c>
      <c r="E83" s="49" t="str">
        <f>IFERROR(IF(IF(B83="","",IF($B83&lt;=AantalBetalingen,1,0)*IF(GeleendBedrag*Rentevoet*Leningjaren*BegindatumLening&gt;0,1,0),-PMT(Rentevoet/12,AantalBetalingen,GeleendBedrag),""),""),"")</f>
        <v/>
      </c>
      <c r="F83" s="49" t="str">
        <f>IFERROR(IF(IF($B83&lt;=AantalBetalingen,1,0)*IF(GeleendBedrag*Rentevoet*Leningjaren*BegindatumLening&gt;0,1,0),-PPMT(Rentevoet/12,ROW()-ROW(Lening[[#HEADERS],[BET.NR.]]),AantalBetalingen,GeleendBedrag),""),"")</f>
        <v/>
      </c>
      <c r="G83" s="49" t="str">
        <f>IFERROR(IF(IF($B83&lt;=AantalBetalingen,1,0)*IF(GeleendBedrag*Rentevoet*Leningjaren*BegindatumLening&gt;0,1,0),-IPMT(Rentevoet/12,$B83,AantalBetalingen,GeleendBedrag),""),"")</f>
        <v/>
      </c>
      <c r="H83" s="49" t="str">
        <f>IFERROR(IF(IF(B83="","",IF($B83&lt;=AantalBetalingen,1,0)*IF(GeleendBedrag*Rentevoet*Leningjaren*BegindatumLening&gt;0,1,0),-FV(Rentevoet/12,$B83,PMT(Rentevoet/12,AantalBetalingen,GeleendBedrag),GeleendBedrag),""),""),"")</f>
        <v/>
      </c>
    </row>
    <row r="84" ht="22.5" hidden="1" customHeight="1">
      <c r="A84" s="46">
        <f>ROW()-ROW(Lening[[#HEADERS],[BET.NR.]])</f>
        <v>75</v>
      </c>
      <c r="B84" s="50" t="str">
        <f>IFERROR(IF(IF(ROW()-ROW(Lening!$9:$9)&lt;=AantalBetalingen,1,0)*IF(GeleendBedrag*Rentevoet*$D$5*BegindatumLening&gt;0,1,0),ROW()-ROW(Lening!$9:$9),""),"")</f>
        <v/>
      </c>
      <c r="C84" s="48" t="str">
        <f>IFERROR(IF(B84="","",IF(IF(B84&lt;=AantalBetalingen,1,0)*IF(GeleendBedrag*Rentevoet*Leningjaren*BegindatumLening&gt;0,1,0),TEXT(DATE(YEAR(BegindatumLening),MONTH(BegindatumLening)+B84,DAY(BegindatumLening)),"d-m-yyyy"),""),""),"")</f>
        <v/>
      </c>
      <c r="D84" s="49" t="str">
        <f>IFERROR(IF(IF(B84="","",IF($B84&lt;=AantalBetalingen,1,0)*IF(GeleendBedrag*Rentevoet*Leningjaren*BegindatumLening&gt;0,1,0),-FV(Rentevoet/12,ROW()-ROW(Lening[[#HEADERS],[BET.NR.]])-1,PMT(Rentevoet/12,AantalBetalingen,GeleendBedrag),GeleendBedrag),""),""),"")</f>
        <v/>
      </c>
      <c r="E84" s="49" t="str">
        <f>IFERROR(IF(IF(B84="","",IF($B84&lt;=AantalBetalingen,1,0)*IF(GeleendBedrag*Rentevoet*Leningjaren*BegindatumLening&gt;0,1,0),-PMT(Rentevoet/12,AantalBetalingen,GeleendBedrag),""),""),"")</f>
        <v/>
      </c>
      <c r="F84" s="49" t="str">
        <f>IFERROR(IF(IF($B84&lt;=AantalBetalingen,1,0)*IF(GeleendBedrag*Rentevoet*Leningjaren*BegindatumLening&gt;0,1,0),-PPMT(Rentevoet/12,ROW()-ROW(Lening[[#HEADERS],[BET.NR.]]),AantalBetalingen,GeleendBedrag),""),"")</f>
        <v/>
      </c>
      <c r="G84" s="49" t="str">
        <f>IFERROR(IF(IF($B84&lt;=AantalBetalingen,1,0)*IF(GeleendBedrag*Rentevoet*Leningjaren*BegindatumLening&gt;0,1,0),-IPMT(Rentevoet/12,$B84,AantalBetalingen,GeleendBedrag),""),"")</f>
        <v/>
      </c>
      <c r="H84" s="49" t="str">
        <f>IFERROR(IF(IF(B84="","",IF($B84&lt;=AantalBetalingen,1,0)*IF(GeleendBedrag*Rentevoet*Leningjaren*BegindatumLening&gt;0,1,0),-FV(Rentevoet/12,$B84,PMT(Rentevoet/12,AantalBetalingen,GeleendBedrag),GeleendBedrag),""),""),"")</f>
        <v/>
      </c>
    </row>
    <row r="85" ht="22.5" hidden="1" customHeight="1">
      <c r="A85" s="46">
        <f>ROW()-ROW(Lening[[#HEADERS],[BET.NR.]])</f>
        <v>76</v>
      </c>
      <c r="B85" s="50" t="str">
        <f>IFERROR(IF(IF(ROW()-ROW(Lening!$9:$9)&lt;=AantalBetalingen,1,0)*IF(GeleendBedrag*Rentevoet*$D$5*BegindatumLening&gt;0,1,0),ROW()-ROW(Lening!$9:$9),""),"")</f>
        <v/>
      </c>
      <c r="C85" s="48" t="str">
        <f>IFERROR(IF(B85="","",IF(IF(B85&lt;=AantalBetalingen,1,0)*IF(GeleendBedrag*Rentevoet*Leningjaren*BegindatumLening&gt;0,1,0),TEXT(DATE(YEAR(BegindatumLening),MONTH(BegindatumLening)+B85,DAY(BegindatumLening)),"d-m-yyyy"),""),""),"")</f>
        <v/>
      </c>
      <c r="D85" s="49" t="str">
        <f>IFERROR(IF(IF(B85="","",IF($B85&lt;=AantalBetalingen,1,0)*IF(GeleendBedrag*Rentevoet*Leningjaren*BegindatumLening&gt;0,1,0),-FV(Rentevoet/12,ROW()-ROW(Lening[[#HEADERS],[BET.NR.]])-1,PMT(Rentevoet/12,AantalBetalingen,GeleendBedrag),GeleendBedrag),""),""),"")</f>
        <v/>
      </c>
      <c r="E85" s="49" t="str">
        <f>IFERROR(IF(IF(B85="","",IF($B85&lt;=AantalBetalingen,1,0)*IF(GeleendBedrag*Rentevoet*Leningjaren*BegindatumLening&gt;0,1,0),-PMT(Rentevoet/12,AantalBetalingen,GeleendBedrag),""),""),"")</f>
        <v/>
      </c>
      <c r="F85" s="49" t="str">
        <f>IFERROR(IF(IF($B85&lt;=AantalBetalingen,1,0)*IF(GeleendBedrag*Rentevoet*Leningjaren*BegindatumLening&gt;0,1,0),-PPMT(Rentevoet/12,ROW()-ROW(Lening[[#HEADERS],[BET.NR.]]),AantalBetalingen,GeleendBedrag),""),"")</f>
        <v/>
      </c>
      <c r="G85" s="49" t="str">
        <f>IFERROR(IF(IF($B85&lt;=AantalBetalingen,1,0)*IF(GeleendBedrag*Rentevoet*Leningjaren*BegindatumLening&gt;0,1,0),-IPMT(Rentevoet/12,$B85,AantalBetalingen,GeleendBedrag),""),"")</f>
        <v/>
      </c>
      <c r="H85" s="49" t="str">
        <f>IFERROR(IF(IF(B85="","",IF($B85&lt;=AantalBetalingen,1,0)*IF(GeleendBedrag*Rentevoet*Leningjaren*BegindatumLening&gt;0,1,0),-FV(Rentevoet/12,$B85,PMT(Rentevoet/12,AantalBetalingen,GeleendBedrag),GeleendBedrag),""),""),"")</f>
        <v/>
      </c>
    </row>
    <row r="86" ht="22.5" hidden="1" customHeight="1">
      <c r="A86" s="46">
        <f>ROW()-ROW(Lening[[#HEADERS],[BET.NR.]])</f>
        <v>77</v>
      </c>
      <c r="B86" s="50" t="str">
        <f>IFERROR(IF(IF(ROW()-ROW(Lening!$9:$9)&lt;=AantalBetalingen,1,0)*IF(GeleendBedrag*Rentevoet*$D$5*BegindatumLening&gt;0,1,0),ROW()-ROW(Lening!$9:$9),""),"")</f>
        <v/>
      </c>
      <c r="C86" s="48" t="str">
        <f>IFERROR(IF(B86="","",IF(IF(B86&lt;=AantalBetalingen,1,0)*IF(GeleendBedrag*Rentevoet*Leningjaren*BegindatumLening&gt;0,1,0),TEXT(DATE(YEAR(BegindatumLening),MONTH(BegindatumLening)+B86,DAY(BegindatumLening)),"d-m-yyyy"),""),""),"")</f>
        <v/>
      </c>
      <c r="D86" s="49" t="str">
        <f>IFERROR(IF(IF(B86="","",IF($B86&lt;=AantalBetalingen,1,0)*IF(GeleendBedrag*Rentevoet*Leningjaren*BegindatumLening&gt;0,1,0),-FV(Rentevoet/12,ROW()-ROW(Lening[[#HEADERS],[BET.NR.]])-1,PMT(Rentevoet/12,AantalBetalingen,GeleendBedrag),GeleendBedrag),""),""),"")</f>
        <v/>
      </c>
      <c r="E86" s="49" t="str">
        <f>IFERROR(IF(IF(B86="","",IF($B86&lt;=AantalBetalingen,1,0)*IF(GeleendBedrag*Rentevoet*Leningjaren*BegindatumLening&gt;0,1,0),-PMT(Rentevoet/12,AantalBetalingen,GeleendBedrag),""),""),"")</f>
        <v/>
      </c>
      <c r="F86" s="49" t="str">
        <f>IFERROR(IF(IF($B86&lt;=AantalBetalingen,1,0)*IF(GeleendBedrag*Rentevoet*Leningjaren*BegindatumLening&gt;0,1,0),-PPMT(Rentevoet/12,ROW()-ROW(Lening[[#HEADERS],[BET.NR.]]),AantalBetalingen,GeleendBedrag),""),"")</f>
        <v/>
      </c>
      <c r="G86" s="49" t="str">
        <f>IFERROR(IF(IF($B86&lt;=AantalBetalingen,1,0)*IF(GeleendBedrag*Rentevoet*Leningjaren*BegindatumLening&gt;0,1,0),-IPMT(Rentevoet/12,$B86,AantalBetalingen,GeleendBedrag),""),"")</f>
        <v/>
      </c>
      <c r="H86" s="49" t="str">
        <f>IFERROR(IF(IF(B86="","",IF($B86&lt;=AantalBetalingen,1,0)*IF(GeleendBedrag*Rentevoet*Leningjaren*BegindatumLening&gt;0,1,0),-FV(Rentevoet/12,$B86,PMT(Rentevoet/12,AantalBetalingen,GeleendBedrag),GeleendBedrag),""),""),"")</f>
        <v/>
      </c>
    </row>
    <row r="87" ht="22.5" hidden="1" customHeight="1">
      <c r="A87" s="46">
        <f>ROW()-ROW(Lening[[#HEADERS],[BET.NR.]])</f>
        <v>78</v>
      </c>
      <c r="B87" s="50" t="str">
        <f>IFERROR(IF(IF(ROW()-ROW(Lening!$9:$9)&lt;=AantalBetalingen,1,0)*IF(GeleendBedrag*Rentevoet*$D$5*BegindatumLening&gt;0,1,0),ROW()-ROW(Lening!$9:$9),""),"")</f>
        <v/>
      </c>
      <c r="C87" s="48" t="str">
        <f>IFERROR(IF(B87="","",IF(IF(B87&lt;=AantalBetalingen,1,0)*IF(GeleendBedrag*Rentevoet*Leningjaren*BegindatumLening&gt;0,1,0),TEXT(DATE(YEAR(BegindatumLening),MONTH(BegindatumLening)+B87,DAY(BegindatumLening)),"d-m-yyyy"),""),""),"")</f>
        <v/>
      </c>
      <c r="D87" s="49" t="str">
        <f>IFERROR(IF(IF(B87="","",IF($B87&lt;=AantalBetalingen,1,0)*IF(GeleendBedrag*Rentevoet*Leningjaren*BegindatumLening&gt;0,1,0),-FV(Rentevoet/12,ROW()-ROW(Lening[[#HEADERS],[BET.NR.]])-1,PMT(Rentevoet/12,AantalBetalingen,GeleendBedrag),GeleendBedrag),""),""),"")</f>
        <v/>
      </c>
      <c r="E87" s="49" t="str">
        <f>IFERROR(IF(IF(B87="","",IF($B87&lt;=AantalBetalingen,1,0)*IF(GeleendBedrag*Rentevoet*Leningjaren*BegindatumLening&gt;0,1,0),-PMT(Rentevoet/12,AantalBetalingen,GeleendBedrag),""),""),"")</f>
        <v/>
      </c>
      <c r="F87" s="49" t="str">
        <f>IFERROR(IF(IF($B87&lt;=AantalBetalingen,1,0)*IF(GeleendBedrag*Rentevoet*Leningjaren*BegindatumLening&gt;0,1,0),-PPMT(Rentevoet/12,ROW()-ROW(Lening[[#HEADERS],[BET.NR.]]),AantalBetalingen,GeleendBedrag),""),"")</f>
        <v/>
      </c>
      <c r="G87" s="49" t="str">
        <f>IFERROR(IF(IF($B87&lt;=AantalBetalingen,1,0)*IF(GeleendBedrag*Rentevoet*Leningjaren*BegindatumLening&gt;0,1,0),-IPMT(Rentevoet/12,$B87,AantalBetalingen,GeleendBedrag),""),"")</f>
        <v/>
      </c>
      <c r="H87" s="49" t="str">
        <f>IFERROR(IF(IF(B87="","",IF($B87&lt;=AantalBetalingen,1,0)*IF(GeleendBedrag*Rentevoet*Leningjaren*BegindatumLening&gt;0,1,0),-FV(Rentevoet/12,$B87,PMT(Rentevoet/12,AantalBetalingen,GeleendBedrag),GeleendBedrag),""),""),"")</f>
        <v/>
      </c>
    </row>
    <row r="88" ht="22.5" hidden="1" customHeight="1">
      <c r="A88" s="46">
        <f>ROW()-ROW(Lening[[#HEADERS],[BET.NR.]])</f>
        <v>79</v>
      </c>
      <c r="B88" s="50" t="str">
        <f>IFERROR(IF(IF(ROW()-ROW(Lening!$9:$9)&lt;=AantalBetalingen,1,0)*IF(GeleendBedrag*Rentevoet*$D$5*BegindatumLening&gt;0,1,0),ROW()-ROW(Lening!$9:$9),""),"")</f>
        <v/>
      </c>
      <c r="C88" s="48" t="str">
        <f>IFERROR(IF(B88="","",IF(IF(B88&lt;=AantalBetalingen,1,0)*IF(GeleendBedrag*Rentevoet*Leningjaren*BegindatumLening&gt;0,1,0),TEXT(DATE(YEAR(BegindatumLening),MONTH(BegindatumLening)+B88,DAY(BegindatumLening)),"d-m-yyyy"),""),""),"")</f>
        <v/>
      </c>
      <c r="D88" s="49" t="str">
        <f>IFERROR(IF(IF(B88="","",IF($B88&lt;=AantalBetalingen,1,0)*IF(GeleendBedrag*Rentevoet*Leningjaren*BegindatumLening&gt;0,1,0),-FV(Rentevoet/12,ROW()-ROW(Lening[[#HEADERS],[BET.NR.]])-1,PMT(Rentevoet/12,AantalBetalingen,GeleendBedrag),GeleendBedrag),""),""),"")</f>
        <v/>
      </c>
      <c r="E88" s="49" t="str">
        <f>IFERROR(IF(IF(B88="","",IF($B88&lt;=AantalBetalingen,1,0)*IF(GeleendBedrag*Rentevoet*Leningjaren*BegindatumLening&gt;0,1,0),-PMT(Rentevoet/12,AantalBetalingen,GeleendBedrag),""),""),"")</f>
        <v/>
      </c>
      <c r="F88" s="49" t="str">
        <f>IFERROR(IF(IF($B88&lt;=AantalBetalingen,1,0)*IF(GeleendBedrag*Rentevoet*Leningjaren*BegindatumLening&gt;0,1,0),-PPMT(Rentevoet/12,ROW()-ROW(Lening[[#HEADERS],[BET.NR.]]),AantalBetalingen,GeleendBedrag),""),"")</f>
        <v/>
      </c>
      <c r="G88" s="49" t="str">
        <f>IFERROR(IF(IF($B88&lt;=AantalBetalingen,1,0)*IF(GeleendBedrag*Rentevoet*Leningjaren*BegindatumLening&gt;0,1,0),-IPMT(Rentevoet/12,$B88,AantalBetalingen,GeleendBedrag),""),"")</f>
        <v/>
      </c>
      <c r="H88" s="49" t="str">
        <f>IFERROR(IF(IF(B88="","",IF($B88&lt;=AantalBetalingen,1,0)*IF(GeleendBedrag*Rentevoet*Leningjaren*BegindatumLening&gt;0,1,0),-FV(Rentevoet/12,$B88,PMT(Rentevoet/12,AantalBetalingen,GeleendBedrag),GeleendBedrag),""),""),"")</f>
        <v/>
      </c>
    </row>
    <row r="89" ht="22.5" hidden="1" customHeight="1">
      <c r="A89" s="46">
        <f>ROW()-ROW(Lening[[#HEADERS],[BET.NR.]])</f>
        <v>80</v>
      </c>
      <c r="B89" s="50" t="str">
        <f>IFERROR(IF(IF(ROW()-ROW(Lening!$9:$9)&lt;=AantalBetalingen,1,0)*IF(GeleendBedrag*Rentevoet*$D$5*BegindatumLening&gt;0,1,0),ROW()-ROW(Lening!$9:$9),""),"")</f>
        <v/>
      </c>
      <c r="C89" s="48" t="str">
        <f>IFERROR(IF(B89="","",IF(IF(B89&lt;=AantalBetalingen,1,0)*IF(GeleendBedrag*Rentevoet*Leningjaren*BegindatumLening&gt;0,1,0),TEXT(DATE(YEAR(BegindatumLening),MONTH(BegindatumLening)+B89,DAY(BegindatumLening)),"d-m-yyyy"),""),""),"")</f>
        <v/>
      </c>
      <c r="D89" s="49" t="str">
        <f>IFERROR(IF(IF(B89="","",IF($B89&lt;=AantalBetalingen,1,0)*IF(GeleendBedrag*Rentevoet*Leningjaren*BegindatumLening&gt;0,1,0),-FV(Rentevoet/12,ROW()-ROW(Lening[[#HEADERS],[BET.NR.]])-1,PMT(Rentevoet/12,AantalBetalingen,GeleendBedrag),GeleendBedrag),""),""),"")</f>
        <v/>
      </c>
      <c r="E89" s="49" t="str">
        <f>IFERROR(IF(IF(B89="","",IF($B89&lt;=AantalBetalingen,1,0)*IF(GeleendBedrag*Rentevoet*Leningjaren*BegindatumLening&gt;0,1,0),-PMT(Rentevoet/12,AantalBetalingen,GeleendBedrag),""),""),"")</f>
        <v/>
      </c>
      <c r="F89" s="49" t="str">
        <f>IFERROR(IF(IF($B89&lt;=AantalBetalingen,1,0)*IF(GeleendBedrag*Rentevoet*Leningjaren*BegindatumLening&gt;0,1,0),-PPMT(Rentevoet/12,ROW()-ROW(Lening[[#HEADERS],[BET.NR.]]),AantalBetalingen,GeleendBedrag),""),"")</f>
        <v/>
      </c>
      <c r="G89" s="49" t="str">
        <f>IFERROR(IF(IF($B89&lt;=AantalBetalingen,1,0)*IF(GeleendBedrag*Rentevoet*Leningjaren*BegindatumLening&gt;0,1,0),-IPMT(Rentevoet/12,$B89,AantalBetalingen,GeleendBedrag),""),"")</f>
        <v/>
      </c>
      <c r="H89" s="49" t="str">
        <f>IFERROR(IF(IF(B89="","",IF($B89&lt;=AantalBetalingen,1,0)*IF(GeleendBedrag*Rentevoet*Leningjaren*BegindatumLening&gt;0,1,0),-FV(Rentevoet/12,$B89,PMT(Rentevoet/12,AantalBetalingen,GeleendBedrag),GeleendBedrag),""),""),"")</f>
        <v/>
      </c>
    </row>
    <row r="90" ht="22.5" hidden="1" customHeight="1">
      <c r="A90" s="46">
        <f>ROW()-ROW(Lening[[#HEADERS],[BET.NR.]])</f>
        <v>81</v>
      </c>
      <c r="B90" s="50" t="str">
        <f>IFERROR(IF(IF(ROW()-ROW(Lening!$9:$9)&lt;=AantalBetalingen,1,0)*IF(GeleendBedrag*Rentevoet*$D$5*BegindatumLening&gt;0,1,0),ROW()-ROW(Lening!$9:$9),""),"")</f>
        <v/>
      </c>
      <c r="C90" s="48" t="str">
        <f>IFERROR(IF(B90="","",IF(IF(B90&lt;=AantalBetalingen,1,0)*IF(GeleendBedrag*Rentevoet*Leningjaren*BegindatumLening&gt;0,1,0),TEXT(DATE(YEAR(BegindatumLening),MONTH(BegindatumLening)+B90,DAY(BegindatumLening)),"d-m-yyyy"),""),""),"")</f>
        <v/>
      </c>
      <c r="D90" s="49" t="str">
        <f>IFERROR(IF(IF(B90="","",IF($B90&lt;=AantalBetalingen,1,0)*IF(GeleendBedrag*Rentevoet*Leningjaren*BegindatumLening&gt;0,1,0),-FV(Rentevoet/12,ROW()-ROW(Lening[[#HEADERS],[BET.NR.]])-1,PMT(Rentevoet/12,AantalBetalingen,GeleendBedrag),GeleendBedrag),""),""),"")</f>
        <v/>
      </c>
      <c r="E90" s="49" t="str">
        <f>IFERROR(IF(IF(B90="","",IF($B90&lt;=AantalBetalingen,1,0)*IF(GeleendBedrag*Rentevoet*Leningjaren*BegindatumLening&gt;0,1,0),-PMT(Rentevoet/12,AantalBetalingen,GeleendBedrag),""),""),"")</f>
        <v/>
      </c>
      <c r="F90" s="49" t="str">
        <f>IFERROR(IF(IF($B90&lt;=AantalBetalingen,1,0)*IF(GeleendBedrag*Rentevoet*Leningjaren*BegindatumLening&gt;0,1,0),-PPMT(Rentevoet/12,ROW()-ROW(Lening[[#HEADERS],[BET.NR.]]),AantalBetalingen,GeleendBedrag),""),"")</f>
        <v/>
      </c>
      <c r="G90" s="49" t="str">
        <f>IFERROR(IF(IF($B90&lt;=AantalBetalingen,1,0)*IF(GeleendBedrag*Rentevoet*Leningjaren*BegindatumLening&gt;0,1,0),-IPMT(Rentevoet/12,$B90,AantalBetalingen,GeleendBedrag),""),"")</f>
        <v/>
      </c>
      <c r="H90" s="49" t="str">
        <f>IFERROR(IF(IF(B90="","",IF($B90&lt;=AantalBetalingen,1,0)*IF(GeleendBedrag*Rentevoet*Leningjaren*BegindatumLening&gt;0,1,0),-FV(Rentevoet/12,$B90,PMT(Rentevoet/12,AantalBetalingen,GeleendBedrag),GeleendBedrag),""),""),"")</f>
        <v/>
      </c>
    </row>
    <row r="91" ht="22.5" hidden="1" customHeight="1">
      <c r="A91" s="46">
        <f>ROW()-ROW(Lening[[#HEADERS],[BET.NR.]])</f>
        <v>82</v>
      </c>
      <c r="B91" s="50" t="str">
        <f>IFERROR(IF(IF(ROW()-ROW(Lening!$9:$9)&lt;=AantalBetalingen,1,0)*IF(GeleendBedrag*Rentevoet*$D$5*BegindatumLening&gt;0,1,0),ROW()-ROW(Lening!$9:$9),""),"")</f>
        <v/>
      </c>
      <c r="C91" s="48" t="str">
        <f>IFERROR(IF(B91="","",IF(IF(B91&lt;=AantalBetalingen,1,0)*IF(GeleendBedrag*Rentevoet*Leningjaren*BegindatumLening&gt;0,1,0),TEXT(DATE(YEAR(BegindatumLening),MONTH(BegindatumLening)+B91,DAY(BegindatumLening)),"d-m-yyyy"),""),""),"")</f>
        <v/>
      </c>
      <c r="D91" s="49" t="str">
        <f>IFERROR(IF(IF(B91="","",IF($B91&lt;=AantalBetalingen,1,0)*IF(GeleendBedrag*Rentevoet*Leningjaren*BegindatumLening&gt;0,1,0),-FV(Rentevoet/12,ROW()-ROW(Lening[[#HEADERS],[BET.NR.]])-1,PMT(Rentevoet/12,AantalBetalingen,GeleendBedrag),GeleendBedrag),""),""),"")</f>
        <v/>
      </c>
      <c r="E91" s="49" t="str">
        <f>IFERROR(IF(IF(B91="","",IF($B91&lt;=AantalBetalingen,1,0)*IF(GeleendBedrag*Rentevoet*Leningjaren*BegindatumLening&gt;0,1,0),-PMT(Rentevoet/12,AantalBetalingen,GeleendBedrag),""),""),"")</f>
        <v/>
      </c>
      <c r="F91" s="49" t="str">
        <f>IFERROR(IF(IF($B91&lt;=AantalBetalingen,1,0)*IF(GeleendBedrag*Rentevoet*Leningjaren*BegindatumLening&gt;0,1,0),-PPMT(Rentevoet/12,ROW()-ROW(Lening[[#HEADERS],[BET.NR.]]),AantalBetalingen,GeleendBedrag),""),"")</f>
        <v/>
      </c>
      <c r="G91" s="49" t="str">
        <f>IFERROR(IF(IF($B91&lt;=AantalBetalingen,1,0)*IF(GeleendBedrag*Rentevoet*Leningjaren*BegindatumLening&gt;0,1,0),-IPMT(Rentevoet/12,$B91,AantalBetalingen,GeleendBedrag),""),"")</f>
        <v/>
      </c>
      <c r="H91" s="49" t="str">
        <f>IFERROR(IF(IF(B91="","",IF($B91&lt;=AantalBetalingen,1,0)*IF(GeleendBedrag*Rentevoet*Leningjaren*BegindatumLening&gt;0,1,0),-FV(Rentevoet/12,$B91,PMT(Rentevoet/12,AantalBetalingen,GeleendBedrag),GeleendBedrag),""),""),"")</f>
        <v/>
      </c>
    </row>
    <row r="92" ht="22.5" hidden="1" customHeight="1">
      <c r="A92" s="46">
        <f>ROW()-ROW(Lening[[#HEADERS],[BET.NR.]])</f>
        <v>83</v>
      </c>
      <c r="B92" s="50" t="str">
        <f>IFERROR(IF(IF(ROW()-ROW(Lening!$9:$9)&lt;=AantalBetalingen,1,0)*IF(GeleendBedrag*Rentevoet*$D$5*BegindatumLening&gt;0,1,0),ROW()-ROW(Lening!$9:$9),""),"")</f>
        <v/>
      </c>
      <c r="C92" s="48" t="str">
        <f>IFERROR(IF(B92="","",IF(IF(B92&lt;=AantalBetalingen,1,0)*IF(GeleendBedrag*Rentevoet*Leningjaren*BegindatumLening&gt;0,1,0),TEXT(DATE(YEAR(BegindatumLening),MONTH(BegindatumLening)+B92,DAY(BegindatumLening)),"d-m-yyyy"),""),""),"")</f>
        <v/>
      </c>
      <c r="D92" s="49" t="str">
        <f>IFERROR(IF(IF(B92="","",IF($B92&lt;=AantalBetalingen,1,0)*IF(GeleendBedrag*Rentevoet*Leningjaren*BegindatumLening&gt;0,1,0),-FV(Rentevoet/12,ROW()-ROW(Lening[[#HEADERS],[BET.NR.]])-1,PMT(Rentevoet/12,AantalBetalingen,GeleendBedrag),GeleendBedrag),""),""),"")</f>
        <v/>
      </c>
      <c r="E92" s="49" t="str">
        <f>IFERROR(IF(IF(B92="","",IF($B92&lt;=AantalBetalingen,1,0)*IF(GeleendBedrag*Rentevoet*Leningjaren*BegindatumLening&gt;0,1,0),-PMT(Rentevoet/12,AantalBetalingen,GeleendBedrag),""),""),"")</f>
        <v/>
      </c>
      <c r="F92" s="49" t="str">
        <f>IFERROR(IF(IF($B92&lt;=AantalBetalingen,1,0)*IF(GeleendBedrag*Rentevoet*Leningjaren*BegindatumLening&gt;0,1,0),-PPMT(Rentevoet/12,ROW()-ROW(Lening[[#HEADERS],[BET.NR.]]),AantalBetalingen,GeleendBedrag),""),"")</f>
        <v/>
      </c>
      <c r="G92" s="49" t="str">
        <f>IFERROR(IF(IF($B92&lt;=AantalBetalingen,1,0)*IF(GeleendBedrag*Rentevoet*Leningjaren*BegindatumLening&gt;0,1,0),-IPMT(Rentevoet/12,$B92,AantalBetalingen,GeleendBedrag),""),"")</f>
        <v/>
      </c>
      <c r="H92" s="49" t="str">
        <f>IFERROR(IF(IF(B92="","",IF($B92&lt;=AantalBetalingen,1,0)*IF(GeleendBedrag*Rentevoet*Leningjaren*BegindatumLening&gt;0,1,0),-FV(Rentevoet/12,$B92,PMT(Rentevoet/12,AantalBetalingen,GeleendBedrag),GeleendBedrag),""),""),"")</f>
        <v/>
      </c>
    </row>
    <row r="93" ht="22.5" hidden="1" customHeight="1">
      <c r="A93" s="46">
        <f>ROW()-ROW(Lening[[#HEADERS],[BET.NR.]])</f>
        <v>84</v>
      </c>
      <c r="B93" s="50" t="str">
        <f>IFERROR(IF(IF(ROW()-ROW(Lening!$9:$9)&lt;=AantalBetalingen,1,0)*IF(GeleendBedrag*Rentevoet*$D$5*BegindatumLening&gt;0,1,0),ROW()-ROW(Lening!$9:$9),""),"")</f>
        <v/>
      </c>
      <c r="C93" s="48" t="str">
        <f>IFERROR(IF(B93="","",IF(IF(B93&lt;=AantalBetalingen,1,0)*IF(GeleendBedrag*Rentevoet*Leningjaren*BegindatumLening&gt;0,1,0),TEXT(DATE(YEAR(BegindatumLening),MONTH(BegindatumLening)+B93,DAY(BegindatumLening)),"d-m-yyyy"),""),""),"")</f>
        <v/>
      </c>
      <c r="D93" s="49" t="str">
        <f>IFERROR(IF(IF(B93="","",IF($B93&lt;=AantalBetalingen,1,0)*IF(GeleendBedrag*Rentevoet*Leningjaren*BegindatumLening&gt;0,1,0),-FV(Rentevoet/12,ROW()-ROW(Lening[[#HEADERS],[BET.NR.]])-1,PMT(Rentevoet/12,AantalBetalingen,GeleendBedrag),GeleendBedrag),""),""),"")</f>
        <v/>
      </c>
      <c r="E93" s="49" t="str">
        <f>IFERROR(IF(IF(B93="","",IF($B93&lt;=AantalBetalingen,1,0)*IF(GeleendBedrag*Rentevoet*Leningjaren*BegindatumLening&gt;0,1,0),-PMT(Rentevoet/12,AantalBetalingen,GeleendBedrag),""),""),"")</f>
        <v/>
      </c>
      <c r="F93" s="49" t="str">
        <f>IFERROR(IF(IF($B93&lt;=AantalBetalingen,1,0)*IF(GeleendBedrag*Rentevoet*Leningjaren*BegindatumLening&gt;0,1,0),-PPMT(Rentevoet/12,ROW()-ROW(Lening[[#HEADERS],[BET.NR.]]),AantalBetalingen,GeleendBedrag),""),"")</f>
        <v/>
      </c>
      <c r="G93" s="49" t="str">
        <f>IFERROR(IF(IF($B93&lt;=AantalBetalingen,1,0)*IF(GeleendBedrag*Rentevoet*Leningjaren*BegindatumLening&gt;0,1,0),-IPMT(Rentevoet/12,$B93,AantalBetalingen,GeleendBedrag),""),"")</f>
        <v/>
      </c>
      <c r="H93" s="49" t="str">
        <f>IFERROR(IF(IF(B93="","",IF($B93&lt;=AantalBetalingen,1,0)*IF(GeleendBedrag*Rentevoet*Leningjaren*BegindatumLening&gt;0,1,0),-FV(Rentevoet/12,$B93,PMT(Rentevoet/12,AantalBetalingen,GeleendBedrag),GeleendBedrag),""),""),"")</f>
        <v/>
      </c>
    </row>
    <row r="94" ht="22.5" hidden="1" customHeight="1">
      <c r="A94" s="46">
        <f>ROW()-ROW(Lening[[#HEADERS],[BET.NR.]])</f>
        <v>85</v>
      </c>
      <c r="B94" s="50" t="str">
        <f>IFERROR(IF(IF(ROW()-ROW(Lening!$9:$9)&lt;=AantalBetalingen,1,0)*IF(GeleendBedrag*Rentevoet*$D$5*BegindatumLening&gt;0,1,0),ROW()-ROW(Lening!$9:$9),""),"")</f>
        <v/>
      </c>
      <c r="C94" s="48" t="str">
        <f>IFERROR(IF(B94="","",IF(IF(B94&lt;=AantalBetalingen,1,0)*IF(GeleendBedrag*Rentevoet*Leningjaren*BegindatumLening&gt;0,1,0),TEXT(DATE(YEAR(BegindatumLening),MONTH(BegindatumLening)+B94,DAY(BegindatumLening)),"d-m-yyyy"),""),""),"")</f>
        <v/>
      </c>
      <c r="D94" s="49" t="str">
        <f>IFERROR(IF(IF(B94="","",IF($B94&lt;=AantalBetalingen,1,0)*IF(GeleendBedrag*Rentevoet*Leningjaren*BegindatumLening&gt;0,1,0),-FV(Rentevoet/12,ROW()-ROW(Lening[[#HEADERS],[BET.NR.]])-1,PMT(Rentevoet/12,AantalBetalingen,GeleendBedrag),GeleendBedrag),""),""),"")</f>
        <v/>
      </c>
      <c r="E94" s="49" t="str">
        <f>IFERROR(IF(IF(B94="","",IF($B94&lt;=AantalBetalingen,1,0)*IF(GeleendBedrag*Rentevoet*Leningjaren*BegindatumLening&gt;0,1,0),-PMT(Rentevoet/12,AantalBetalingen,GeleendBedrag),""),""),"")</f>
        <v/>
      </c>
      <c r="F94" s="49" t="str">
        <f>IFERROR(IF(IF($B94&lt;=AantalBetalingen,1,0)*IF(GeleendBedrag*Rentevoet*Leningjaren*BegindatumLening&gt;0,1,0),-PPMT(Rentevoet/12,ROW()-ROW(Lening[[#HEADERS],[BET.NR.]]),AantalBetalingen,GeleendBedrag),""),"")</f>
        <v/>
      </c>
      <c r="G94" s="49" t="str">
        <f>IFERROR(IF(IF($B94&lt;=AantalBetalingen,1,0)*IF(GeleendBedrag*Rentevoet*Leningjaren*BegindatumLening&gt;0,1,0),-IPMT(Rentevoet/12,$B94,AantalBetalingen,GeleendBedrag),""),"")</f>
        <v/>
      </c>
      <c r="H94" s="49" t="str">
        <f>IFERROR(IF(IF(B94="","",IF($B94&lt;=AantalBetalingen,1,0)*IF(GeleendBedrag*Rentevoet*Leningjaren*BegindatumLening&gt;0,1,0),-FV(Rentevoet/12,$B94,PMT(Rentevoet/12,AantalBetalingen,GeleendBedrag),GeleendBedrag),""),""),"")</f>
        <v/>
      </c>
    </row>
    <row r="95" ht="22.5" hidden="1" customHeight="1">
      <c r="A95" s="46">
        <f>ROW()-ROW(Lening[[#HEADERS],[BET.NR.]])</f>
        <v>86</v>
      </c>
      <c r="B95" s="50" t="str">
        <f>IFERROR(IF(IF(ROW()-ROW(Lening!$9:$9)&lt;=AantalBetalingen,1,0)*IF(GeleendBedrag*Rentevoet*$D$5*BegindatumLening&gt;0,1,0),ROW()-ROW(Lening!$9:$9),""),"")</f>
        <v/>
      </c>
      <c r="C95" s="48" t="str">
        <f>IFERROR(IF(B95="","",IF(IF(B95&lt;=AantalBetalingen,1,0)*IF(GeleendBedrag*Rentevoet*Leningjaren*BegindatumLening&gt;0,1,0),TEXT(DATE(YEAR(BegindatumLening),MONTH(BegindatumLening)+B95,DAY(BegindatumLening)),"d-m-yyyy"),""),""),"")</f>
        <v/>
      </c>
      <c r="D95" s="49" t="str">
        <f>IFERROR(IF(IF(B95="","",IF($B95&lt;=AantalBetalingen,1,0)*IF(GeleendBedrag*Rentevoet*Leningjaren*BegindatumLening&gt;0,1,0),-FV(Rentevoet/12,ROW()-ROW(Lening[[#HEADERS],[BET.NR.]])-1,PMT(Rentevoet/12,AantalBetalingen,GeleendBedrag),GeleendBedrag),""),""),"")</f>
        <v/>
      </c>
      <c r="E95" s="49" t="str">
        <f>IFERROR(IF(IF(B95="","",IF($B95&lt;=AantalBetalingen,1,0)*IF(GeleendBedrag*Rentevoet*Leningjaren*BegindatumLening&gt;0,1,0),-PMT(Rentevoet/12,AantalBetalingen,GeleendBedrag),""),""),"")</f>
        <v/>
      </c>
      <c r="F95" s="49" t="str">
        <f>IFERROR(IF(IF($B95&lt;=AantalBetalingen,1,0)*IF(GeleendBedrag*Rentevoet*Leningjaren*BegindatumLening&gt;0,1,0),-PPMT(Rentevoet/12,ROW()-ROW(Lening[[#HEADERS],[BET.NR.]]),AantalBetalingen,GeleendBedrag),""),"")</f>
        <v/>
      </c>
      <c r="G95" s="49" t="str">
        <f>IFERROR(IF(IF($B95&lt;=AantalBetalingen,1,0)*IF(GeleendBedrag*Rentevoet*Leningjaren*BegindatumLening&gt;0,1,0),-IPMT(Rentevoet/12,$B95,AantalBetalingen,GeleendBedrag),""),"")</f>
        <v/>
      </c>
      <c r="H95" s="49" t="str">
        <f>IFERROR(IF(IF(B95="","",IF($B95&lt;=AantalBetalingen,1,0)*IF(GeleendBedrag*Rentevoet*Leningjaren*BegindatumLening&gt;0,1,0),-FV(Rentevoet/12,$B95,PMT(Rentevoet/12,AantalBetalingen,GeleendBedrag),GeleendBedrag),""),""),"")</f>
        <v/>
      </c>
    </row>
    <row r="96" ht="22.5" hidden="1" customHeight="1">
      <c r="A96" s="46">
        <f>ROW()-ROW(Lening[[#HEADERS],[BET.NR.]])</f>
        <v>87</v>
      </c>
      <c r="B96" s="50" t="str">
        <f>IFERROR(IF(IF(ROW()-ROW(Lening!$9:$9)&lt;=AantalBetalingen,1,0)*IF(GeleendBedrag*Rentevoet*$D$5*BegindatumLening&gt;0,1,0),ROW()-ROW(Lening!$9:$9),""),"")</f>
        <v/>
      </c>
      <c r="C96" s="48" t="str">
        <f>IFERROR(IF(B96="","",IF(IF(B96&lt;=AantalBetalingen,1,0)*IF(GeleendBedrag*Rentevoet*Leningjaren*BegindatumLening&gt;0,1,0),TEXT(DATE(YEAR(BegindatumLening),MONTH(BegindatumLening)+B96,DAY(BegindatumLening)),"d-m-yyyy"),""),""),"")</f>
        <v/>
      </c>
      <c r="D96" s="49" t="str">
        <f>IFERROR(IF(IF(B96="","",IF($B96&lt;=AantalBetalingen,1,0)*IF(GeleendBedrag*Rentevoet*Leningjaren*BegindatumLening&gt;0,1,0),-FV(Rentevoet/12,ROW()-ROW(Lening[[#HEADERS],[BET.NR.]])-1,PMT(Rentevoet/12,AantalBetalingen,GeleendBedrag),GeleendBedrag),""),""),"")</f>
        <v/>
      </c>
      <c r="E96" s="49" t="str">
        <f>IFERROR(IF(IF(B96="","",IF($B96&lt;=AantalBetalingen,1,0)*IF(GeleendBedrag*Rentevoet*Leningjaren*BegindatumLening&gt;0,1,0),-PMT(Rentevoet/12,AantalBetalingen,GeleendBedrag),""),""),"")</f>
        <v/>
      </c>
      <c r="F96" s="49" t="str">
        <f>IFERROR(IF(IF($B96&lt;=AantalBetalingen,1,0)*IF(GeleendBedrag*Rentevoet*Leningjaren*BegindatumLening&gt;0,1,0),-PPMT(Rentevoet/12,ROW()-ROW(Lening[[#HEADERS],[BET.NR.]]),AantalBetalingen,GeleendBedrag),""),"")</f>
        <v/>
      </c>
      <c r="G96" s="49" t="str">
        <f>IFERROR(IF(IF($B96&lt;=AantalBetalingen,1,0)*IF(GeleendBedrag*Rentevoet*Leningjaren*BegindatumLening&gt;0,1,0),-IPMT(Rentevoet/12,$B96,AantalBetalingen,GeleendBedrag),""),"")</f>
        <v/>
      </c>
      <c r="H96" s="49" t="str">
        <f>IFERROR(IF(IF(B96="","",IF($B96&lt;=AantalBetalingen,1,0)*IF(GeleendBedrag*Rentevoet*Leningjaren*BegindatumLening&gt;0,1,0),-FV(Rentevoet/12,$B96,PMT(Rentevoet/12,AantalBetalingen,GeleendBedrag),GeleendBedrag),""),""),"")</f>
        <v/>
      </c>
    </row>
    <row r="97" ht="22.5" hidden="1" customHeight="1">
      <c r="A97" s="46">
        <f>ROW()-ROW(Lening[[#HEADERS],[BET.NR.]])</f>
        <v>88</v>
      </c>
      <c r="B97" s="50" t="str">
        <f>IFERROR(IF(IF(ROW()-ROW(Lening!$9:$9)&lt;=AantalBetalingen,1,0)*IF(GeleendBedrag*Rentevoet*$D$5*BegindatumLening&gt;0,1,0),ROW()-ROW(Lening!$9:$9),""),"")</f>
        <v/>
      </c>
      <c r="C97" s="48" t="str">
        <f>IFERROR(IF(B97="","",IF(IF(B97&lt;=AantalBetalingen,1,0)*IF(GeleendBedrag*Rentevoet*Leningjaren*BegindatumLening&gt;0,1,0),TEXT(DATE(YEAR(BegindatumLening),MONTH(BegindatumLening)+B97,DAY(BegindatumLening)),"d-m-yyyy"),""),""),"")</f>
        <v/>
      </c>
      <c r="D97" s="49" t="str">
        <f>IFERROR(IF(IF(B97="","",IF($B97&lt;=AantalBetalingen,1,0)*IF(GeleendBedrag*Rentevoet*Leningjaren*BegindatumLening&gt;0,1,0),-FV(Rentevoet/12,ROW()-ROW(Lening[[#HEADERS],[BET.NR.]])-1,PMT(Rentevoet/12,AantalBetalingen,GeleendBedrag),GeleendBedrag),""),""),"")</f>
        <v/>
      </c>
      <c r="E97" s="49" t="str">
        <f>IFERROR(IF(IF(B97="","",IF($B97&lt;=AantalBetalingen,1,0)*IF(GeleendBedrag*Rentevoet*Leningjaren*BegindatumLening&gt;0,1,0),-PMT(Rentevoet/12,AantalBetalingen,GeleendBedrag),""),""),"")</f>
        <v/>
      </c>
      <c r="F97" s="49" t="str">
        <f>IFERROR(IF(IF($B97&lt;=AantalBetalingen,1,0)*IF(GeleendBedrag*Rentevoet*Leningjaren*BegindatumLening&gt;0,1,0),-PPMT(Rentevoet/12,ROW()-ROW(Lening[[#HEADERS],[BET.NR.]]),AantalBetalingen,GeleendBedrag),""),"")</f>
        <v/>
      </c>
      <c r="G97" s="49" t="str">
        <f>IFERROR(IF(IF($B97&lt;=AantalBetalingen,1,0)*IF(GeleendBedrag*Rentevoet*Leningjaren*BegindatumLening&gt;0,1,0),-IPMT(Rentevoet/12,$B97,AantalBetalingen,GeleendBedrag),""),"")</f>
        <v/>
      </c>
      <c r="H97" s="49" t="str">
        <f>IFERROR(IF(IF(B97="","",IF($B97&lt;=AantalBetalingen,1,0)*IF(GeleendBedrag*Rentevoet*Leningjaren*BegindatumLening&gt;0,1,0),-FV(Rentevoet/12,$B97,PMT(Rentevoet/12,AantalBetalingen,GeleendBedrag),GeleendBedrag),""),""),"")</f>
        <v/>
      </c>
    </row>
    <row r="98" ht="22.5" hidden="1" customHeight="1">
      <c r="A98" s="46">
        <f>ROW()-ROW(Lening[[#HEADERS],[BET.NR.]])</f>
        <v>89</v>
      </c>
      <c r="B98" s="50" t="str">
        <f>IFERROR(IF(IF(ROW()-ROW(Lening!$9:$9)&lt;=AantalBetalingen,1,0)*IF(GeleendBedrag*Rentevoet*$D$5*BegindatumLening&gt;0,1,0),ROW()-ROW(Lening!$9:$9),""),"")</f>
        <v/>
      </c>
      <c r="C98" s="48" t="str">
        <f>IFERROR(IF(B98="","",IF(IF(B98&lt;=AantalBetalingen,1,0)*IF(GeleendBedrag*Rentevoet*Leningjaren*BegindatumLening&gt;0,1,0),TEXT(DATE(YEAR(BegindatumLening),MONTH(BegindatumLening)+B98,DAY(BegindatumLening)),"d-m-yyyy"),""),""),"")</f>
        <v/>
      </c>
      <c r="D98" s="49" t="str">
        <f>IFERROR(IF(IF(B98="","",IF($B98&lt;=AantalBetalingen,1,0)*IF(GeleendBedrag*Rentevoet*Leningjaren*BegindatumLening&gt;0,1,0),-FV(Rentevoet/12,ROW()-ROW(Lening[[#HEADERS],[BET.NR.]])-1,PMT(Rentevoet/12,AantalBetalingen,GeleendBedrag),GeleendBedrag),""),""),"")</f>
        <v/>
      </c>
      <c r="E98" s="49" t="str">
        <f>IFERROR(IF(IF(B98="","",IF($B98&lt;=AantalBetalingen,1,0)*IF(GeleendBedrag*Rentevoet*Leningjaren*BegindatumLening&gt;0,1,0),-PMT(Rentevoet/12,AantalBetalingen,GeleendBedrag),""),""),"")</f>
        <v/>
      </c>
      <c r="F98" s="49" t="str">
        <f>IFERROR(IF(IF($B98&lt;=AantalBetalingen,1,0)*IF(GeleendBedrag*Rentevoet*Leningjaren*BegindatumLening&gt;0,1,0),-PPMT(Rentevoet/12,ROW()-ROW(Lening[[#HEADERS],[BET.NR.]]),AantalBetalingen,GeleendBedrag),""),"")</f>
        <v/>
      </c>
      <c r="G98" s="49" t="str">
        <f>IFERROR(IF(IF($B98&lt;=AantalBetalingen,1,0)*IF(GeleendBedrag*Rentevoet*Leningjaren*BegindatumLening&gt;0,1,0),-IPMT(Rentevoet/12,$B98,AantalBetalingen,GeleendBedrag),""),"")</f>
        <v/>
      </c>
      <c r="H98" s="49" t="str">
        <f>IFERROR(IF(IF(B98="","",IF($B98&lt;=AantalBetalingen,1,0)*IF(GeleendBedrag*Rentevoet*Leningjaren*BegindatumLening&gt;0,1,0),-FV(Rentevoet/12,$B98,PMT(Rentevoet/12,AantalBetalingen,GeleendBedrag),GeleendBedrag),""),""),"")</f>
        <v/>
      </c>
    </row>
    <row r="99" ht="22.5" hidden="1" customHeight="1">
      <c r="A99" s="46">
        <f>ROW()-ROW(Lening[[#HEADERS],[BET.NR.]])</f>
        <v>90</v>
      </c>
      <c r="B99" s="50" t="str">
        <f>IFERROR(IF(IF(ROW()-ROW(Lening!$9:$9)&lt;=AantalBetalingen,1,0)*IF(GeleendBedrag*Rentevoet*$D$5*BegindatumLening&gt;0,1,0),ROW()-ROW(Lening!$9:$9),""),"")</f>
        <v/>
      </c>
      <c r="C99" s="48" t="str">
        <f>IFERROR(IF(B99="","",IF(IF(B99&lt;=AantalBetalingen,1,0)*IF(GeleendBedrag*Rentevoet*Leningjaren*BegindatumLening&gt;0,1,0),TEXT(DATE(YEAR(BegindatumLening),MONTH(BegindatumLening)+B99,DAY(BegindatumLening)),"d-m-yyyy"),""),""),"")</f>
        <v/>
      </c>
      <c r="D99" s="49" t="str">
        <f>IFERROR(IF(IF(B99="","",IF($B99&lt;=AantalBetalingen,1,0)*IF(GeleendBedrag*Rentevoet*Leningjaren*BegindatumLening&gt;0,1,0),-FV(Rentevoet/12,ROW()-ROW(Lening[[#HEADERS],[BET.NR.]])-1,PMT(Rentevoet/12,AantalBetalingen,GeleendBedrag),GeleendBedrag),""),""),"")</f>
        <v/>
      </c>
      <c r="E99" s="49" t="str">
        <f>IFERROR(IF(IF(B99="","",IF($B99&lt;=AantalBetalingen,1,0)*IF(GeleendBedrag*Rentevoet*Leningjaren*BegindatumLening&gt;0,1,0),-PMT(Rentevoet/12,AantalBetalingen,GeleendBedrag),""),""),"")</f>
        <v/>
      </c>
      <c r="F99" s="49" t="str">
        <f>IFERROR(IF(IF($B99&lt;=AantalBetalingen,1,0)*IF(GeleendBedrag*Rentevoet*Leningjaren*BegindatumLening&gt;0,1,0),-PPMT(Rentevoet/12,ROW()-ROW(Lening[[#HEADERS],[BET.NR.]]),AantalBetalingen,GeleendBedrag),""),"")</f>
        <v/>
      </c>
      <c r="G99" s="49" t="str">
        <f>IFERROR(IF(IF($B99&lt;=AantalBetalingen,1,0)*IF(GeleendBedrag*Rentevoet*Leningjaren*BegindatumLening&gt;0,1,0),-IPMT(Rentevoet/12,$B99,AantalBetalingen,GeleendBedrag),""),"")</f>
        <v/>
      </c>
      <c r="H99" s="49" t="str">
        <f>IFERROR(IF(IF(B99="","",IF($B99&lt;=AantalBetalingen,1,0)*IF(GeleendBedrag*Rentevoet*Leningjaren*BegindatumLening&gt;0,1,0),-FV(Rentevoet/12,$B99,PMT(Rentevoet/12,AantalBetalingen,GeleendBedrag),GeleendBedrag),""),""),"")</f>
        <v/>
      </c>
    </row>
    <row r="100" ht="22.5" hidden="1" customHeight="1">
      <c r="A100" s="46">
        <f>ROW()-ROW(Lening[[#HEADERS],[BET.NR.]])</f>
        <v>91</v>
      </c>
      <c r="B100" s="50" t="str">
        <f>IFERROR(IF(IF(ROW()-ROW(Lening!$9:$9)&lt;=AantalBetalingen,1,0)*IF(GeleendBedrag*Rentevoet*$D$5*BegindatumLening&gt;0,1,0),ROW()-ROW(Lening!$9:$9),""),"")</f>
        <v/>
      </c>
      <c r="C100" s="48" t="str">
        <f>IFERROR(IF(B100="","",IF(IF(B100&lt;=AantalBetalingen,1,0)*IF(GeleendBedrag*Rentevoet*Leningjaren*BegindatumLening&gt;0,1,0),TEXT(DATE(YEAR(BegindatumLening),MONTH(BegindatumLening)+B100,DAY(BegindatumLening)),"d-m-yyyy"),""),""),"")</f>
        <v/>
      </c>
      <c r="D100" s="49" t="str">
        <f>IFERROR(IF(IF(B100="","",IF($B100&lt;=AantalBetalingen,1,0)*IF(GeleendBedrag*Rentevoet*Leningjaren*BegindatumLening&gt;0,1,0),-FV(Rentevoet/12,ROW()-ROW(Lening[[#HEADERS],[BET.NR.]])-1,PMT(Rentevoet/12,AantalBetalingen,GeleendBedrag),GeleendBedrag),""),""),"")</f>
        <v/>
      </c>
      <c r="E100" s="49" t="str">
        <f>IFERROR(IF(IF(B100="","",IF($B100&lt;=AantalBetalingen,1,0)*IF(GeleendBedrag*Rentevoet*Leningjaren*BegindatumLening&gt;0,1,0),-PMT(Rentevoet/12,AantalBetalingen,GeleendBedrag),""),""),"")</f>
        <v/>
      </c>
      <c r="F100" s="49" t="str">
        <f>IFERROR(IF(IF($B100&lt;=AantalBetalingen,1,0)*IF(GeleendBedrag*Rentevoet*Leningjaren*BegindatumLening&gt;0,1,0),-PPMT(Rentevoet/12,ROW()-ROW(Lening[[#HEADERS],[BET.NR.]]),AantalBetalingen,GeleendBedrag),""),"")</f>
        <v/>
      </c>
      <c r="G100" s="49" t="str">
        <f>IFERROR(IF(IF($B100&lt;=AantalBetalingen,1,0)*IF(GeleendBedrag*Rentevoet*Leningjaren*BegindatumLening&gt;0,1,0),-IPMT(Rentevoet/12,$B100,AantalBetalingen,GeleendBedrag),""),"")</f>
        <v/>
      </c>
      <c r="H100" s="49" t="str">
        <f>IFERROR(IF(IF(B100="","",IF($B100&lt;=AantalBetalingen,1,0)*IF(GeleendBedrag*Rentevoet*Leningjaren*BegindatumLening&gt;0,1,0),-FV(Rentevoet/12,$B100,PMT(Rentevoet/12,AantalBetalingen,GeleendBedrag),GeleendBedrag),""),""),"")</f>
        <v/>
      </c>
    </row>
    <row r="101" ht="22.5" hidden="1" customHeight="1">
      <c r="A101" s="46">
        <f>ROW()-ROW(Lening[[#HEADERS],[BET.NR.]])</f>
        <v>92</v>
      </c>
      <c r="B101" s="50" t="str">
        <f>IFERROR(IF(IF(ROW()-ROW(Lening!$9:$9)&lt;=AantalBetalingen,1,0)*IF(GeleendBedrag*Rentevoet*$D$5*BegindatumLening&gt;0,1,0),ROW()-ROW(Lening!$9:$9),""),"")</f>
        <v/>
      </c>
      <c r="C101" s="48" t="str">
        <f>IFERROR(IF(B101="","",IF(IF(B101&lt;=AantalBetalingen,1,0)*IF(GeleendBedrag*Rentevoet*Leningjaren*BegindatumLening&gt;0,1,0),TEXT(DATE(YEAR(BegindatumLening),MONTH(BegindatumLening)+B101,DAY(BegindatumLening)),"d-m-yyyy"),""),""),"")</f>
        <v/>
      </c>
      <c r="D101" s="49" t="str">
        <f>IFERROR(IF(IF(B101="","",IF($B101&lt;=AantalBetalingen,1,0)*IF(GeleendBedrag*Rentevoet*Leningjaren*BegindatumLening&gt;0,1,0),-FV(Rentevoet/12,ROW()-ROW(Lening[[#HEADERS],[BET.NR.]])-1,PMT(Rentevoet/12,AantalBetalingen,GeleendBedrag),GeleendBedrag),""),""),"")</f>
        <v/>
      </c>
      <c r="E101" s="49" t="str">
        <f>IFERROR(IF(IF(B101="","",IF($B101&lt;=AantalBetalingen,1,0)*IF(GeleendBedrag*Rentevoet*Leningjaren*BegindatumLening&gt;0,1,0),-PMT(Rentevoet/12,AantalBetalingen,GeleendBedrag),""),""),"")</f>
        <v/>
      </c>
      <c r="F101" s="49" t="str">
        <f>IFERROR(IF(IF($B101&lt;=AantalBetalingen,1,0)*IF(GeleendBedrag*Rentevoet*Leningjaren*BegindatumLening&gt;0,1,0),-PPMT(Rentevoet/12,ROW()-ROW(Lening[[#HEADERS],[BET.NR.]]),AantalBetalingen,GeleendBedrag),""),"")</f>
        <v/>
      </c>
      <c r="G101" s="49" t="str">
        <f>IFERROR(IF(IF($B101&lt;=AantalBetalingen,1,0)*IF(GeleendBedrag*Rentevoet*Leningjaren*BegindatumLening&gt;0,1,0),-IPMT(Rentevoet/12,$B101,AantalBetalingen,GeleendBedrag),""),"")</f>
        <v/>
      </c>
      <c r="H101" s="49" t="str">
        <f>IFERROR(IF(IF(B101="","",IF($B101&lt;=AantalBetalingen,1,0)*IF(GeleendBedrag*Rentevoet*Leningjaren*BegindatumLening&gt;0,1,0),-FV(Rentevoet/12,$B101,PMT(Rentevoet/12,AantalBetalingen,GeleendBedrag),GeleendBedrag),""),""),"")</f>
        <v/>
      </c>
    </row>
    <row r="102" ht="22.5" hidden="1" customHeight="1">
      <c r="A102" s="46">
        <f>ROW()-ROW(Lening[[#HEADERS],[BET.NR.]])</f>
        <v>93</v>
      </c>
      <c r="B102" s="50" t="str">
        <f>IFERROR(IF(IF(ROW()-ROW(Lening!$9:$9)&lt;=AantalBetalingen,1,0)*IF(GeleendBedrag*Rentevoet*$D$5*BegindatumLening&gt;0,1,0),ROW()-ROW(Lening!$9:$9),""),"")</f>
        <v/>
      </c>
      <c r="C102" s="48" t="str">
        <f>IFERROR(IF(B102="","",IF(IF(B102&lt;=AantalBetalingen,1,0)*IF(GeleendBedrag*Rentevoet*Leningjaren*BegindatumLening&gt;0,1,0),TEXT(DATE(YEAR(BegindatumLening),MONTH(BegindatumLening)+B102,DAY(BegindatumLening)),"d-m-yyyy"),""),""),"")</f>
        <v/>
      </c>
      <c r="D102" s="49" t="str">
        <f>IFERROR(IF(IF(B102="","",IF($B102&lt;=AantalBetalingen,1,0)*IF(GeleendBedrag*Rentevoet*Leningjaren*BegindatumLening&gt;0,1,0),-FV(Rentevoet/12,ROW()-ROW(Lening[[#HEADERS],[BET.NR.]])-1,PMT(Rentevoet/12,AantalBetalingen,GeleendBedrag),GeleendBedrag),""),""),"")</f>
        <v/>
      </c>
      <c r="E102" s="49" t="str">
        <f>IFERROR(IF(IF(B102="","",IF($B102&lt;=AantalBetalingen,1,0)*IF(GeleendBedrag*Rentevoet*Leningjaren*BegindatumLening&gt;0,1,0),-PMT(Rentevoet/12,AantalBetalingen,GeleendBedrag),""),""),"")</f>
        <v/>
      </c>
      <c r="F102" s="49" t="str">
        <f>IFERROR(IF(IF($B102&lt;=AantalBetalingen,1,0)*IF(GeleendBedrag*Rentevoet*Leningjaren*BegindatumLening&gt;0,1,0),-PPMT(Rentevoet/12,ROW()-ROW(Lening[[#HEADERS],[BET.NR.]]),AantalBetalingen,GeleendBedrag),""),"")</f>
        <v/>
      </c>
      <c r="G102" s="49" t="str">
        <f>IFERROR(IF(IF($B102&lt;=AantalBetalingen,1,0)*IF(GeleendBedrag*Rentevoet*Leningjaren*BegindatumLening&gt;0,1,0),-IPMT(Rentevoet/12,$B102,AantalBetalingen,GeleendBedrag),""),"")</f>
        <v/>
      </c>
      <c r="H102" s="49" t="str">
        <f>IFERROR(IF(IF(B102="","",IF($B102&lt;=AantalBetalingen,1,0)*IF(GeleendBedrag*Rentevoet*Leningjaren*BegindatumLening&gt;0,1,0),-FV(Rentevoet/12,$B102,PMT(Rentevoet/12,AantalBetalingen,GeleendBedrag),GeleendBedrag),""),""),"")</f>
        <v/>
      </c>
    </row>
    <row r="103" ht="22.5" hidden="1" customHeight="1">
      <c r="A103" s="46">
        <f>ROW()-ROW(Lening[[#HEADERS],[BET.NR.]])</f>
        <v>94</v>
      </c>
      <c r="B103" s="50" t="str">
        <f>IFERROR(IF(IF(ROW()-ROW(Lening!$9:$9)&lt;=AantalBetalingen,1,0)*IF(GeleendBedrag*Rentevoet*$D$5*BegindatumLening&gt;0,1,0),ROW()-ROW(Lening!$9:$9),""),"")</f>
        <v/>
      </c>
      <c r="C103" s="48" t="str">
        <f>IFERROR(IF(B103="","",IF(IF(B103&lt;=AantalBetalingen,1,0)*IF(GeleendBedrag*Rentevoet*Leningjaren*BegindatumLening&gt;0,1,0),TEXT(DATE(YEAR(BegindatumLening),MONTH(BegindatumLening)+B103,DAY(BegindatumLening)),"d-m-yyyy"),""),""),"")</f>
        <v/>
      </c>
      <c r="D103" s="49" t="str">
        <f>IFERROR(IF(IF(B103="","",IF($B103&lt;=AantalBetalingen,1,0)*IF(GeleendBedrag*Rentevoet*Leningjaren*BegindatumLening&gt;0,1,0),-FV(Rentevoet/12,ROW()-ROW(Lening[[#HEADERS],[BET.NR.]])-1,PMT(Rentevoet/12,AantalBetalingen,GeleendBedrag),GeleendBedrag),""),""),"")</f>
        <v/>
      </c>
      <c r="E103" s="49" t="str">
        <f>IFERROR(IF(IF(B103="","",IF($B103&lt;=AantalBetalingen,1,0)*IF(GeleendBedrag*Rentevoet*Leningjaren*BegindatumLening&gt;0,1,0),-PMT(Rentevoet/12,AantalBetalingen,GeleendBedrag),""),""),"")</f>
        <v/>
      </c>
      <c r="F103" s="49" t="str">
        <f>IFERROR(IF(IF($B103&lt;=AantalBetalingen,1,0)*IF(GeleendBedrag*Rentevoet*Leningjaren*BegindatumLening&gt;0,1,0),-PPMT(Rentevoet/12,ROW()-ROW(Lening[[#HEADERS],[BET.NR.]]),AantalBetalingen,GeleendBedrag),""),"")</f>
        <v/>
      </c>
      <c r="G103" s="49" t="str">
        <f>IFERROR(IF(IF($B103&lt;=AantalBetalingen,1,0)*IF(GeleendBedrag*Rentevoet*Leningjaren*BegindatumLening&gt;0,1,0),-IPMT(Rentevoet/12,$B103,AantalBetalingen,GeleendBedrag),""),"")</f>
        <v/>
      </c>
      <c r="H103" s="49" t="str">
        <f>IFERROR(IF(IF(B103="","",IF($B103&lt;=AantalBetalingen,1,0)*IF(GeleendBedrag*Rentevoet*Leningjaren*BegindatumLening&gt;0,1,0),-FV(Rentevoet/12,$B103,PMT(Rentevoet/12,AantalBetalingen,GeleendBedrag),GeleendBedrag),""),""),"")</f>
        <v/>
      </c>
    </row>
    <row r="104" ht="22.5" hidden="1" customHeight="1">
      <c r="A104" s="46">
        <f>ROW()-ROW(Lening[[#HEADERS],[BET.NR.]])</f>
        <v>95</v>
      </c>
      <c r="B104" s="50" t="str">
        <f>IFERROR(IF(IF(ROW()-ROW(Lening!$9:$9)&lt;=AantalBetalingen,1,0)*IF(GeleendBedrag*Rentevoet*$D$5*BegindatumLening&gt;0,1,0),ROW()-ROW(Lening!$9:$9),""),"")</f>
        <v/>
      </c>
      <c r="C104" s="48" t="str">
        <f>IFERROR(IF(B104="","",IF(IF(B104&lt;=AantalBetalingen,1,0)*IF(GeleendBedrag*Rentevoet*Leningjaren*BegindatumLening&gt;0,1,0),TEXT(DATE(YEAR(BegindatumLening),MONTH(BegindatumLening)+B104,DAY(BegindatumLening)),"d-m-yyyy"),""),""),"")</f>
        <v/>
      </c>
      <c r="D104" s="49" t="str">
        <f>IFERROR(IF(IF(B104="","",IF($B104&lt;=AantalBetalingen,1,0)*IF(GeleendBedrag*Rentevoet*Leningjaren*BegindatumLening&gt;0,1,0),-FV(Rentevoet/12,ROW()-ROW(Lening[[#HEADERS],[BET.NR.]])-1,PMT(Rentevoet/12,AantalBetalingen,GeleendBedrag),GeleendBedrag),""),""),"")</f>
        <v/>
      </c>
      <c r="E104" s="49" t="str">
        <f>IFERROR(IF(IF(B104="","",IF($B104&lt;=AantalBetalingen,1,0)*IF(GeleendBedrag*Rentevoet*Leningjaren*BegindatumLening&gt;0,1,0),-PMT(Rentevoet/12,AantalBetalingen,GeleendBedrag),""),""),"")</f>
        <v/>
      </c>
      <c r="F104" s="49" t="str">
        <f>IFERROR(IF(IF($B104&lt;=AantalBetalingen,1,0)*IF(GeleendBedrag*Rentevoet*Leningjaren*BegindatumLening&gt;0,1,0),-PPMT(Rentevoet/12,ROW()-ROW(Lening[[#HEADERS],[BET.NR.]]),AantalBetalingen,GeleendBedrag),""),"")</f>
        <v/>
      </c>
      <c r="G104" s="49" t="str">
        <f>IFERROR(IF(IF($B104&lt;=AantalBetalingen,1,0)*IF(GeleendBedrag*Rentevoet*Leningjaren*BegindatumLening&gt;0,1,0),-IPMT(Rentevoet/12,$B104,AantalBetalingen,GeleendBedrag),""),"")</f>
        <v/>
      </c>
      <c r="H104" s="49" t="str">
        <f>IFERROR(IF(IF(B104="","",IF($B104&lt;=AantalBetalingen,1,0)*IF(GeleendBedrag*Rentevoet*Leningjaren*BegindatumLening&gt;0,1,0),-FV(Rentevoet/12,$B104,PMT(Rentevoet/12,AantalBetalingen,GeleendBedrag),GeleendBedrag),""),""),"")</f>
        <v/>
      </c>
    </row>
    <row r="105" ht="22.5" hidden="1" customHeight="1">
      <c r="A105" s="46">
        <f>ROW()-ROW(Lening[[#HEADERS],[BET.NR.]])</f>
        <v>96</v>
      </c>
      <c r="B105" s="50" t="str">
        <f>IFERROR(IF(IF(ROW()-ROW(Lening!$9:$9)&lt;=AantalBetalingen,1,0)*IF(GeleendBedrag*Rentevoet*$D$5*BegindatumLening&gt;0,1,0),ROW()-ROW(Lening!$9:$9),""),"")</f>
        <v/>
      </c>
      <c r="C105" s="48" t="str">
        <f>IFERROR(IF(B105="","",IF(IF(B105&lt;=AantalBetalingen,1,0)*IF(GeleendBedrag*Rentevoet*Leningjaren*BegindatumLening&gt;0,1,0),TEXT(DATE(YEAR(BegindatumLening),MONTH(BegindatumLening)+B105,DAY(BegindatumLening)),"d-m-yyyy"),""),""),"")</f>
        <v/>
      </c>
      <c r="D105" s="49" t="str">
        <f>IFERROR(IF(IF(B105="","",IF($B105&lt;=AantalBetalingen,1,0)*IF(GeleendBedrag*Rentevoet*Leningjaren*BegindatumLening&gt;0,1,0),-FV(Rentevoet/12,ROW()-ROW(Lening[[#HEADERS],[BET.NR.]])-1,PMT(Rentevoet/12,AantalBetalingen,GeleendBedrag),GeleendBedrag),""),""),"")</f>
        <v/>
      </c>
      <c r="E105" s="49" t="str">
        <f>IFERROR(IF(IF(B105="","",IF($B105&lt;=AantalBetalingen,1,0)*IF(GeleendBedrag*Rentevoet*Leningjaren*BegindatumLening&gt;0,1,0),-PMT(Rentevoet/12,AantalBetalingen,GeleendBedrag),""),""),"")</f>
        <v/>
      </c>
      <c r="F105" s="49" t="str">
        <f>IFERROR(IF(IF($B105&lt;=AantalBetalingen,1,0)*IF(GeleendBedrag*Rentevoet*Leningjaren*BegindatumLening&gt;0,1,0),-PPMT(Rentevoet/12,ROW()-ROW(Lening[[#HEADERS],[BET.NR.]]),AantalBetalingen,GeleendBedrag),""),"")</f>
        <v/>
      </c>
      <c r="G105" s="49" t="str">
        <f>IFERROR(IF(IF($B105&lt;=AantalBetalingen,1,0)*IF(GeleendBedrag*Rentevoet*Leningjaren*BegindatumLening&gt;0,1,0),-IPMT(Rentevoet/12,$B105,AantalBetalingen,GeleendBedrag),""),"")</f>
        <v/>
      </c>
      <c r="H105" s="49" t="str">
        <f>IFERROR(IF(IF(B105="","",IF($B105&lt;=AantalBetalingen,1,0)*IF(GeleendBedrag*Rentevoet*Leningjaren*BegindatumLening&gt;0,1,0),-FV(Rentevoet/12,$B105,PMT(Rentevoet/12,AantalBetalingen,GeleendBedrag),GeleendBedrag),""),""),"")</f>
        <v/>
      </c>
    </row>
    <row r="106" ht="22.5" hidden="1" customHeight="1">
      <c r="A106" s="46">
        <f>ROW()-ROW(Lening[[#HEADERS],[BET.NR.]])</f>
        <v>97</v>
      </c>
      <c r="B106" s="50" t="str">
        <f>IFERROR(IF(IF(ROW()-ROW(Lening!$9:$9)&lt;=AantalBetalingen,1,0)*IF(GeleendBedrag*Rentevoet*$D$5*BegindatumLening&gt;0,1,0),ROW()-ROW(Lening!$9:$9),""),"")</f>
        <v/>
      </c>
      <c r="C106" s="48" t="str">
        <f>IFERROR(IF(B106="","",IF(IF(B106&lt;=AantalBetalingen,1,0)*IF(GeleendBedrag*Rentevoet*Leningjaren*BegindatumLening&gt;0,1,0),TEXT(DATE(YEAR(BegindatumLening),MONTH(BegindatumLening)+B106,DAY(BegindatumLening)),"d-m-yyyy"),""),""),"")</f>
        <v/>
      </c>
      <c r="D106" s="49" t="str">
        <f>IFERROR(IF(IF(B106="","",IF($B106&lt;=AantalBetalingen,1,0)*IF(GeleendBedrag*Rentevoet*Leningjaren*BegindatumLening&gt;0,1,0),-FV(Rentevoet/12,ROW()-ROW(Lening[[#HEADERS],[BET.NR.]])-1,PMT(Rentevoet/12,AantalBetalingen,GeleendBedrag),GeleendBedrag),""),""),"")</f>
        <v/>
      </c>
      <c r="E106" s="49" t="str">
        <f>IFERROR(IF(IF(B106="","",IF($B106&lt;=AantalBetalingen,1,0)*IF(GeleendBedrag*Rentevoet*Leningjaren*BegindatumLening&gt;0,1,0),-PMT(Rentevoet/12,AantalBetalingen,GeleendBedrag),""),""),"")</f>
        <v/>
      </c>
      <c r="F106" s="49" t="str">
        <f>IFERROR(IF(IF($B106&lt;=AantalBetalingen,1,0)*IF(GeleendBedrag*Rentevoet*Leningjaren*BegindatumLening&gt;0,1,0),-PPMT(Rentevoet/12,ROW()-ROW(Lening[[#HEADERS],[BET.NR.]]),AantalBetalingen,GeleendBedrag),""),"")</f>
        <v/>
      </c>
      <c r="G106" s="49" t="str">
        <f>IFERROR(IF(IF($B106&lt;=AantalBetalingen,1,0)*IF(GeleendBedrag*Rentevoet*Leningjaren*BegindatumLening&gt;0,1,0),-IPMT(Rentevoet/12,$B106,AantalBetalingen,GeleendBedrag),""),"")</f>
        <v/>
      </c>
      <c r="H106" s="49" t="str">
        <f>IFERROR(IF(IF(B106="","",IF($B106&lt;=AantalBetalingen,1,0)*IF(GeleendBedrag*Rentevoet*Leningjaren*BegindatumLening&gt;0,1,0),-FV(Rentevoet/12,$B106,PMT(Rentevoet/12,AantalBetalingen,GeleendBedrag),GeleendBedrag),""),""),"")</f>
        <v/>
      </c>
    </row>
    <row r="107" ht="22.5" hidden="1" customHeight="1">
      <c r="A107" s="46">
        <f>ROW()-ROW(Lening[[#HEADERS],[BET.NR.]])</f>
        <v>98</v>
      </c>
      <c r="B107" s="50" t="str">
        <f>IFERROR(IF(IF(ROW()-ROW(Lening!$9:$9)&lt;=AantalBetalingen,1,0)*IF(GeleendBedrag*Rentevoet*$D$5*BegindatumLening&gt;0,1,0),ROW()-ROW(Lening!$9:$9),""),"")</f>
        <v/>
      </c>
      <c r="C107" s="48" t="str">
        <f>IFERROR(IF(B107="","",IF(IF(B107&lt;=AantalBetalingen,1,0)*IF(GeleendBedrag*Rentevoet*Leningjaren*BegindatumLening&gt;0,1,0),TEXT(DATE(YEAR(BegindatumLening),MONTH(BegindatumLening)+B107,DAY(BegindatumLening)),"d-m-yyyy"),""),""),"")</f>
        <v/>
      </c>
      <c r="D107" s="49" t="str">
        <f>IFERROR(IF(IF(B107="","",IF($B107&lt;=AantalBetalingen,1,0)*IF(GeleendBedrag*Rentevoet*Leningjaren*BegindatumLening&gt;0,1,0),-FV(Rentevoet/12,ROW()-ROW(Lening[[#HEADERS],[BET.NR.]])-1,PMT(Rentevoet/12,AantalBetalingen,GeleendBedrag),GeleendBedrag),""),""),"")</f>
        <v/>
      </c>
      <c r="E107" s="49" t="str">
        <f>IFERROR(IF(IF(B107="","",IF($B107&lt;=AantalBetalingen,1,0)*IF(GeleendBedrag*Rentevoet*Leningjaren*BegindatumLening&gt;0,1,0),-PMT(Rentevoet/12,AantalBetalingen,GeleendBedrag),""),""),"")</f>
        <v/>
      </c>
      <c r="F107" s="49" t="str">
        <f>IFERROR(IF(IF($B107&lt;=AantalBetalingen,1,0)*IF(GeleendBedrag*Rentevoet*Leningjaren*BegindatumLening&gt;0,1,0),-PPMT(Rentevoet/12,ROW()-ROW(Lening[[#HEADERS],[BET.NR.]]),AantalBetalingen,GeleendBedrag),""),"")</f>
        <v/>
      </c>
      <c r="G107" s="49" t="str">
        <f>IFERROR(IF(IF($B107&lt;=AantalBetalingen,1,0)*IF(GeleendBedrag*Rentevoet*Leningjaren*BegindatumLening&gt;0,1,0),-IPMT(Rentevoet/12,$B107,AantalBetalingen,GeleendBedrag),""),"")</f>
        <v/>
      </c>
      <c r="H107" s="49" t="str">
        <f>IFERROR(IF(IF(B107="","",IF($B107&lt;=AantalBetalingen,1,0)*IF(GeleendBedrag*Rentevoet*Leningjaren*BegindatumLening&gt;0,1,0),-FV(Rentevoet/12,$B107,PMT(Rentevoet/12,AantalBetalingen,GeleendBedrag),GeleendBedrag),""),""),"")</f>
        <v/>
      </c>
    </row>
    <row r="108" ht="22.5" hidden="1" customHeight="1">
      <c r="A108" s="46">
        <f>ROW()-ROW(Lening[[#HEADERS],[BET.NR.]])</f>
        <v>99</v>
      </c>
      <c r="B108" s="50" t="str">
        <f>IFERROR(IF(IF(ROW()-ROW(Lening!$9:$9)&lt;=AantalBetalingen,1,0)*IF(GeleendBedrag*Rentevoet*$D$5*BegindatumLening&gt;0,1,0),ROW()-ROW(Lening!$9:$9),""),"")</f>
        <v/>
      </c>
      <c r="C108" s="48" t="str">
        <f>IFERROR(IF(B108="","",IF(IF(B108&lt;=AantalBetalingen,1,0)*IF(GeleendBedrag*Rentevoet*Leningjaren*BegindatumLening&gt;0,1,0),TEXT(DATE(YEAR(BegindatumLening),MONTH(BegindatumLening)+B108,DAY(BegindatumLening)),"d-m-yyyy"),""),""),"")</f>
        <v/>
      </c>
      <c r="D108" s="49" t="str">
        <f>IFERROR(IF(IF(B108="","",IF($B108&lt;=AantalBetalingen,1,0)*IF(GeleendBedrag*Rentevoet*Leningjaren*BegindatumLening&gt;0,1,0),-FV(Rentevoet/12,ROW()-ROW(Lening[[#HEADERS],[BET.NR.]])-1,PMT(Rentevoet/12,AantalBetalingen,GeleendBedrag),GeleendBedrag),""),""),"")</f>
        <v/>
      </c>
      <c r="E108" s="49" t="str">
        <f>IFERROR(IF(IF(B108="","",IF($B108&lt;=AantalBetalingen,1,0)*IF(GeleendBedrag*Rentevoet*Leningjaren*BegindatumLening&gt;0,1,0),-PMT(Rentevoet/12,AantalBetalingen,GeleendBedrag),""),""),"")</f>
        <v/>
      </c>
      <c r="F108" s="49" t="str">
        <f>IFERROR(IF(IF($B108&lt;=AantalBetalingen,1,0)*IF(GeleendBedrag*Rentevoet*Leningjaren*BegindatumLening&gt;0,1,0),-PPMT(Rentevoet/12,ROW()-ROW(Lening[[#HEADERS],[BET.NR.]]),AantalBetalingen,GeleendBedrag),""),"")</f>
        <v/>
      </c>
      <c r="G108" s="49" t="str">
        <f>IFERROR(IF(IF($B108&lt;=AantalBetalingen,1,0)*IF(GeleendBedrag*Rentevoet*Leningjaren*BegindatumLening&gt;0,1,0),-IPMT(Rentevoet/12,$B108,AantalBetalingen,GeleendBedrag),""),"")</f>
        <v/>
      </c>
      <c r="H108" s="49" t="str">
        <f>IFERROR(IF(IF(B108="","",IF($B108&lt;=AantalBetalingen,1,0)*IF(GeleendBedrag*Rentevoet*Leningjaren*BegindatumLening&gt;0,1,0),-FV(Rentevoet/12,$B108,PMT(Rentevoet/12,AantalBetalingen,GeleendBedrag),GeleendBedrag),""),""),"")</f>
        <v/>
      </c>
    </row>
    <row r="109" ht="22.5" hidden="1" customHeight="1">
      <c r="A109" s="46">
        <f>ROW()-ROW(Lening[[#HEADERS],[BET.NR.]])</f>
        <v>100</v>
      </c>
      <c r="B109" s="50" t="str">
        <f>IFERROR(IF(IF(ROW()-ROW(Lening!$9:$9)&lt;=AantalBetalingen,1,0)*IF(GeleendBedrag*Rentevoet*$D$5*BegindatumLening&gt;0,1,0),ROW()-ROW(Lening!$9:$9),""),"")</f>
        <v/>
      </c>
      <c r="C109" s="48" t="str">
        <f>IFERROR(IF(B109="","",IF(IF(B109&lt;=AantalBetalingen,1,0)*IF(GeleendBedrag*Rentevoet*Leningjaren*BegindatumLening&gt;0,1,0),TEXT(DATE(YEAR(BegindatumLening),MONTH(BegindatumLening)+B109,DAY(BegindatumLening)),"d-m-yyyy"),""),""),"")</f>
        <v/>
      </c>
      <c r="D109" s="49" t="str">
        <f>IFERROR(IF(IF(B109="","",IF($B109&lt;=AantalBetalingen,1,0)*IF(GeleendBedrag*Rentevoet*Leningjaren*BegindatumLening&gt;0,1,0),-FV(Rentevoet/12,ROW()-ROW(Lening[[#HEADERS],[BET.NR.]])-1,PMT(Rentevoet/12,AantalBetalingen,GeleendBedrag),GeleendBedrag),""),""),"")</f>
        <v/>
      </c>
      <c r="E109" s="49" t="str">
        <f>IFERROR(IF(IF(B109="","",IF($B109&lt;=AantalBetalingen,1,0)*IF(GeleendBedrag*Rentevoet*Leningjaren*BegindatumLening&gt;0,1,0),-PMT(Rentevoet/12,AantalBetalingen,GeleendBedrag),""),""),"")</f>
        <v/>
      </c>
      <c r="F109" s="49" t="str">
        <f>IFERROR(IF(IF($B109&lt;=AantalBetalingen,1,0)*IF(GeleendBedrag*Rentevoet*Leningjaren*BegindatumLening&gt;0,1,0),-PPMT(Rentevoet/12,ROW()-ROW(Lening[[#HEADERS],[BET.NR.]]),AantalBetalingen,GeleendBedrag),""),"")</f>
        <v/>
      </c>
      <c r="G109" s="49" t="str">
        <f>IFERROR(IF(IF($B109&lt;=AantalBetalingen,1,0)*IF(GeleendBedrag*Rentevoet*Leningjaren*BegindatumLening&gt;0,1,0),-IPMT(Rentevoet/12,$B109,AantalBetalingen,GeleendBedrag),""),"")</f>
        <v/>
      </c>
      <c r="H109" s="49" t="str">
        <f>IFERROR(IF(IF(B109="","",IF($B109&lt;=AantalBetalingen,1,0)*IF(GeleendBedrag*Rentevoet*Leningjaren*BegindatumLening&gt;0,1,0),-FV(Rentevoet/12,$B109,PMT(Rentevoet/12,AantalBetalingen,GeleendBedrag),GeleendBedrag),""),""),"")</f>
        <v/>
      </c>
    </row>
    <row r="110" ht="22.5" hidden="1" customHeight="1">
      <c r="A110" s="46">
        <f>ROW()-ROW(Lening[[#HEADERS],[BET.NR.]])</f>
        <v>101</v>
      </c>
      <c r="B110" s="50" t="str">
        <f>IFERROR(IF(IF(ROW()-ROW(Lening!$9:$9)&lt;=AantalBetalingen,1,0)*IF(GeleendBedrag*Rentevoet*$D$5*BegindatumLening&gt;0,1,0),ROW()-ROW(Lening!$9:$9),""),"")</f>
        <v/>
      </c>
      <c r="C110" s="48" t="str">
        <f>IFERROR(IF(B110="","",IF(IF(B110&lt;=AantalBetalingen,1,0)*IF(GeleendBedrag*Rentevoet*Leningjaren*BegindatumLening&gt;0,1,0),TEXT(DATE(YEAR(BegindatumLening),MONTH(BegindatumLening)+B110,DAY(BegindatumLening)),"d-m-yyyy"),""),""),"")</f>
        <v/>
      </c>
      <c r="D110" s="49" t="str">
        <f>IFERROR(IF(IF(B110="","",IF($B110&lt;=AantalBetalingen,1,0)*IF(GeleendBedrag*Rentevoet*Leningjaren*BegindatumLening&gt;0,1,0),-FV(Rentevoet/12,ROW()-ROW(Lening[[#HEADERS],[BET.NR.]])-1,PMT(Rentevoet/12,AantalBetalingen,GeleendBedrag),GeleendBedrag),""),""),"")</f>
        <v/>
      </c>
      <c r="E110" s="49" t="str">
        <f>IFERROR(IF(IF(B110="","",IF($B110&lt;=AantalBetalingen,1,0)*IF(GeleendBedrag*Rentevoet*Leningjaren*BegindatumLening&gt;0,1,0),-PMT(Rentevoet/12,AantalBetalingen,GeleendBedrag),""),""),"")</f>
        <v/>
      </c>
      <c r="F110" s="49" t="str">
        <f>IFERROR(IF(IF($B110&lt;=AantalBetalingen,1,0)*IF(GeleendBedrag*Rentevoet*Leningjaren*BegindatumLening&gt;0,1,0),-PPMT(Rentevoet/12,ROW()-ROW(Lening[[#HEADERS],[BET.NR.]]),AantalBetalingen,GeleendBedrag),""),"")</f>
        <v/>
      </c>
      <c r="G110" s="49" t="str">
        <f>IFERROR(IF(IF($B110&lt;=AantalBetalingen,1,0)*IF(GeleendBedrag*Rentevoet*Leningjaren*BegindatumLening&gt;0,1,0),-IPMT(Rentevoet/12,$B110,AantalBetalingen,GeleendBedrag),""),"")</f>
        <v/>
      </c>
      <c r="H110" s="49" t="str">
        <f>IFERROR(IF(IF(B110="","",IF($B110&lt;=AantalBetalingen,1,0)*IF(GeleendBedrag*Rentevoet*Leningjaren*BegindatumLening&gt;0,1,0),-FV(Rentevoet/12,$B110,PMT(Rentevoet/12,AantalBetalingen,GeleendBedrag),GeleendBedrag),""),""),"")</f>
        <v/>
      </c>
    </row>
    <row r="111" ht="22.5" hidden="1" customHeight="1">
      <c r="A111" s="46">
        <f>ROW()-ROW(Lening[[#HEADERS],[BET.NR.]])</f>
        <v>102</v>
      </c>
      <c r="B111" s="50" t="str">
        <f>IFERROR(IF(IF(ROW()-ROW(Lening!$9:$9)&lt;=AantalBetalingen,1,0)*IF(GeleendBedrag*Rentevoet*$D$5*BegindatumLening&gt;0,1,0),ROW()-ROW(Lening!$9:$9),""),"")</f>
        <v/>
      </c>
      <c r="C111" s="48" t="str">
        <f>IFERROR(IF(B111="","",IF(IF(B111&lt;=AantalBetalingen,1,0)*IF(GeleendBedrag*Rentevoet*Leningjaren*BegindatumLening&gt;0,1,0),TEXT(DATE(YEAR(BegindatumLening),MONTH(BegindatumLening)+B111,DAY(BegindatumLening)),"d-m-yyyy"),""),""),"")</f>
        <v/>
      </c>
      <c r="D111" s="49" t="str">
        <f>IFERROR(IF(IF(B111="","",IF($B111&lt;=AantalBetalingen,1,0)*IF(GeleendBedrag*Rentevoet*Leningjaren*BegindatumLening&gt;0,1,0),-FV(Rentevoet/12,ROW()-ROW(Lening[[#HEADERS],[BET.NR.]])-1,PMT(Rentevoet/12,AantalBetalingen,GeleendBedrag),GeleendBedrag),""),""),"")</f>
        <v/>
      </c>
      <c r="E111" s="49" t="str">
        <f>IFERROR(IF(IF(B111="","",IF($B111&lt;=AantalBetalingen,1,0)*IF(GeleendBedrag*Rentevoet*Leningjaren*BegindatumLening&gt;0,1,0),-PMT(Rentevoet/12,AantalBetalingen,GeleendBedrag),""),""),"")</f>
        <v/>
      </c>
      <c r="F111" s="49" t="str">
        <f>IFERROR(IF(IF($B111&lt;=AantalBetalingen,1,0)*IF(GeleendBedrag*Rentevoet*Leningjaren*BegindatumLening&gt;0,1,0),-PPMT(Rentevoet/12,ROW()-ROW(Lening[[#HEADERS],[BET.NR.]]),AantalBetalingen,GeleendBedrag),""),"")</f>
        <v/>
      </c>
      <c r="G111" s="49" t="str">
        <f>IFERROR(IF(IF($B111&lt;=AantalBetalingen,1,0)*IF(GeleendBedrag*Rentevoet*Leningjaren*BegindatumLening&gt;0,1,0),-IPMT(Rentevoet/12,$B111,AantalBetalingen,GeleendBedrag),""),"")</f>
        <v/>
      </c>
      <c r="H111" s="49" t="str">
        <f>IFERROR(IF(IF(B111="","",IF($B111&lt;=AantalBetalingen,1,0)*IF(GeleendBedrag*Rentevoet*Leningjaren*BegindatumLening&gt;0,1,0),-FV(Rentevoet/12,$B111,PMT(Rentevoet/12,AantalBetalingen,GeleendBedrag),GeleendBedrag),""),""),"")</f>
        <v/>
      </c>
    </row>
    <row r="112" ht="22.5" hidden="1" customHeight="1">
      <c r="A112" s="46">
        <f>ROW()-ROW(Lening[[#HEADERS],[BET.NR.]])</f>
        <v>103</v>
      </c>
      <c r="B112" s="50" t="str">
        <f>IFERROR(IF(IF(ROW()-ROW(Lening!$9:$9)&lt;=AantalBetalingen,1,0)*IF(GeleendBedrag*Rentevoet*$D$5*BegindatumLening&gt;0,1,0),ROW()-ROW(Lening!$9:$9),""),"")</f>
        <v/>
      </c>
      <c r="C112" s="48" t="str">
        <f>IFERROR(IF(B112="","",IF(IF(B112&lt;=AantalBetalingen,1,0)*IF(GeleendBedrag*Rentevoet*Leningjaren*BegindatumLening&gt;0,1,0),TEXT(DATE(YEAR(BegindatumLening),MONTH(BegindatumLening)+B112,DAY(BegindatumLening)),"d-m-yyyy"),""),""),"")</f>
        <v/>
      </c>
      <c r="D112" s="49" t="str">
        <f>IFERROR(IF(IF(B112="","",IF($B112&lt;=AantalBetalingen,1,0)*IF(GeleendBedrag*Rentevoet*Leningjaren*BegindatumLening&gt;0,1,0),-FV(Rentevoet/12,ROW()-ROW(Lening[[#HEADERS],[BET.NR.]])-1,PMT(Rentevoet/12,AantalBetalingen,GeleendBedrag),GeleendBedrag),""),""),"")</f>
        <v/>
      </c>
      <c r="E112" s="49" t="str">
        <f>IFERROR(IF(IF(B112="","",IF($B112&lt;=AantalBetalingen,1,0)*IF(GeleendBedrag*Rentevoet*Leningjaren*BegindatumLening&gt;0,1,0),-PMT(Rentevoet/12,AantalBetalingen,GeleendBedrag),""),""),"")</f>
        <v/>
      </c>
      <c r="F112" s="49" t="str">
        <f>IFERROR(IF(IF($B112&lt;=AantalBetalingen,1,0)*IF(GeleendBedrag*Rentevoet*Leningjaren*BegindatumLening&gt;0,1,0),-PPMT(Rentevoet/12,ROW()-ROW(Lening[[#HEADERS],[BET.NR.]]),AantalBetalingen,GeleendBedrag),""),"")</f>
        <v/>
      </c>
      <c r="G112" s="49" t="str">
        <f>IFERROR(IF(IF($B112&lt;=AantalBetalingen,1,0)*IF(GeleendBedrag*Rentevoet*Leningjaren*BegindatumLening&gt;0,1,0),-IPMT(Rentevoet/12,$B112,AantalBetalingen,GeleendBedrag),""),"")</f>
        <v/>
      </c>
      <c r="H112" s="49" t="str">
        <f>IFERROR(IF(IF(B112="","",IF($B112&lt;=AantalBetalingen,1,0)*IF(GeleendBedrag*Rentevoet*Leningjaren*BegindatumLening&gt;0,1,0),-FV(Rentevoet/12,$B112,PMT(Rentevoet/12,AantalBetalingen,GeleendBedrag),GeleendBedrag),""),""),"")</f>
        <v/>
      </c>
    </row>
    <row r="113" ht="22.5" hidden="1" customHeight="1">
      <c r="A113" s="46">
        <f>ROW()-ROW(Lening[[#HEADERS],[BET.NR.]])</f>
        <v>104</v>
      </c>
      <c r="B113" s="50" t="str">
        <f>IFERROR(IF(IF(ROW()-ROW(Lening!$9:$9)&lt;=AantalBetalingen,1,0)*IF(GeleendBedrag*Rentevoet*$D$5*BegindatumLening&gt;0,1,0),ROW()-ROW(Lening!$9:$9),""),"")</f>
        <v/>
      </c>
      <c r="C113" s="48" t="str">
        <f>IFERROR(IF(B113="","",IF(IF(B113&lt;=AantalBetalingen,1,0)*IF(GeleendBedrag*Rentevoet*Leningjaren*BegindatumLening&gt;0,1,0),TEXT(DATE(YEAR(BegindatumLening),MONTH(BegindatumLening)+B113,DAY(BegindatumLening)),"d-m-yyyy"),""),""),"")</f>
        <v/>
      </c>
      <c r="D113" s="49" t="str">
        <f>IFERROR(IF(IF(B113="","",IF($B113&lt;=AantalBetalingen,1,0)*IF(GeleendBedrag*Rentevoet*Leningjaren*BegindatumLening&gt;0,1,0),-FV(Rentevoet/12,ROW()-ROW(Lening[[#HEADERS],[BET.NR.]])-1,PMT(Rentevoet/12,AantalBetalingen,GeleendBedrag),GeleendBedrag),""),""),"")</f>
        <v/>
      </c>
      <c r="E113" s="49" t="str">
        <f>IFERROR(IF(IF(B113="","",IF($B113&lt;=AantalBetalingen,1,0)*IF(GeleendBedrag*Rentevoet*Leningjaren*BegindatumLening&gt;0,1,0),-PMT(Rentevoet/12,AantalBetalingen,GeleendBedrag),""),""),"")</f>
        <v/>
      </c>
      <c r="F113" s="49" t="str">
        <f>IFERROR(IF(IF($B113&lt;=AantalBetalingen,1,0)*IF(GeleendBedrag*Rentevoet*Leningjaren*BegindatumLening&gt;0,1,0),-PPMT(Rentevoet/12,ROW()-ROW(Lening[[#HEADERS],[BET.NR.]]),AantalBetalingen,GeleendBedrag),""),"")</f>
        <v/>
      </c>
      <c r="G113" s="49" t="str">
        <f>IFERROR(IF(IF($B113&lt;=AantalBetalingen,1,0)*IF(GeleendBedrag*Rentevoet*Leningjaren*BegindatumLening&gt;0,1,0),-IPMT(Rentevoet/12,$B113,AantalBetalingen,GeleendBedrag),""),"")</f>
        <v/>
      </c>
      <c r="H113" s="49" t="str">
        <f>IFERROR(IF(IF(B113="","",IF($B113&lt;=AantalBetalingen,1,0)*IF(GeleendBedrag*Rentevoet*Leningjaren*BegindatumLening&gt;0,1,0),-FV(Rentevoet/12,$B113,PMT(Rentevoet/12,AantalBetalingen,GeleendBedrag),GeleendBedrag),""),""),"")</f>
        <v/>
      </c>
    </row>
    <row r="114" ht="22.5" hidden="1" customHeight="1">
      <c r="A114" s="46">
        <f>ROW()-ROW(Lening[[#HEADERS],[BET.NR.]])</f>
        <v>105</v>
      </c>
      <c r="B114" s="50" t="str">
        <f>IFERROR(IF(IF(ROW()-ROW(Lening!$9:$9)&lt;=AantalBetalingen,1,0)*IF(GeleendBedrag*Rentevoet*$D$5*BegindatumLening&gt;0,1,0),ROW()-ROW(Lening!$9:$9),""),"")</f>
        <v/>
      </c>
      <c r="C114" s="48" t="str">
        <f>IFERROR(IF(B114="","",IF(IF(B114&lt;=AantalBetalingen,1,0)*IF(GeleendBedrag*Rentevoet*Leningjaren*BegindatumLening&gt;0,1,0),TEXT(DATE(YEAR(BegindatumLening),MONTH(BegindatumLening)+B114,DAY(BegindatumLening)),"d-m-yyyy"),""),""),"")</f>
        <v/>
      </c>
      <c r="D114" s="49" t="str">
        <f>IFERROR(IF(IF(B114="","",IF($B114&lt;=AantalBetalingen,1,0)*IF(GeleendBedrag*Rentevoet*Leningjaren*BegindatumLening&gt;0,1,0),-FV(Rentevoet/12,ROW()-ROW(Lening[[#HEADERS],[BET.NR.]])-1,PMT(Rentevoet/12,AantalBetalingen,GeleendBedrag),GeleendBedrag),""),""),"")</f>
        <v/>
      </c>
      <c r="E114" s="49" t="str">
        <f>IFERROR(IF(IF(B114="","",IF($B114&lt;=AantalBetalingen,1,0)*IF(GeleendBedrag*Rentevoet*Leningjaren*BegindatumLening&gt;0,1,0),-PMT(Rentevoet/12,AantalBetalingen,GeleendBedrag),""),""),"")</f>
        <v/>
      </c>
      <c r="F114" s="49" t="str">
        <f>IFERROR(IF(IF($B114&lt;=AantalBetalingen,1,0)*IF(GeleendBedrag*Rentevoet*Leningjaren*BegindatumLening&gt;0,1,0),-PPMT(Rentevoet/12,ROW()-ROW(Lening[[#HEADERS],[BET.NR.]]),AantalBetalingen,GeleendBedrag),""),"")</f>
        <v/>
      </c>
      <c r="G114" s="49" t="str">
        <f>IFERROR(IF(IF($B114&lt;=AantalBetalingen,1,0)*IF(GeleendBedrag*Rentevoet*Leningjaren*BegindatumLening&gt;0,1,0),-IPMT(Rentevoet/12,$B114,AantalBetalingen,GeleendBedrag),""),"")</f>
        <v/>
      </c>
      <c r="H114" s="49" t="str">
        <f>IFERROR(IF(IF(B114="","",IF($B114&lt;=AantalBetalingen,1,0)*IF(GeleendBedrag*Rentevoet*Leningjaren*BegindatumLening&gt;0,1,0),-FV(Rentevoet/12,$B114,PMT(Rentevoet/12,AantalBetalingen,GeleendBedrag),GeleendBedrag),""),""),"")</f>
        <v/>
      </c>
    </row>
    <row r="115" ht="22.5" hidden="1" customHeight="1">
      <c r="A115" s="46">
        <f>ROW()-ROW(Lening[[#HEADERS],[BET.NR.]])</f>
        <v>106</v>
      </c>
      <c r="B115" s="50" t="str">
        <f>IFERROR(IF(IF(ROW()-ROW(Lening!$9:$9)&lt;=AantalBetalingen,1,0)*IF(GeleendBedrag*Rentevoet*$D$5*BegindatumLening&gt;0,1,0),ROW()-ROW(Lening!$9:$9),""),"")</f>
        <v/>
      </c>
      <c r="C115" s="48" t="str">
        <f>IFERROR(IF(B115="","",IF(IF(B115&lt;=AantalBetalingen,1,0)*IF(GeleendBedrag*Rentevoet*Leningjaren*BegindatumLening&gt;0,1,0),TEXT(DATE(YEAR(BegindatumLening),MONTH(BegindatumLening)+B115,DAY(BegindatumLening)),"d-m-yyyy"),""),""),"")</f>
        <v/>
      </c>
      <c r="D115" s="49" t="str">
        <f>IFERROR(IF(IF(B115="","",IF($B115&lt;=AantalBetalingen,1,0)*IF(GeleendBedrag*Rentevoet*Leningjaren*BegindatumLening&gt;0,1,0),-FV(Rentevoet/12,ROW()-ROW(Lening[[#HEADERS],[BET.NR.]])-1,PMT(Rentevoet/12,AantalBetalingen,GeleendBedrag),GeleendBedrag),""),""),"")</f>
        <v/>
      </c>
      <c r="E115" s="49" t="str">
        <f>IFERROR(IF(IF(B115="","",IF($B115&lt;=AantalBetalingen,1,0)*IF(GeleendBedrag*Rentevoet*Leningjaren*BegindatumLening&gt;0,1,0),-PMT(Rentevoet/12,AantalBetalingen,GeleendBedrag),""),""),"")</f>
        <v/>
      </c>
      <c r="F115" s="49" t="str">
        <f>IFERROR(IF(IF($B115&lt;=AantalBetalingen,1,0)*IF(GeleendBedrag*Rentevoet*Leningjaren*BegindatumLening&gt;0,1,0),-PPMT(Rentevoet/12,ROW()-ROW(Lening[[#HEADERS],[BET.NR.]]),AantalBetalingen,GeleendBedrag),""),"")</f>
        <v/>
      </c>
      <c r="G115" s="49" t="str">
        <f>IFERROR(IF(IF($B115&lt;=AantalBetalingen,1,0)*IF(GeleendBedrag*Rentevoet*Leningjaren*BegindatumLening&gt;0,1,0),-IPMT(Rentevoet/12,$B115,AantalBetalingen,GeleendBedrag),""),"")</f>
        <v/>
      </c>
      <c r="H115" s="49" t="str">
        <f>IFERROR(IF(IF(B115="","",IF($B115&lt;=AantalBetalingen,1,0)*IF(GeleendBedrag*Rentevoet*Leningjaren*BegindatumLening&gt;0,1,0),-FV(Rentevoet/12,$B115,PMT(Rentevoet/12,AantalBetalingen,GeleendBedrag),GeleendBedrag),""),""),"")</f>
        <v/>
      </c>
    </row>
    <row r="116" ht="22.5" hidden="1" customHeight="1">
      <c r="A116" s="46">
        <f>ROW()-ROW(Lening[[#HEADERS],[BET.NR.]])</f>
        <v>107</v>
      </c>
      <c r="B116" s="50" t="str">
        <f>IFERROR(IF(IF(ROW()-ROW(Lening!$9:$9)&lt;=AantalBetalingen,1,0)*IF(GeleendBedrag*Rentevoet*$D$5*BegindatumLening&gt;0,1,0),ROW()-ROW(Lening!$9:$9),""),"")</f>
        <v/>
      </c>
      <c r="C116" s="48" t="str">
        <f>IFERROR(IF(B116="","",IF(IF(B116&lt;=AantalBetalingen,1,0)*IF(GeleendBedrag*Rentevoet*Leningjaren*BegindatumLening&gt;0,1,0),TEXT(DATE(YEAR(BegindatumLening),MONTH(BegindatumLening)+B116,DAY(BegindatumLening)),"d-m-yyyy"),""),""),"")</f>
        <v/>
      </c>
      <c r="D116" s="49" t="str">
        <f>IFERROR(IF(IF(B116="","",IF($B116&lt;=AantalBetalingen,1,0)*IF(GeleendBedrag*Rentevoet*Leningjaren*BegindatumLening&gt;0,1,0),-FV(Rentevoet/12,ROW()-ROW(Lening[[#HEADERS],[BET.NR.]])-1,PMT(Rentevoet/12,AantalBetalingen,GeleendBedrag),GeleendBedrag),""),""),"")</f>
        <v/>
      </c>
      <c r="E116" s="49" t="str">
        <f>IFERROR(IF(IF(B116="","",IF($B116&lt;=AantalBetalingen,1,0)*IF(GeleendBedrag*Rentevoet*Leningjaren*BegindatumLening&gt;0,1,0),-PMT(Rentevoet/12,AantalBetalingen,GeleendBedrag),""),""),"")</f>
        <v/>
      </c>
      <c r="F116" s="49" t="str">
        <f>IFERROR(IF(IF($B116&lt;=AantalBetalingen,1,0)*IF(GeleendBedrag*Rentevoet*Leningjaren*BegindatumLening&gt;0,1,0),-PPMT(Rentevoet/12,ROW()-ROW(Lening[[#HEADERS],[BET.NR.]]),AantalBetalingen,GeleendBedrag),""),"")</f>
        <v/>
      </c>
      <c r="G116" s="49" t="str">
        <f>IFERROR(IF(IF($B116&lt;=AantalBetalingen,1,0)*IF(GeleendBedrag*Rentevoet*Leningjaren*BegindatumLening&gt;0,1,0),-IPMT(Rentevoet/12,$B116,AantalBetalingen,GeleendBedrag),""),"")</f>
        <v/>
      </c>
      <c r="H116" s="49" t="str">
        <f>IFERROR(IF(IF(B116="","",IF($B116&lt;=AantalBetalingen,1,0)*IF(GeleendBedrag*Rentevoet*Leningjaren*BegindatumLening&gt;0,1,0),-FV(Rentevoet/12,$B116,PMT(Rentevoet/12,AantalBetalingen,GeleendBedrag),GeleendBedrag),""),""),"")</f>
        <v/>
      </c>
    </row>
    <row r="117" ht="22.5" hidden="1" customHeight="1">
      <c r="A117" s="46">
        <f>ROW()-ROW(Lening[[#HEADERS],[BET.NR.]])</f>
        <v>108</v>
      </c>
      <c r="B117" s="50" t="str">
        <f>IFERROR(IF(IF(ROW()-ROW(Lening!$9:$9)&lt;=AantalBetalingen,1,0)*IF(GeleendBedrag*Rentevoet*$D$5*BegindatumLening&gt;0,1,0),ROW()-ROW(Lening!$9:$9),""),"")</f>
        <v/>
      </c>
      <c r="C117" s="48" t="str">
        <f>IFERROR(IF(B117="","",IF(IF(B117&lt;=AantalBetalingen,1,0)*IF(GeleendBedrag*Rentevoet*Leningjaren*BegindatumLening&gt;0,1,0),TEXT(DATE(YEAR(BegindatumLening),MONTH(BegindatumLening)+B117,DAY(BegindatumLening)),"d-m-yyyy"),""),""),"")</f>
        <v/>
      </c>
      <c r="D117" s="49" t="str">
        <f>IFERROR(IF(IF(B117="","",IF($B117&lt;=AantalBetalingen,1,0)*IF(GeleendBedrag*Rentevoet*Leningjaren*BegindatumLening&gt;0,1,0),-FV(Rentevoet/12,ROW()-ROW(Lening[[#HEADERS],[BET.NR.]])-1,PMT(Rentevoet/12,AantalBetalingen,GeleendBedrag),GeleendBedrag),""),""),"")</f>
        <v/>
      </c>
      <c r="E117" s="49" t="str">
        <f>IFERROR(IF(IF(B117="","",IF($B117&lt;=AantalBetalingen,1,0)*IF(GeleendBedrag*Rentevoet*Leningjaren*BegindatumLening&gt;0,1,0),-PMT(Rentevoet/12,AantalBetalingen,GeleendBedrag),""),""),"")</f>
        <v/>
      </c>
      <c r="F117" s="49" t="str">
        <f>IFERROR(IF(IF($B117&lt;=AantalBetalingen,1,0)*IF(GeleendBedrag*Rentevoet*Leningjaren*BegindatumLening&gt;0,1,0),-PPMT(Rentevoet/12,ROW()-ROW(Lening[[#HEADERS],[BET.NR.]]),AantalBetalingen,GeleendBedrag),""),"")</f>
        <v/>
      </c>
      <c r="G117" s="49" t="str">
        <f>IFERROR(IF(IF($B117&lt;=AantalBetalingen,1,0)*IF(GeleendBedrag*Rentevoet*Leningjaren*BegindatumLening&gt;0,1,0),-IPMT(Rentevoet/12,$B117,AantalBetalingen,GeleendBedrag),""),"")</f>
        <v/>
      </c>
      <c r="H117" s="49" t="str">
        <f>IFERROR(IF(IF(B117="","",IF($B117&lt;=AantalBetalingen,1,0)*IF(GeleendBedrag*Rentevoet*Leningjaren*BegindatumLening&gt;0,1,0),-FV(Rentevoet/12,$B117,PMT(Rentevoet/12,AantalBetalingen,GeleendBedrag),GeleendBedrag),""),""),"")</f>
        <v/>
      </c>
    </row>
    <row r="118" ht="22.5" hidden="1" customHeight="1">
      <c r="A118" s="46">
        <f>ROW()-ROW(Lening[[#HEADERS],[BET.NR.]])</f>
        <v>109</v>
      </c>
      <c r="B118" s="50" t="str">
        <f>IFERROR(IF(IF(ROW()-ROW(Lening!$9:$9)&lt;=AantalBetalingen,1,0)*IF(GeleendBedrag*Rentevoet*$D$5*BegindatumLening&gt;0,1,0),ROW()-ROW(Lening!$9:$9),""),"")</f>
        <v/>
      </c>
      <c r="C118" s="48" t="str">
        <f>IFERROR(IF(B118="","",IF(IF(B118&lt;=AantalBetalingen,1,0)*IF(GeleendBedrag*Rentevoet*Leningjaren*BegindatumLening&gt;0,1,0),TEXT(DATE(YEAR(BegindatumLening),MONTH(BegindatumLening)+B118,DAY(BegindatumLening)),"d-m-yyyy"),""),""),"")</f>
        <v/>
      </c>
      <c r="D118" s="49" t="str">
        <f>IFERROR(IF(IF(B118="","",IF($B118&lt;=AantalBetalingen,1,0)*IF(GeleendBedrag*Rentevoet*Leningjaren*BegindatumLening&gt;0,1,0),-FV(Rentevoet/12,ROW()-ROW(Lening[[#HEADERS],[BET.NR.]])-1,PMT(Rentevoet/12,AantalBetalingen,GeleendBedrag),GeleendBedrag),""),""),"")</f>
        <v/>
      </c>
      <c r="E118" s="49" t="str">
        <f>IFERROR(IF(IF(B118="","",IF($B118&lt;=AantalBetalingen,1,0)*IF(GeleendBedrag*Rentevoet*Leningjaren*BegindatumLening&gt;0,1,0),-PMT(Rentevoet/12,AantalBetalingen,GeleendBedrag),""),""),"")</f>
        <v/>
      </c>
      <c r="F118" s="49" t="str">
        <f>IFERROR(IF(IF($B118&lt;=AantalBetalingen,1,0)*IF(GeleendBedrag*Rentevoet*Leningjaren*BegindatumLening&gt;0,1,0),-PPMT(Rentevoet/12,ROW()-ROW(Lening[[#HEADERS],[BET.NR.]]),AantalBetalingen,GeleendBedrag),""),"")</f>
        <v/>
      </c>
      <c r="G118" s="49" t="str">
        <f>IFERROR(IF(IF($B118&lt;=AantalBetalingen,1,0)*IF(GeleendBedrag*Rentevoet*Leningjaren*BegindatumLening&gt;0,1,0),-IPMT(Rentevoet/12,$B118,AantalBetalingen,GeleendBedrag),""),"")</f>
        <v/>
      </c>
      <c r="H118" s="49" t="str">
        <f>IFERROR(IF(IF(B118="","",IF($B118&lt;=AantalBetalingen,1,0)*IF(GeleendBedrag*Rentevoet*Leningjaren*BegindatumLening&gt;0,1,0),-FV(Rentevoet/12,$B118,PMT(Rentevoet/12,AantalBetalingen,GeleendBedrag),GeleendBedrag),""),""),"")</f>
        <v/>
      </c>
    </row>
    <row r="119" ht="22.5" hidden="1" customHeight="1">
      <c r="A119" s="46">
        <f>ROW()-ROW(Lening[[#HEADERS],[BET.NR.]])</f>
        <v>110</v>
      </c>
      <c r="B119" s="50" t="str">
        <f>IFERROR(IF(IF(ROW()-ROW(Lening!$9:$9)&lt;=AantalBetalingen,1,0)*IF(GeleendBedrag*Rentevoet*$D$5*BegindatumLening&gt;0,1,0),ROW()-ROW(Lening!$9:$9),""),"")</f>
        <v/>
      </c>
      <c r="C119" s="48" t="str">
        <f>IFERROR(IF(B119="","",IF(IF(B119&lt;=AantalBetalingen,1,0)*IF(GeleendBedrag*Rentevoet*Leningjaren*BegindatumLening&gt;0,1,0),TEXT(DATE(YEAR(BegindatumLening),MONTH(BegindatumLening)+B119,DAY(BegindatumLening)),"d-m-yyyy"),""),""),"")</f>
        <v/>
      </c>
      <c r="D119" s="49" t="str">
        <f>IFERROR(IF(IF(B119="","",IF($B119&lt;=AantalBetalingen,1,0)*IF(GeleendBedrag*Rentevoet*Leningjaren*BegindatumLening&gt;0,1,0),-FV(Rentevoet/12,ROW()-ROW(Lening[[#HEADERS],[BET.NR.]])-1,PMT(Rentevoet/12,AantalBetalingen,GeleendBedrag),GeleendBedrag),""),""),"")</f>
        <v/>
      </c>
      <c r="E119" s="49" t="str">
        <f>IFERROR(IF(IF(B119="","",IF($B119&lt;=AantalBetalingen,1,0)*IF(GeleendBedrag*Rentevoet*Leningjaren*BegindatumLening&gt;0,1,0),-PMT(Rentevoet/12,AantalBetalingen,GeleendBedrag),""),""),"")</f>
        <v/>
      </c>
      <c r="F119" s="49" t="str">
        <f>IFERROR(IF(IF($B119&lt;=AantalBetalingen,1,0)*IF(GeleendBedrag*Rentevoet*Leningjaren*BegindatumLening&gt;0,1,0),-PPMT(Rentevoet/12,ROW()-ROW(Lening[[#HEADERS],[BET.NR.]]),AantalBetalingen,GeleendBedrag),""),"")</f>
        <v/>
      </c>
      <c r="G119" s="49" t="str">
        <f>IFERROR(IF(IF($B119&lt;=AantalBetalingen,1,0)*IF(GeleendBedrag*Rentevoet*Leningjaren*BegindatumLening&gt;0,1,0),-IPMT(Rentevoet/12,$B119,AantalBetalingen,GeleendBedrag),""),"")</f>
        <v/>
      </c>
      <c r="H119" s="49" t="str">
        <f>IFERROR(IF(IF(B119="","",IF($B119&lt;=AantalBetalingen,1,0)*IF(GeleendBedrag*Rentevoet*Leningjaren*BegindatumLening&gt;0,1,0),-FV(Rentevoet/12,$B119,PMT(Rentevoet/12,AantalBetalingen,GeleendBedrag),GeleendBedrag),""),""),"")</f>
        <v/>
      </c>
    </row>
    <row r="120" ht="22.5" hidden="1" customHeight="1">
      <c r="A120" s="46">
        <f>ROW()-ROW(Lening[[#HEADERS],[BET.NR.]])</f>
        <v>111</v>
      </c>
      <c r="B120" s="50" t="str">
        <f>IFERROR(IF(IF(ROW()-ROW(Lening!$9:$9)&lt;=AantalBetalingen,1,0)*IF(GeleendBedrag*Rentevoet*$D$5*BegindatumLening&gt;0,1,0),ROW()-ROW(Lening!$9:$9),""),"")</f>
        <v/>
      </c>
      <c r="C120" s="48" t="str">
        <f>IFERROR(IF(B120="","",IF(IF(B120&lt;=AantalBetalingen,1,0)*IF(GeleendBedrag*Rentevoet*Leningjaren*BegindatumLening&gt;0,1,0),TEXT(DATE(YEAR(BegindatumLening),MONTH(BegindatumLening)+B120,DAY(BegindatumLening)),"d-m-yyyy"),""),""),"")</f>
        <v/>
      </c>
      <c r="D120" s="49" t="str">
        <f>IFERROR(IF(IF(B120="","",IF($B120&lt;=AantalBetalingen,1,0)*IF(GeleendBedrag*Rentevoet*Leningjaren*BegindatumLening&gt;0,1,0),-FV(Rentevoet/12,ROW()-ROW(Lening[[#HEADERS],[BET.NR.]])-1,PMT(Rentevoet/12,AantalBetalingen,GeleendBedrag),GeleendBedrag),""),""),"")</f>
        <v/>
      </c>
      <c r="E120" s="49" t="str">
        <f>IFERROR(IF(IF(B120="","",IF($B120&lt;=AantalBetalingen,1,0)*IF(GeleendBedrag*Rentevoet*Leningjaren*BegindatumLening&gt;0,1,0),-PMT(Rentevoet/12,AantalBetalingen,GeleendBedrag),""),""),"")</f>
        <v/>
      </c>
      <c r="F120" s="49" t="str">
        <f>IFERROR(IF(IF($B120&lt;=AantalBetalingen,1,0)*IF(GeleendBedrag*Rentevoet*Leningjaren*BegindatumLening&gt;0,1,0),-PPMT(Rentevoet/12,ROW()-ROW(Lening[[#HEADERS],[BET.NR.]]),AantalBetalingen,GeleendBedrag),""),"")</f>
        <v/>
      </c>
      <c r="G120" s="49" t="str">
        <f>IFERROR(IF(IF($B120&lt;=AantalBetalingen,1,0)*IF(GeleendBedrag*Rentevoet*Leningjaren*BegindatumLening&gt;0,1,0),-IPMT(Rentevoet/12,$B120,AantalBetalingen,GeleendBedrag),""),"")</f>
        <v/>
      </c>
      <c r="H120" s="49" t="str">
        <f>IFERROR(IF(IF(B120="","",IF($B120&lt;=AantalBetalingen,1,0)*IF(GeleendBedrag*Rentevoet*Leningjaren*BegindatumLening&gt;0,1,0),-FV(Rentevoet/12,$B120,PMT(Rentevoet/12,AantalBetalingen,GeleendBedrag),GeleendBedrag),""),""),"")</f>
        <v/>
      </c>
    </row>
    <row r="121" ht="22.5" hidden="1" customHeight="1">
      <c r="A121" s="46">
        <f>ROW()-ROW(Lening[[#HEADERS],[BET.NR.]])</f>
        <v>112</v>
      </c>
      <c r="B121" s="50" t="str">
        <f>IFERROR(IF(IF(ROW()-ROW(Lening!$9:$9)&lt;=AantalBetalingen,1,0)*IF(GeleendBedrag*Rentevoet*$D$5*BegindatumLening&gt;0,1,0),ROW()-ROW(Lening!$9:$9),""),"")</f>
        <v/>
      </c>
      <c r="C121" s="48" t="str">
        <f>IFERROR(IF(B121="","",IF(IF(B121&lt;=AantalBetalingen,1,0)*IF(GeleendBedrag*Rentevoet*Leningjaren*BegindatumLening&gt;0,1,0),TEXT(DATE(YEAR(BegindatumLening),MONTH(BegindatumLening)+B121,DAY(BegindatumLening)),"d-m-yyyy"),""),""),"")</f>
        <v/>
      </c>
      <c r="D121" s="49" t="str">
        <f>IFERROR(IF(IF(B121="","",IF($B121&lt;=AantalBetalingen,1,0)*IF(GeleendBedrag*Rentevoet*Leningjaren*BegindatumLening&gt;0,1,0),-FV(Rentevoet/12,ROW()-ROW(Lening[[#HEADERS],[BET.NR.]])-1,PMT(Rentevoet/12,AantalBetalingen,GeleendBedrag),GeleendBedrag),""),""),"")</f>
        <v/>
      </c>
      <c r="E121" s="49" t="str">
        <f>IFERROR(IF(IF(B121="","",IF($B121&lt;=AantalBetalingen,1,0)*IF(GeleendBedrag*Rentevoet*Leningjaren*BegindatumLening&gt;0,1,0),-PMT(Rentevoet/12,AantalBetalingen,GeleendBedrag),""),""),"")</f>
        <v/>
      </c>
      <c r="F121" s="49" t="str">
        <f>IFERROR(IF(IF($B121&lt;=AantalBetalingen,1,0)*IF(GeleendBedrag*Rentevoet*Leningjaren*BegindatumLening&gt;0,1,0),-PPMT(Rentevoet/12,ROW()-ROW(Lening[[#HEADERS],[BET.NR.]]),AantalBetalingen,GeleendBedrag),""),"")</f>
        <v/>
      </c>
      <c r="G121" s="49" t="str">
        <f>IFERROR(IF(IF($B121&lt;=AantalBetalingen,1,0)*IF(GeleendBedrag*Rentevoet*Leningjaren*BegindatumLening&gt;0,1,0),-IPMT(Rentevoet/12,$B121,AantalBetalingen,GeleendBedrag),""),"")</f>
        <v/>
      </c>
      <c r="H121" s="49" t="str">
        <f>IFERROR(IF(IF(B121="","",IF($B121&lt;=AantalBetalingen,1,0)*IF(GeleendBedrag*Rentevoet*Leningjaren*BegindatumLening&gt;0,1,0),-FV(Rentevoet/12,$B121,PMT(Rentevoet/12,AantalBetalingen,GeleendBedrag),GeleendBedrag),""),""),"")</f>
        <v/>
      </c>
    </row>
    <row r="122" ht="22.5" hidden="1" customHeight="1">
      <c r="A122" s="46">
        <f>ROW()-ROW(Lening[[#HEADERS],[BET.NR.]])</f>
        <v>113</v>
      </c>
      <c r="B122" s="50" t="str">
        <f>IFERROR(IF(IF(ROW()-ROW(Lening!$9:$9)&lt;=AantalBetalingen,1,0)*IF(GeleendBedrag*Rentevoet*$D$5*BegindatumLening&gt;0,1,0),ROW()-ROW(Lening!$9:$9),""),"")</f>
        <v/>
      </c>
      <c r="C122" s="48" t="str">
        <f>IFERROR(IF(B122="","",IF(IF(B122&lt;=AantalBetalingen,1,0)*IF(GeleendBedrag*Rentevoet*Leningjaren*BegindatumLening&gt;0,1,0),TEXT(DATE(YEAR(BegindatumLening),MONTH(BegindatumLening)+B122,DAY(BegindatumLening)),"d-m-yyyy"),""),""),"")</f>
        <v/>
      </c>
      <c r="D122" s="49" t="str">
        <f>IFERROR(IF(IF(B122="","",IF($B122&lt;=AantalBetalingen,1,0)*IF(GeleendBedrag*Rentevoet*Leningjaren*BegindatumLening&gt;0,1,0),-FV(Rentevoet/12,ROW()-ROW(Lening[[#HEADERS],[BET.NR.]])-1,PMT(Rentevoet/12,AantalBetalingen,GeleendBedrag),GeleendBedrag),""),""),"")</f>
        <v/>
      </c>
      <c r="E122" s="49" t="str">
        <f>IFERROR(IF(IF(B122="","",IF($B122&lt;=AantalBetalingen,1,0)*IF(GeleendBedrag*Rentevoet*Leningjaren*BegindatumLening&gt;0,1,0),-PMT(Rentevoet/12,AantalBetalingen,GeleendBedrag),""),""),"")</f>
        <v/>
      </c>
      <c r="F122" s="49" t="str">
        <f>IFERROR(IF(IF($B122&lt;=AantalBetalingen,1,0)*IF(GeleendBedrag*Rentevoet*Leningjaren*BegindatumLening&gt;0,1,0),-PPMT(Rentevoet/12,ROW()-ROW(Lening[[#HEADERS],[BET.NR.]]),AantalBetalingen,GeleendBedrag),""),"")</f>
        <v/>
      </c>
      <c r="G122" s="49" t="str">
        <f>IFERROR(IF(IF($B122&lt;=AantalBetalingen,1,0)*IF(GeleendBedrag*Rentevoet*Leningjaren*BegindatumLening&gt;0,1,0),-IPMT(Rentevoet/12,$B122,AantalBetalingen,GeleendBedrag),""),"")</f>
        <v/>
      </c>
      <c r="H122" s="49" t="str">
        <f>IFERROR(IF(IF(B122="","",IF($B122&lt;=AantalBetalingen,1,0)*IF(GeleendBedrag*Rentevoet*Leningjaren*BegindatumLening&gt;0,1,0),-FV(Rentevoet/12,$B122,PMT(Rentevoet/12,AantalBetalingen,GeleendBedrag),GeleendBedrag),""),""),"")</f>
        <v/>
      </c>
    </row>
    <row r="123" ht="22.5" hidden="1" customHeight="1">
      <c r="A123" s="46">
        <f>ROW()-ROW(Lening[[#HEADERS],[BET.NR.]])</f>
        <v>114</v>
      </c>
      <c r="B123" s="50" t="str">
        <f>IFERROR(IF(IF(ROW()-ROW(Lening!$9:$9)&lt;=AantalBetalingen,1,0)*IF(GeleendBedrag*Rentevoet*$D$5*BegindatumLening&gt;0,1,0),ROW()-ROW(Lening!$9:$9),""),"")</f>
        <v/>
      </c>
      <c r="C123" s="48" t="str">
        <f>IFERROR(IF(B123="","",IF(IF(B123&lt;=AantalBetalingen,1,0)*IF(GeleendBedrag*Rentevoet*Leningjaren*BegindatumLening&gt;0,1,0),TEXT(DATE(YEAR(BegindatumLening),MONTH(BegindatumLening)+B123,DAY(BegindatumLening)),"d-m-yyyy"),""),""),"")</f>
        <v/>
      </c>
      <c r="D123" s="49" t="str">
        <f>IFERROR(IF(IF(B123="","",IF($B123&lt;=AantalBetalingen,1,0)*IF(GeleendBedrag*Rentevoet*Leningjaren*BegindatumLening&gt;0,1,0),-FV(Rentevoet/12,ROW()-ROW(Lening[[#HEADERS],[BET.NR.]])-1,PMT(Rentevoet/12,AantalBetalingen,GeleendBedrag),GeleendBedrag),""),""),"")</f>
        <v/>
      </c>
      <c r="E123" s="49" t="str">
        <f>IFERROR(IF(IF(B123="","",IF($B123&lt;=AantalBetalingen,1,0)*IF(GeleendBedrag*Rentevoet*Leningjaren*BegindatumLening&gt;0,1,0),-PMT(Rentevoet/12,AantalBetalingen,GeleendBedrag),""),""),"")</f>
        <v/>
      </c>
      <c r="F123" s="49" t="str">
        <f>IFERROR(IF(IF($B123&lt;=AantalBetalingen,1,0)*IF(GeleendBedrag*Rentevoet*Leningjaren*BegindatumLening&gt;0,1,0),-PPMT(Rentevoet/12,ROW()-ROW(Lening[[#HEADERS],[BET.NR.]]),AantalBetalingen,GeleendBedrag),""),"")</f>
        <v/>
      </c>
      <c r="G123" s="49" t="str">
        <f>IFERROR(IF(IF($B123&lt;=AantalBetalingen,1,0)*IF(GeleendBedrag*Rentevoet*Leningjaren*BegindatumLening&gt;0,1,0),-IPMT(Rentevoet/12,$B123,AantalBetalingen,GeleendBedrag),""),"")</f>
        <v/>
      </c>
      <c r="H123" s="49" t="str">
        <f>IFERROR(IF(IF(B123="","",IF($B123&lt;=AantalBetalingen,1,0)*IF(GeleendBedrag*Rentevoet*Leningjaren*BegindatumLening&gt;0,1,0),-FV(Rentevoet/12,$B123,PMT(Rentevoet/12,AantalBetalingen,GeleendBedrag),GeleendBedrag),""),""),"")</f>
        <v/>
      </c>
    </row>
    <row r="124" ht="22.5" hidden="1" customHeight="1">
      <c r="A124" s="46">
        <f>ROW()-ROW(Lening[[#HEADERS],[BET.NR.]])</f>
        <v>115</v>
      </c>
      <c r="B124" s="50" t="str">
        <f>IFERROR(IF(IF(ROW()-ROW(Lening!$9:$9)&lt;=AantalBetalingen,1,0)*IF(GeleendBedrag*Rentevoet*$D$5*BegindatumLening&gt;0,1,0),ROW()-ROW(Lening!$9:$9),""),"")</f>
        <v/>
      </c>
      <c r="C124" s="48" t="str">
        <f>IFERROR(IF(B124="","",IF(IF(B124&lt;=AantalBetalingen,1,0)*IF(GeleendBedrag*Rentevoet*Leningjaren*BegindatumLening&gt;0,1,0),TEXT(DATE(YEAR(BegindatumLening),MONTH(BegindatumLening)+B124,DAY(BegindatumLening)),"d-m-yyyy"),""),""),"")</f>
        <v/>
      </c>
      <c r="D124" s="49" t="str">
        <f>IFERROR(IF(IF(B124="","",IF($B124&lt;=AantalBetalingen,1,0)*IF(GeleendBedrag*Rentevoet*Leningjaren*BegindatumLening&gt;0,1,0),-FV(Rentevoet/12,ROW()-ROW(Lening[[#HEADERS],[BET.NR.]])-1,PMT(Rentevoet/12,AantalBetalingen,GeleendBedrag),GeleendBedrag),""),""),"")</f>
        <v/>
      </c>
      <c r="E124" s="49" t="str">
        <f>IFERROR(IF(IF(B124="","",IF($B124&lt;=AantalBetalingen,1,0)*IF(GeleendBedrag*Rentevoet*Leningjaren*BegindatumLening&gt;0,1,0),-PMT(Rentevoet/12,AantalBetalingen,GeleendBedrag),""),""),"")</f>
        <v/>
      </c>
      <c r="F124" s="49" t="str">
        <f>IFERROR(IF(IF($B124&lt;=AantalBetalingen,1,0)*IF(GeleendBedrag*Rentevoet*Leningjaren*BegindatumLening&gt;0,1,0),-PPMT(Rentevoet/12,ROW()-ROW(Lening[[#HEADERS],[BET.NR.]]),AantalBetalingen,GeleendBedrag),""),"")</f>
        <v/>
      </c>
      <c r="G124" s="49" t="str">
        <f>IFERROR(IF(IF($B124&lt;=AantalBetalingen,1,0)*IF(GeleendBedrag*Rentevoet*Leningjaren*BegindatumLening&gt;0,1,0),-IPMT(Rentevoet/12,$B124,AantalBetalingen,GeleendBedrag),""),"")</f>
        <v/>
      </c>
      <c r="H124" s="49" t="str">
        <f>IFERROR(IF(IF(B124="","",IF($B124&lt;=AantalBetalingen,1,0)*IF(GeleendBedrag*Rentevoet*Leningjaren*BegindatumLening&gt;0,1,0),-FV(Rentevoet/12,$B124,PMT(Rentevoet/12,AantalBetalingen,GeleendBedrag),GeleendBedrag),""),""),"")</f>
        <v/>
      </c>
    </row>
    <row r="125" ht="22.5" hidden="1" customHeight="1">
      <c r="A125" s="46">
        <f>ROW()-ROW(Lening[[#HEADERS],[BET.NR.]])</f>
        <v>116</v>
      </c>
      <c r="B125" s="50" t="str">
        <f>IFERROR(IF(IF(ROW()-ROW(Lening!$9:$9)&lt;=AantalBetalingen,1,0)*IF(GeleendBedrag*Rentevoet*$D$5*BegindatumLening&gt;0,1,0),ROW()-ROW(Lening!$9:$9),""),"")</f>
        <v/>
      </c>
      <c r="C125" s="48" t="str">
        <f>IFERROR(IF(B125="","",IF(IF(B125&lt;=AantalBetalingen,1,0)*IF(GeleendBedrag*Rentevoet*Leningjaren*BegindatumLening&gt;0,1,0),TEXT(DATE(YEAR(BegindatumLening),MONTH(BegindatumLening)+B125,DAY(BegindatumLening)),"d-m-yyyy"),""),""),"")</f>
        <v/>
      </c>
      <c r="D125" s="49" t="str">
        <f>IFERROR(IF(IF(B125="","",IF($B125&lt;=AantalBetalingen,1,0)*IF(GeleendBedrag*Rentevoet*Leningjaren*BegindatumLening&gt;0,1,0),-FV(Rentevoet/12,ROW()-ROW(Lening[[#HEADERS],[BET.NR.]])-1,PMT(Rentevoet/12,AantalBetalingen,GeleendBedrag),GeleendBedrag),""),""),"")</f>
        <v/>
      </c>
      <c r="E125" s="49" t="str">
        <f>IFERROR(IF(IF(B125="","",IF($B125&lt;=AantalBetalingen,1,0)*IF(GeleendBedrag*Rentevoet*Leningjaren*BegindatumLening&gt;0,1,0),-PMT(Rentevoet/12,AantalBetalingen,GeleendBedrag),""),""),"")</f>
        <v/>
      </c>
      <c r="F125" s="49" t="str">
        <f>IFERROR(IF(IF($B125&lt;=AantalBetalingen,1,0)*IF(GeleendBedrag*Rentevoet*Leningjaren*BegindatumLening&gt;0,1,0),-PPMT(Rentevoet/12,ROW()-ROW(Lening[[#HEADERS],[BET.NR.]]),AantalBetalingen,GeleendBedrag),""),"")</f>
        <v/>
      </c>
      <c r="G125" s="49" t="str">
        <f>IFERROR(IF(IF($B125&lt;=AantalBetalingen,1,0)*IF(GeleendBedrag*Rentevoet*Leningjaren*BegindatumLening&gt;0,1,0),-IPMT(Rentevoet/12,$B125,AantalBetalingen,GeleendBedrag),""),"")</f>
        <v/>
      </c>
      <c r="H125" s="49" t="str">
        <f>IFERROR(IF(IF(B125="","",IF($B125&lt;=AantalBetalingen,1,0)*IF(GeleendBedrag*Rentevoet*Leningjaren*BegindatumLening&gt;0,1,0),-FV(Rentevoet/12,$B125,PMT(Rentevoet/12,AantalBetalingen,GeleendBedrag),GeleendBedrag),""),""),"")</f>
        <v/>
      </c>
    </row>
    <row r="126" ht="22.5" hidden="1" customHeight="1">
      <c r="A126" s="46">
        <f>ROW()-ROW(Lening[[#HEADERS],[BET.NR.]])</f>
        <v>117</v>
      </c>
      <c r="B126" s="50" t="str">
        <f>IFERROR(IF(IF(ROW()-ROW(Lening!$9:$9)&lt;=AantalBetalingen,1,0)*IF(GeleendBedrag*Rentevoet*$D$5*BegindatumLening&gt;0,1,0),ROW()-ROW(Lening!$9:$9),""),"")</f>
        <v/>
      </c>
      <c r="C126" s="48" t="str">
        <f>IFERROR(IF(B126="","",IF(IF(B126&lt;=AantalBetalingen,1,0)*IF(GeleendBedrag*Rentevoet*Leningjaren*BegindatumLening&gt;0,1,0),TEXT(DATE(YEAR(BegindatumLening),MONTH(BegindatumLening)+B126,DAY(BegindatumLening)),"d-m-yyyy"),""),""),"")</f>
        <v/>
      </c>
      <c r="D126" s="49" t="str">
        <f>IFERROR(IF(IF(B126="","",IF($B126&lt;=AantalBetalingen,1,0)*IF(GeleendBedrag*Rentevoet*Leningjaren*BegindatumLening&gt;0,1,0),-FV(Rentevoet/12,ROW()-ROW(Lening[[#HEADERS],[BET.NR.]])-1,PMT(Rentevoet/12,AantalBetalingen,GeleendBedrag),GeleendBedrag),""),""),"")</f>
        <v/>
      </c>
      <c r="E126" s="49" t="str">
        <f>IFERROR(IF(IF(B126="","",IF($B126&lt;=AantalBetalingen,1,0)*IF(GeleendBedrag*Rentevoet*Leningjaren*BegindatumLening&gt;0,1,0),-PMT(Rentevoet/12,AantalBetalingen,GeleendBedrag),""),""),"")</f>
        <v/>
      </c>
      <c r="F126" s="49" t="str">
        <f>IFERROR(IF(IF($B126&lt;=AantalBetalingen,1,0)*IF(GeleendBedrag*Rentevoet*Leningjaren*BegindatumLening&gt;0,1,0),-PPMT(Rentevoet/12,ROW()-ROW(Lening[[#HEADERS],[BET.NR.]]),AantalBetalingen,GeleendBedrag),""),"")</f>
        <v/>
      </c>
      <c r="G126" s="49" t="str">
        <f>IFERROR(IF(IF($B126&lt;=AantalBetalingen,1,0)*IF(GeleendBedrag*Rentevoet*Leningjaren*BegindatumLening&gt;0,1,0),-IPMT(Rentevoet/12,$B126,AantalBetalingen,GeleendBedrag),""),"")</f>
        <v/>
      </c>
      <c r="H126" s="49" t="str">
        <f>IFERROR(IF(IF(B126="","",IF($B126&lt;=AantalBetalingen,1,0)*IF(GeleendBedrag*Rentevoet*Leningjaren*BegindatumLening&gt;0,1,0),-FV(Rentevoet/12,$B126,PMT(Rentevoet/12,AantalBetalingen,GeleendBedrag),GeleendBedrag),""),""),"")</f>
        <v/>
      </c>
    </row>
    <row r="127" ht="22.5" hidden="1" customHeight="1">
      <c r="A127" s="46">
        <f>ROW()-ROW(Lening[[#HEADERS],[BET.NR.]])</f>
        <v>118</v>
      </c>
      <c r="B127" s="50" t="str">
        <f>IFERROR(IF(IF(ROW()-ROW(Lening!$9:$9)&lt;=AantalBetalingen,1,0)*IF(GeleendBedrag*Rentevoet*$D$5*BegindatumLening&gt;0,1,0),ROW()-ROW(Lening!$9:$9),""),"")</f>
        <v/>
      </c>
      <c r="C127" s="48" t="str">
        <f>IFERROR(IF(B127="","",IF(IF(B127&lt;=AantalBetalingen,1,0)*IF(GeleendBedrag*Rentevoet*Leningjaren*BegindatumLening&gt;0,1,0),TEXT(DATE(YEAR(BegindatumLening),MONTH(BegindatumLening)+B127,DAY(BegindatumLening)),"d-m-yyyy"),""),""),"")</f>
        <v/>
      </c>
      <c r="D127" s="49" t="str">
        <f>IFERROR(IF(IF(B127="","",IF($B127&lt;=AantalBetalingen,1,0)*IF(GeleendBedrag*Rentevoet*Leningjaren*BegindatumLening&gt;0,1,0),-FV(Rentevoet/12,ROW()-ROW(Lening[[#HEADERS],[BET.NR.]])-1,PMT(Rentevoet/12,AantalBetalingen,GeleendBedrag),GeleendBedrag),""),""),"")</f>
        <v/>
      </c>
      <c r="E127" s="49" t="str">
        <f>IFERROR(IF(IF(B127="","",IF($B127&lt;=AantalBetalingen,1,0)*IF(GeleendBedrag*Rentevoet*Leningjaren*BegindatumLening&gt;0,1,0),-PMT(Rentevoet/12,AantalBetalingen,GeleendBedrag),""),""),"")</f>
        <v/>
      </c>
      <c r="F127" s="49" t="str">
        <f>IFERROR(IF(IF($B127&lt;=AantalBetalingen,1,0)*IF(GeleendBedrag*Rentevoet*Leningjaren*BegindatumLening&gt;0,1,0),-PPMT(Rentevoet/12,ROW()-ROW(Lening[[#HEADERS],[BET.NR.]]),AantalBetalingen,GeleendBedrag),""),"")</f>
        <v/>
      </c>
      <c r="G127" s="49" t="str">
        <f>IFERROR(IF(IF($B127&lt;=AantalBetalingen,1,0)*IF(GeleendBedrag*Rentevoet*Leningjaren*BegindatumLening&gt;0,1,0),-IPMT(Rentevoet/12,$B127,AantalBetalingen,GeleendBedrag),""),"")</f>
        <v/>
      </c>
      <c r="H127" s="49" t="str">
        <f>IFERROR(IF(IF(B127="","",IF($B127&lt;=AantalBetalingen,1,0)*IF(GeleendBedrag*Rentevoet*Leningjaren*BegindatumLening&gt;0,1,0),-FV(Rentevoet/12,$B127,PMT(Rentevoet/12,AantalBetalingen,GeleendBedrag),GeleendBedrag),""),""),"")</f>
        <v/>
      </c>
    </row>
    <row r="128" ht="22.5" hidden="1" customHeight="1">
      <c r="A128" s="46">
        <f>ROW()-ROW(Lening[[#HEADERS],[BET.NR.]])</f>
        <v>119</v>
      </c>
      <c r="B128" s="50" t="str">
        <f>IFERROR(IF(IF(ROW()-ROW(Lening!$9:$9)&lt;=AantalBetalingen,1,0)*IF(GeleendBedrag*Rentevoet*$D$5*BegindatumLening&gt;0,1,0),ROW()-ROW(Lening!$9:$9),""),"")</f>
        <v/>
      </c>
      <c r="C128" s="48" t="str">
        <f>IFERROR(IF(B128="","",IF(IF(B128&lt;=AantalBetalingen,1,0)*IF(GeleendBedrag*Rentevoet*Leningjaren*BegindatumLening&gt;0,1,0),TEXT(DATE(YEAR(BegindatumLening),MONTH(BegindatumLening)+B128,DAY(BegindatumLening)),"d-m-yyyy"),""),""),"")</f>
        <v/>
      </c>
      <c r="D128" s="49" t="str">
        <f>IFERROR(IF(IF(B128="","",IF($B128&lt;=AantalBetalingen,1,0)*IF(GeleendBedrag*Rentevoet*Leningjaren*BegindatumLening&gt;0,1,0),-FV(Rentevoet/12,ROW()-ROW(Lening[[#HEADERS],[BET.NR.]])-1,PMT(Rentevoet/12,AantalBetalingen,GeleendBedrag),GeleendBedrag),""),""),"")</f>
        <v/>
      </c>
      <c r="E128" s="49" t="str">
        <f>IFERROR(IF(IF(B128="","",IF($B128&lt;=AantalBetalingen,1,0)*IF(GeleendBedrag*Rentevoet*Leningjaren*BegindatumLening&gt;0,1,0),-PMT(Rentevoet/12,AantalBetalingen,GeleendBedrag),""),""),"")</f>
        <v/>
      </c>
      <c r="F128" s="49" t="str">
        <f>IFERROR(IF(IF($B128&lt;=AantalBetalingen,1,0)*IF(GeleendBedrag*Rentevoet*Leningjaren*BegindatumLening&gt;0,1,0),-PPMT(Rentevoet/12,ROW()-ROW(Lening[[#HEADERS],[BET.NR.]]),AantalBetalingen,GeleendBedrag),""),"")</f>
        <v/>
      </c>
      <c r="G128" s="49" t="str">
        <f>IFERROR(IF(IF($B128&lt;=AantalBetalingen,1,0)*IF(GeleendBedrag*Rentevoet*Leningjaren*BegindatumLening&gt;0,1,0),-IPMT(Rentevoet/12,$B128,AantalBetalingen,GeleendBedrag),""),"")</f>
        <v/>
      </c>
      <c r="H128" s="49" t="str">
        <f>IFERROR(IF(IF(B128="","",IF($B128&lt;=AantalBetalingen,1,0)*IF(GeleendBedrag*Rentevoet*Leningjaren*BegindatumLening&gt;0,1,0),-FV(Rentevoet/12,$B128,PMT(Rentevoet/12,AantalBetalingen,GeleendBedrag),GeleendBedrag),""),""),"")</f>
        <v/>
      </c>
    </row>
    <row r="129" ht="22.5" hidden="1" customHeight="1">
      <c r="A129" s="46">
        <f>ROW()-ROW(Lening[[#HEADERS],[BET.NR.]])</f>
        <v>120</v>
      </c>
      <c r="B129" s="50" t="str">
        <f>IFERROR(IF(IF(ROW()-ROW(Lening!$9:$9)&lt;=AantalBetalingen,1,0)*IF(GeleendBedrag*Rentevoet*$D$5*BegindatumLening&gt;0,1,0),ROW()-ROW(Lening!$9:$9),""),"")</f>
        <v/>
      </c>
      <c r="C129" s="48" t="str">
        <f>IFERROR(IF(B129="","",IF(IF(B129&lt;=AantalBetalingen,1,0)*IF(GeleendBedrag*Rentevoet*Leningjaren*BegindatumLening&gt;0,1,0),TEXT(DATE(YEAR(BegindatumLening),MONTH(BegindatumLening)+B129,DAY(BegindatumLening)),"d-m-yyyy"),""),""),"")</f>
        <v/>
      </c>
      <c r="D129" s="49" t="str">
        <f>IFERROR(IF(IF(B129="","",IF($B129&lt;=AantalBetalingen,1,0)*IF(GeleendBedrag*Rentevoet*Leningjaren*BegindatumLening&gt;0,1,0),-FV(Rentevoet/12,ROW()-ROW(Lening[[#HEADERS],[BET.NR.]])-1,PMT(Rentevoet/12,AantalBetalingen,GeleendBedrag),GeleendBedrag),""),""),"")</f>
        <v/>
      </c>
      <c r="E129" s="49" t="str">
        <f>IFERROR(IF(IF(B129="","",IF($B129&lt;=AantalBetalingen,1,0)*IF(GeleendBedrag*Rentevoet*Leningjaren*BegindatumLening&gt;0,1,0),-PMT(Rentevoet/12,AantalBetalingen,GeleendBedrag),""),""),"")</f>
        <v/>
      </c>
      <c r="F129" s="49" t="str">
        <f>IFERROR(IF(IF($B129&lt;=AantalBetalingen,1,0)*IF(GeleendBedrag*Rentevoet*Leningjaren*BegindatumLening&gt;0,1,0),-PPMT(Rentevoet/12,ROW()-ROW(Lening[[#HEADERS],[BET.NR.]]),AantalBetalingen,GeleendBedrag),""),"")</f>
        <v/>
      </c>
      <c r="G129" s="49" t="str">
        <f>IFERROR(IF(IF($B129&lt;=AantalBetalingen,1,0)*IF(GeleendBedrag*Rentevoet*Leningjaren*BegindatumLening&gt;0,1,0),-IPMT(Rentevoet/12,$B129,AantalBetalingen,GeleendBedrag),""),"")</f>
        <v/>
      </c>
      <c r="H129" s="49" t="str">
        <f>IFERROR(IF(IF(B129="","",IF($B129&lt;=AantalBetalingen,1,0)*IF(GeleendBedrag*Rentevoet*Leningjaren*BegindatumLening&gt;0,1,0),-FV(Rentevoet/12,$B129,PMT(Rentevoet/12,AantalBetalingen,GeleendBedrag),GeleendBedrag),""),""),"")</f>
        <v/>
      </c>
    </row>
    <row r="130" ht="22.5" hidden="1" customHeight="1">
      <c r="A130" s="46">
        <f>ROW()-ROW(Lening[[#HEADERS],[BET.NR.]])</f>
        <v>121</v>
      </c>
      <c r="B130" s="50" t="str">
        <f>IFERROR(IF(IF(ROW()-ROW(Lening!$9:$9)&lt;=AantalBetalingen,1,0)*IF(GeleendBedrag*Rentevoet*$D$5*BegindatumLening&gt;0,1,0),ROW()-ROW(Lening!$9:$9),""),"")</f>
        <v/>
      </c>
      <c r="C130" s="48" t="str">
        <f>IFERROR(IF(B130="","",IF(IF(B130&lt;=AantalBetalingen,1,0)*IF(GeleendBedrag*Rentevoet*Leningjaren*BegindatumLening&gt;0,1,0),TEXT(DATE(YEAR(BegindatumLening),MONTH(BegindatumLening)+B130,DAY(BegindatumLening)),"d-m-yyyy"),""),""),"")</f>
        <v/>
      </c>
      <c r="D130" s="49" t="str">
        <f>IFERROR(IF(IF(B130="","",IF($B130&lt;=AantalBetalingen,1,0)*IF(GeleendBedrag*Rentevoet*Leningjaren*BegindatumLening&gt;0,1,0),-FV(Rentevoet/12,ROW()-ROW(Lening[[#HEADERS],[BET.NR.]])-1,PMT(Rentevoet/12,AantalBetalingen,GeleendBedrag),GeleendBedrag),""),""),"")</f>
        <v/>
      </c>
      <c r="E130" s="49" t="str">
        <f>IFERROR(IF(IF(B130="","",IF($B130&lt;=AantalBetalingen,1,0)*IF(GeleendBedrag*Rentevoet*Leningjaren*BegindatumLening&gt;0,1,0),-PMT(Rentevoet/12,AantalBetalingen,GeleendBedrag),""),""),"")</f>
        <v/>
      </c>
      <c r="F130" s="49" t="str">
        <f>IFERROR(IF(IF($B130&lt;=AantalBetalingen,1,0)*IF(GeleendBedrag*Rentevoet*Leningjaren*BegindatumLening&gt;0,1,0),-PPMT(Rentevoet/12,ROW()-ROW(Lening[[#HEADERS],[BET.NR.]]),AantalBetalingen,GeleendBedrag),""),"")</f>
        <v/>
      </c>
      <c r="G130" s="49" t="str">
        <f>IFERROR(IF(IF($B130&lt;=AantalBetalingen,1,0)*IF(GeleendBedrag*Rentevoet*Leningjaren*BegindatumLening&gt;0,1,0),-IPMT(Rentevoet/12,$B130,AantalBetalingen,GeleendBedrag),""),"")</f>
        <v/>
      </c>
      <c r="H130" s="49" t="str">
        <f>IFERROR(IF(IF(B130="","",IF($B130&lt;=AantalBetalingen,1,0)*IF(GeleendBedrag*Rentevoet*Leningjaren*BegindatumLening&gt;0,1,0),-FV(Rentevoet/12,$B130,PMT(Rentevoet/12,AantalBetalingen,GeleendBedrag),GeleendBedrag),""),""),"")</f>
        <v/>
      </c>
    </row>
    <row r="131" ht="22.5" hidden="1" customHeight="1">
      <c r="A131" s="46">
        <f>ROW()-ROW(Lening[[#HEADERS],[BET.NR.]])</f>
        <v>122</v>
      </c>
      <c r="B131" s="50" t="str">
        <f>IFERROR(IF(IF(ROW()-ROW(Lening!$9:$9)&lt;=AantalBetalingen,1,0)*IF(GeleendBedrag*Rentevoet*$D$5*BegindatumLening&gt;0,1,0),ROW()-ROW(Lening!$9:$9),""),"")</f>
        <v/>
      </c>
      <c r="C131" s="48" t="str">
        <f>IFERROR(IF(B131="","",IF(IF(B131&lt;=AantalBetalingen,1,0)*IF(GeleendBedrag*Rentevoet*Leningjaren*BegindatumLening&gt;0,1,0),TEXT(DATE(YEAR(BegindatumLening),MONTH(BegindatumLening)+B131,DAY(BegindatumLening)),"d-m-yyyy"),""),""),"")</f>
        <v/>
      </c>
      <c r="D131" s="49" t="str">
        <f>IFERROR(IF(IF(B131="","",IF($B131&lt;=AantalBetalingen,1,0)*IF(GeleendBedrag*Rentevoet*Leningjaren*BegindatumLening&gt;0,1,0),-FV(Rentevoet/12,ROW()-ROW(Lening[[#HEADERS],[BET.NR.]])-1,PMT(Rentevoet/12,AantalBetalingen,GeleendBedrag),GeleendBedrag),""),""),"")</f>
        <v/>
      </c>
      <c r="E131" s="49" t="str">
        <f>IFERROR(IF(IF(B131="","",IF($B131&lt;=AantalBetalingen,1,0)*IF(GeleendBedrag*Rentevoet*Leningjaren*BegindatumLening&gt;0,1,0),-PMT(Rentevoet/12,AantalBetalingen,GeleendBedrag),""),""),"")</f>
        <v/>
      </c>
      <c r="F131" s="49" t="str">
        <f>IFERROR(IF(IF($B131&lt;=AantalBetalingen,1,0)*IF(GeleendBedrag*Rentevoet*Leningjaren*BegindatumLening&gt;0,1,0),-PPMT(Rentevoet/12,ROW()-ROW(Lening[[#HEADERS],[BET.NR.]]),AantalBetalingen,GeleendBedrag),""),"")</f>
        <v/>
      </c>
      <c r="G131" s="49" t="str">
        <f>IFERROR(IF(IF($B131&lt;=AantalBetalingen,1,0)*IF(GeleendBedrag*Rentevoet*Leningjaren*BegindatumLening&gt;0,1,0),-IPMT(Rentevoet/12,$B131,AantalBetalingen,GeleendBedrag),""),"")</f>
        <v/>
      </c>
      <c r="H131" s="49" t="str">
        <f>IFERROR(IF(IF(B131="","",IF($B131&lt;=AantalBetalingen,1,0)*IF(GeleendBedrag*Rentevoet*Leningjaren*BegindatumLening&gt;0,1,0),-FV(Rentevoet/12,$B131,PMT(Rentevoet/12,AantalBetalingen,GeleendBedrag),GeleendBedrag),""),""),"")</f>
        <v/>
      </c>
    </row>
    <row r="132" ht="22.5" hidden="1" customHeight="1">
      <c r="A132" s="46">
        <f>ROW()-ROW(Lening[[#HEADERS],[BET.NR.]])</f>
        <v>123</v>
      </c>
      <c r="B132" s="50" t="str">
        <f>IFERROR(IF(IF(ROW()-ROW(Lening!$9:$9)&lt;=AantalBetalingen,1,0)*IF(GeleendBedrag*Rentevoet*$D$5*BegindatumLening&gt;0,1,0),ROW()-ROW(Lening!$9:$9),""),"")</f>
        <v/>
      </c>
      <c r="C132" s="48" t="str">
        <f>IFERROR(IF(B132="","",IF(IF(B132&lt;=AantalBetalingen,1,0)*IF(GeleendBedrag*Rentevoet*Leningjaren*BegindatumLening&gt;0,1,0),TEXT(DATE(YEAR(BegindatumLening),MONTH(BegindatumLening)+B132,DAY(BegindatumLening)),"d-m-yyyy"),""),""),"")</f>
        <v/>
      </c>
      <c r="D132" s="49" t="str">
        <f>IFERROR(IF(IF(B132="","",IF($B132&lt;=AantalBetalingen,1,0)*IF(GeleendBedrag*Rentevoet*Leningjaren*BegindatumLening&gt;0,1,0),-FV(Rentevoet/12,ROW()-ROW(Lening[[#HEADERS],[BET.NR.]])-1,PMT(Rentevoet/12,AantalBetalingen,GeleendBedrag),GeleendBedrag),""),""),"")</f>
        <v/>
      </c>
      <c r="E132" s="49" t="str">
        <f>IFERROR(IF(IF(B132="","",IF($B132&lt;=AantalBetalingen,1,0)*IF(GeleendBedrag*Rentevoet*Leningjaren*BegindatumLening&gt;0,1,0),-PMT(Rentevoet/12,AantalBetalingen,GeleendBedrag),""),""),"")</f>
        <v/>
      </c>
      <c r="F132" s="49" t="str">
        <f>IFERROR(IF(IF($B132&lt;=AantalBetalingen,1,0)*IF(GeleendBedrag*Rentevoet*Leningjaren*BegindatumLening&gt;0,1,0),-PPMT(Rentevoet/12,ROW()-ROW(Lening[[#HEADERS],[BET.NR.]]),AantalBetalingen,GeleendBedrag),""),"")</f>
        <v/>
      </c>
      <c r="G132" s="49" t="str">
        <f>IFERROR(IF(IF($B132&lt;=AantalBetalingen,1,0)*IF(GeleendBedrag*Rentevoet*Leningjaren*BegindatumLening&gt;0,1,0),-IPMT(Rentevoet/12,$B132,AantalBetalingen,GeleendBedrag),""),"")</f>
        <v/>
      </c>
      <c r="H132" s="49" t="str">
        <f>IFERROR(IF(IF(B132="","",IF($B132&lt;=AantalBetalingen,1,0)*IF(GeleendBedrag*Rentevoet*Leningjaren*BegindatumLening&gt;0,1,0),-FV(Rentevoet/12,$B132,PMT(Rentevoet/12,AantalBetalingen,GeleendBedrag),GeleendBedrag),""),""),"")</f>
        <v/>
      </c>
    </row>
    <row r="133" ht="22.5" hidden="1" customHeight="1">
      <c r="A133" s="46">
        <f>ROW()-ROW(Lening[[#HEADERS],[BET.NR.]])</f>
        <v>124</v>
      </c>
      <c r="B133" s="50" t="str">
        <f>IFERROR(IF(IF(ROW()-ROW(Lening!$9:$9)&lt;=AantalBetalingen,1,0)*IF(GeleendBedrag*Rentevoet*$D$5*BegindatumLening&gt;0,1,0),ROW()-ROW(Lening!$9:$9),""),"")</f>
        <v/>
      </c>
      <c r="C133" s="48" t="str">
        <f>IFERROR(IF(B133="","",IF(IF(B133&lt;=AantalBetalingen,1,0)*IF(GeleendBedrag*Rentevoet*Leningjaren*BegindatumLening&gt;0,1,0),TEXT(DATE(YEAR(BegindatumLening),MONTH(BegindatumLening)+B133,DAY(BegindatumLening)),"d-m-yyyy"),""),""),"")</f>
        <v/>
      </c>
      <c r="D133" s="49" t="str">
        <f>IFERROR(IF(IF(B133="","",IF($B133&lt;=AantalBetalingen,1,0)*IF(GeleendBedrag*Rentevoet*Leningjaren*BegindatumLening&gt;0,1,0),-FV(Rentevoet/12,ROW()-ROW(Lening[[#HEADERS],[BET.NR.]])-1,PMT(Rentevoet/12,AantalBetalingen,GeleendBedrag),GeleendBedrag),""),""),"")</f>
        <v/>
      </c>
      <c r="E133" s="49" t="str">
        <f>IFERROR(IF(IF(B133="","",IF($B133&lt;=AantalBetalingen,1,0)*IF(GeleendBedrag*Rentevoet*Leningjaren*BegindatumLening&gt;0,1,0),-PMT(Rentevoet/12,AantalBetalingen,GeleendBedrag),""),""),"")</f>
        <v/>
      </c>
      <c r="F133" s="49" t="str">
        <f>IFERROR(IF(IF($B133&lt;=AantalBetalingen,1,0)*IF(GeleendBedrag*Rentevoet*Leningjaren*BegindatumLening&gt;0,1,0),-PPMT(Rentevoet/12,ROW()-ROW(Lening[[#HEADERS],[BET.NR.]]),AantalBetalingen,GeleendBedrag),""),"")</f>
        <v/>
      </c>
      <c r="G133" s="49" t="str">
        <f>IFERROR(IF(IF($B133&lt;=AantalBetalingen,1,0)*IF(GeleendBedrag*Rentevoet*Leningjaren*BegindatumLening&gt;0,1,0),-IPMT(Rentevoet/12,$B133,AantalBetalingen,GeleendBedrag),""),"")</f>
        <v/>
      </c>
      <c r="H133" s="49" t="str">
        <f>IFERROR(IF(IF(B133="","",IF($B133&lt;=AantalBetalingen,1,0)*IF(GeleendBedrag*Rentevoet*Leningjaren*BegindatumLening&gt;0,1,0),-FV(Rentevoet/12,$B133,PMT(Rentevoet/12,AantalBetalingen,GeleendBedrag),GeleendBedrag),""),""),"")</f>
        <v/>
      </c>
    </row>
    <row r="134" ht="22.5" hidden="1" customHeight="1">
      <c r="A134" s="46">
        <f>ROW()-ROW(Lening[[#HEADERS],[BET.NR.]])</f>
        <v>125</v>
      </c>
      <c r="B134" s="50" t="str">
        <f>IFERROR(IF(IF(ROW()-ROW(Lening!$9:$9)&lt;=AantalBetalingen,1,0)*IF(GeleendBedrag*Rentevoet*$D$5*BegindatumLening&gt;0,1,0),ROW()-ROW(Lening!$9:$9),""),"")</f>
        <v/>
      </c>
      <c r="C134" s="48" t="str">
        <f>IFERROR(IF(B134="","",IF(IF(B134&lt;=AantalBetalingen,1,0)*IF(GeleendBedrag*Rentevoet*Leningjaren*BegindatumLening&gt;0,1,0),TEXT(DATE(YEAR(BegindatumLening),MONTH(BegindatumLening)+B134,DAY(BegindatumLening)),"d-m-yyyy"),""),""),"")</f>
        <v/>
      </c>
      <c r="D134" s="49" t="str">
        <f>IFERROR(IF(IF(B134="","",IF($B134&lt;=AantalBetalingen,1,0)*IF(GeleendBedrag*Rentevoet*Leningjaren*BegindatumLening&gt;0,1,0),-FV(Rentevoet/12,ROW()-ROW(Lening[[#HEADERS],[BET.NR.]])-1,PMT(Rentevoet/12,AantalBetalingen,GeleendBedrag),GeleendBedrag),""),""),"")</f>
        <v/>
      </c>
      <c r="E134" s="49" t="str">
        <f>IFERROR(IF(IF(B134="","",IF($B134&lt;=AantalBetalingen,1,0)*IF(GeleendBedrag*Rentevoet*Leningjaren*BegindatumLening&gt;0,1,0),-PMT(Rentevoet/12,AantalBetalingen,GeleendBedrag),""),""),"")</f>
        <v/>
      </c>
      <c r="F134" s="49" t="str">
        <f>IFERROR(IF(IF($B134&lt;=AantalBetalingen,1,0)*IF(GeleendBedrag*Rentevoet*Leningjaren*BegindatumLening&gt;0,1,0),-PPMT(Rentevoet/12,ROW()-ROW(Lening[[#HEADERS],[BET.NR.]]),AantalBetalingen,GeleendBedrag),""),"")</f>
        <v/>
      </c>
      <c r="G134" s="49" t="str">
        <f>IFERROR(IF(IF($B134&lt;=AantalBetalingen,1,0)*IF(GeleendBedrag*Rentevoet*Leningjaren*BegindatumLening&gt;0,1,0),-IPMT(Rentevoet/12,$B134,AantalBetalingen,GeleendBedrag),""),"")</f>
        <v/>
      </c>
      <c r="H134" s="49" t="str">
        <f>IFERROR(IF(IF(B134="","",IF($B134&lt;=AantalBetalingen,1,0)*IF(GeleendBedrag*Rentevoet*Leningjaren*BegindatumLening&gt;0,1,0),-FV(Rentevoet/12,$B134,PMT(Rentevoet/12,AantalBetalingen,GeleendBedrag),GeleendBedrag),""),""),"")</f>
        <v/>
      </c>
    </row>
    <row r="135" ht="22.5" hidden="1" customHeight="1">
      <c r="A135" s="46">
        <f>ROW()-ROW(Lening[[#HEADERS],[BET.NR.]])</f>
        <v>126</v>
      </c>
      <c r="B135" s="50" t="str">
        <f>IFERROR(IF(IF(ROW()-ROW(Lening!$9:$9)&lt;=AantalBetalingen,1,0)*IF(GeleendBedrag*Rentevoet*$D$5*BegindatumLening&gt;0,1,0),ROW()-ROW(Lening!$9:$9),""),"")</f>
        <v/>
      </c>
      <c r="C135" s="48" t="str">
        <f>IFERROR(IF(B135="","",IF(IF(B135&lt;=AantalBetalingen,1,0)*IF(GeleendBedrag*Rentevoet*Leningjaren*BegindatumLening&gt;0,1,0),TEXT(DATE(YEAR(BegindatumLening),MONTH(BegindatumLening)+B135,DAY(BegindatumLening)),"d-m-yyyy"),""),""),"")</f>
        <v/>
      </c>
      <c r="D135" s="49" t="str">
        <f>IFERROR(IF(IF(B135="","",IF($B135&lt;=AantalBetalingen,1,0)*IF(GeleendBedrag*Rentevoet*Leningjaren*BegindatumLening&gt;0,1,0),-FV(Rentevoet/12,ROW()-ROW(Lening[[#HEADERS],[BET.NR.]])-1,PMT(Rentevoet/12,AantalBetalingen,GeleendBedrag),GeleendBedrag),""),""),"")</f>
        <v/>
      </c>
      <c r="E135" s="49" t="str">
        <f>IFERROR(IF(IF(B135="","",IF($B135&lt;=AantalBetalingen,1,0)*IF(GeleendBedrag*Rentevoet*Leningjaren*BegindatumLening&gt;0,1,0),-PMT(Rentevoet/12,AantalBetalingen,GeleendBedrag),""),""),"")</f>
        <v/>
      </c>
      <c r="F135" s="49" t="str">
        <f>IFERROR(IF(IF($B135&lt;=AantalBetalingen,1,0)*IF(GeleendBedrag*Rentevoet*Leningjaren*BegindatumLening&gt;0,1,0),-PPMT(Rentevoet/12,ROW()-ROW(Lening[[#HEADERS],[BET.NR.]]),AantalBetalingen,GeleendBedrag),""),"")</f>
        <v/>
      </c>
      <c r="G135" s="49" t="str">
        <f>IFERROR(IF(IF($B135&lt;=AantalBetalingen,1,0)*IF(GeleendBedrag*Rentevoet*Leningjaren*BegindatumLening&gt;0,1,0),-IPMT(Rentevoet/12,$B135,AantalBetalingen,GeleendBedrag),""),"")</f>
        <v/>
      </c>
      <c r="H135" s="49" t="str">
        <f>IFERROR(IF(IF(B135="","",IF($B135&lt;=AantalBetalingen,1,0)*IF(GeleendBedrag*Rentevoet*Leningjaren*BegindatumLening&gt;0,1,0),-FV(Rentevoet/12,$B135,PMT(Rentevoet/12,AantalBetalingen,GeleendBedrag),GeleendBedrag),""),""),"")</f>
        <v/>
      </c>
    </row>
    <row r="136" ht="22.5" hidden="1" customHeight="1">
      <c r="A136" s="46">
        <f>ROW()-ROW(Lening[[#HEADERS],[BET.NR.]])</f>
        <v>127</v>
      </c>
      <c r="B136" s="50" t="str">
        <f>IFERROR(IF(IF(ROW()-ROW(Lening!$9:$9)&lt;=AantalBetalingen,1,0)*IF(GeleendBedrag*Rentevoet*$D$5*BegindatumLening&gt;0,1,0),ROW()-ROW(Lening!$9:$9),""),"")</f>
        <v/>
      </c>
      <c r="C136" s="48" t="str">
        <f>IFERROR(IF(B136="","",IF(IF(B136&lt;=AantalBetalingen,1,0)*IF(GeleendBedrag*Rentevoet*Leningjaren*BegindatumLening&gt;0,1,0),TEXT(DATE(YEAR(BegindatumLening),MONTH(BegindatumLening)+B136,DAY(BegindatumLening)),"d-m-yyyy"),""),""),"")</f>
        <v/>
      </c>
      <c r="D136" s="49" t="str">
        <f>IFERROR(IF(IF(B136="","",IF($B136&lt;=AantalBetalingen,1,0)*IF(GeleendBedrag*Rentevoet*Leningjaren*BegindatumLening&gt;0,1,0),-FV(Rentevoet/12,ROW()-ROW(Lening[[#HEADERS],[BET.NR.]])-1,PMT(Rentevoet/12,AantalBetalingen,GeleendBedrag),GeleendBedrag),""),""),"")</f>
        <v/>
      </c>
      <c r="E136" s="49" t="str">
        <f>IFERROR(IF(IF(B136="","",IF($B136&lt;=AantalBetalingen,1,0)*IF(GeleendBedrag*Rentevoet*Leningjaren*BegindatumLening&gt;0,1,0),-PMT(Rentevoet/12,AantalBetalingen,GeleendBedrag),""),""),"")</f>
        <v/>
      </c>
      <c r="F136" s="49" t="str">
        <f>IFERROR(IF(IF($B136&lt;=AantalBetalingen,1,0)*IF(GeleendBedrag*Rentevoet*Leningjaren*BegindatumLening&gt;0,1,0),-PPMT(Rentevoet/12,ROW()-ROW(Lening[[#HEADERS],[BET.NR.]]),AantalBetalingen,GeleendBedrag),""),"")</f>
        <v/>
      </c>
      <c r="G136" s="49" t="str">
        <f>IFERROR(IF(IF($B136&lt;=AantalBetalingen,1,0)*IF(GeleendBedrag*Rentevoet*Leningjaren*BegindatumLening&gt;0,1,0),-IPMT(Rentevoet/12,$B136,AantalBetalingen,GeleendBedrag),""),"")</f>
        <v/>
      </c>
      <c r="H136" s="49" t="str">
        <f>IFERROR(IF(IF(B136="","",IF($B136&lt;=AantalBetalingen,1,0)*IF(GeleendBedrag*Rentevoet*Leningjaren*BegindatumLening&gt;0,1,0),-FV(Rentevoet/12,$B136,PMT(Rentevoet/12,AantalBetalingen,GeleendBedrag),GeleendBedrag),""),""),"")</f>
        <v/>
      </c>
    </row>
    <row r="137" ht="22.5" hidden="1" customHeight="1">
      <c r="A137" s="46">
        <f>ROW()-ROW(Lening[[#HEADERS],[BET.NR.]])</f>
        <v>128</v>
      </c>
      <c r="B137" s="50" t="str">
        <f>IFERROR(IF(IF(ROW()-ROW(Lening!$9:$9)&lt;=AantalBetalingen,1,0)*IF(GeleendBedrag*Rentevoet*$D$5*BegindatumLening&gt;0,1,0),ROW()-ROW(Lening!$9:$9),""),"")</f>
        <v/>
      </c>
      <c r="C137" s="48" t="str">
        <f>IFERROR(IF(B137="","",IF(IF(B137&lt;=AantalBetalingen,1,0)*IF(GeleendBedrag*Rentevoet*Leningjaren*BegindatumLening&gt;0,1,0),TEXT(DATE(YEAR(BegindatumLening),MONTH(BegindatumLening)+B137,DAY(BegindatumLening)),"d-m-yyyy"),""),""),"")</f>
        <v/>
      </c>
      <c r="D137" s="49" t="str">
        <f>IFERROR(IF(IF(B137="","",IF($B137&lt;=AantalBetalingen,1,0)*IF(GeleendBedrag*Rentevoet*Leningjaren*BegindatumLening&gt;0,1,0),-FV(Rentevoet/12,ROW()-ROW(Lening[[#HEADERS],[BET.NR.]])-1,PMT(Rentevoet/12,AantalBetalingen,GeleendBedrag),GeleendBedrag),""),""),"")</f>
        <v/>
      </c>
      <c r="E137" s="49" t="str">
        <f>IFERROR(IF(IF(B137="","",IF($B137&lt;=AantalBetalingen,1,0)*IF(GeleendBedrag*Rentevoet*Leningjaren*BegindatumLening&gt;0,1,0),-PMT(Rentevoet/12,AantalBetalingen,GeleendBedrag),""),""),"")</f>
        <v/>
      </c>
      <c r="F137" s="49" t="str">
        <f>IFERROR(IF(IF($B137&lt;=AantalBetalingen,1,0)*IF(GeleendBedrag*Rentevoet*Leningjaren*BegindatumLening&gt;0,1,0),-PPMT(Rentevoet/12,ROW()-ROW(Lening[[#HEADERS],[BET.NR.]]),AantalBetalingen,GeleendBedrag),""),"")</f>
        <v/>
      </c>
      <c r="G137" s="49" t="str">
        <f>IFERROR(IF(IF($B137&lt;=AantalBetalingen,1,0)*IF(GeleendBedrag*Rentevoet*Leningjaren*BegindatumLening&gt;0,1,0),-IPMT(Rentevoet/12,$B137,AantalBetalingen,GeleendBedrag),""),"")</f>
        <v/>
      </c>
      <c r="H137" s="49" t="str">
        <f>IFERROR(IF(IF(B137="","",IF($B137&lt;=AantalBetalingen,1,0)*IF(GeleendBedrag*Rentevoet*Leningjaren*BegindatumLening&gt;0,1,0),-FV(Rentevoet/12,$B137,PMT(Rentevoet/12,AantalBetalingen,GeleendBedrag),GeleendBedrag),""),""),"")</f>
        <v/>
      </c>
    </row>
    <row r="138" ht="22.5" hidden="1" customHeight="1">
      <c r="A138" s="46">
        <f>ROW()-ROW(Lening[[#HEADERS],[BET.NR.]])</f>
        <v>129</v>
      </c>
      <c r="B138" s="50" t="str">
        <f>IFERROR(IF(IF(ROW()-ROW(Lening!$9:$9)&lt;=AantalBetalingen,1,0)*IF(GeleendBedrag*Rentevoet*$D$5*BegindatumLening&gt;0,1,0),ROW()-ROW(Lening!$9:$9),""),"")</f>
        <v/>
      </c>
      <c r="C138" s="48" t="str">
        <f>IFERROR(IF(B138="","",IF(IF(B138&lt;=AantalBetalingen,1,0)*IF(GeleendBedrag*Rentevoet*Leningjaren*BegindatumLening&gt;0,1,0),TEXT(DATE(YEAR(BegindatumLening),MONTH(BegindatumLening)+B138,DAY(BegindatumLening)),"d-m-yyyy"),""),""),"")</f>
        <v/>
      </c>
      <c r="D138" s="49" t="str">
        <f>IFERROR(IF(IF(B138="","",IF($B138&lt;=AantalBetalingen,1,0)*IF(GeleendBedrag*Rentevoet*Leningjaren*BegindatumLening&gt;0,1,0),-FV(Rentevoet/12,ROW()-ROW(Lening[[#HEADERS],[BET.NR.]])-1,PMT(Rentevoet/12,AantalBetalingen,GeleendBedrag),GeleendBedrag),""),""),"")</f>
        <v/>
      </c>
      <c r="E138" s="49" t="str">
        <f>IFERROR(IF(IF(B138="","",IF($B138&lt;=AantalBetalingen,1,0)*IF(GeleendBedrag*Rentevoet*Leningjaren*BegindatumLening&gt;0,1,0),-PMT(Rentevoet/12,AantalBetalingen,GeleendBedrag),""),""),"")</f>
        <v/>
      </c>
      <c r="F138" s="49" t="str">
        <f>IFERROR(IF(IF($B138&lt;=AantalBetalingen,1,0)*IF(GeleendBedrag*Rentevoet*Leningjaren*BegindatumLening&gt;0,1,0),-PPMT(Rentevoet/12,ROW()-ROW(Lening[[#HEADERS],[BET.NR.]]),AantalBetalingen,GeleendBedrag),""),"")</f>
        <v/>
      </c>
      <c r="G138" s="49" t="str">
        <f>IFERROR(IF(IF($B138&lt;=AantalBetalingen,1,0)*IF(GeleendBedrag*Rentevoet*Leningjaren*BegindatumLening&gt;0,1,0),-IPMT(Rentevoet/12,$B138,AantalBetalingen,GeleendBedrag),""),"")</f>
        <v/>
      </c>
      <c r="H138" s="49" t="str">
        <f>IFERROR(IF(IF(B138="","",IF($B138&lt;=AantalBetalingen,1,0)*IF(GeleendBedrag*Rentevoet*Leningjaren*BegindatumLening&gt;0,1,0),-FV(Rentevoet/12,$B138,PMT(Rentevoet/12,AantalBetalingen,GeleendBedrag),GeleendBedrag),""),""),"")</f>
        <v/>
      </c>
    </row>
    <row r="139" ht="22.5" hidden="1" customHeight="1">
      <c r="A139" s="46">
        <f>ROW()-ROW(Lening[[#HEADERS],[BET.NR.]])</f>
        <v>130</v>
      </c>
      <c r="B139" s="50" t="str">
        <f>IFERROR(IF(IF(ROW()-ROW(Lening!$9:$9)&lt;=AantalBetalingen,1,0)*IF(GeleendBedrag*Rentevoet*$D$5*BegindatumLening&gt;0,1,0),ROW()-ROW(Lening!$9:$9),""),"")</f>
        <v/>
      </c>
      <c r="C139" s="48" t="str">
        <f>IFERROR(IF(B139="","",IF(IF(B139&lt;=AantalBetalingen,1,0)*IF(GeleendBedrag*Rentevoet*Leningjaren*BegindatumLening&gt;0,1,0),TEXT(DATE(YEAR(BegindatumLening),MONTH(BegindatumLening)+B139,DAY(BegindatumLening)),"d-m-yyyy"),""),""),"")</f>
        <v/>
      </c>
      <c r="D139" s="49" t="str">
        <f>IFERROR(IF(IF(B139="","",IF($B139&lt;=AantalBetalingen,1,0)*IF(GeleendBedrag*Rentevoet*Leningjaren*BegindatumLening&gt;0,1,0),-FV(Rentevoet/12,ROW()-ROW(Lening[[#HEADERS],[BET.NR.]])-1,PMT(Rentevoet/12,AantalBetalingen,GeleendBedrag),GeleendBedrag),""),""),"")</f>
        <v/>
      </c>
      <c r="E139" s="49" t="str">
        <f>IFERROR(IF(IF(B139="","",IF($B139&lt;=AantalBetalingen,1,0)*IF(GeleendBedrag*Rentevoet*Leningjaren*BegindatumLening&gt;0,1,0),-PMT(Rentevoet/12,AantalBetalingen,GeleendBedrag),""),""),"")</f>
        <v/>
      </c>
      <c r="F139" s="49" t="str">
        <f>IFERROR(IF(IF($B139&lt;=AantalBetalingen,1,0)*IF(GeleendBedrag*Rentevoet*Leningjaren*BegindatumLening&gt;0,1,0),-PPMT(Rentevoet/12,ROW()-ROW(Lening[[#HEADERS],[BET.NR.]]),AantalBetalingen,GeleendBedrag),""),"")</f>
        <v/>
      </c>
      <c r="G139" s="49" t="str">
        <f>IFERROR(IF(IF($B139&lt;=AantalBetalingen,1,0)*IF(GeleendBedrag*Rentevoet*Leningjaren*BegindatumLening&gt;0,1,0),-IPMT(Rentevoet/12,$B139,AantalBetalingen,GeleendBedrag),""),"")</f>
        <v/>
      </c>
      <c r="H139" s="49" t="str">
        <f>IFERROR(IF(IF(B139="","",IF($B139&lt;=AantalBetalingen,1,0)*IF(GeleendBedrag*Rentevoet*Leningjaren*BegindatumLening&gt;0,1,0),-FV(Rentevoet/12,$B139,PMT(Rentevoet/12,AantalBetalingen,GeleendBedrag),GeleendBedrag),""),""),"")</f>
        <v/>
      </c>
    </row>
    <row r="140" ht="22.5" hidden="1" customHeight="1">
      <c r="A140" s="46">
        <f>ROW()-ROW(Lening[[#HEADERS],[BET.NR.]])</f>
        <v>131</v>
      </c>
      <c r="B140" s="50" t="str">
        <f>IFERROR(IF(IF(ROW()-ROW(Lening!$9:$9)&lt;=AantalBetalingen,1,0)*IF(GeleendBedrag*Rentevoet*$D$5*BegindatumLening&gt;0,1,0),ROW()-ROW(Lening!$9:$9),""),"")</f>
        <v/>
      </c>
      <c r="C140" s="48" t="str">
        <f>IFERROR(IF(B140="","",IF(IF(B140&lt;=AantalBetalingen,1,0)*IF(GeleendBedrag*Rentevoet*Leningjaren*BegindatumLening&gt;0,1,0),TEXT(DATE(YEAR(BegindatumLening),MONTH(BegindatumLening)+B140,DAY(BegindatumLening)),"d-m-yyyy"),""),""),"")</f>
        <v/>
      </c>
      <c r="D140" s="49" t="str">
        <f>IFERROR(IF(IF(B140="","",IF($B140&lt;=AantalBetalingen,1,0)*IF(GeleendBedrag*Rentevoet*Leningjaren*BegindatumLening&gt;0,1,0),-FV(Rentevoet/12,ROW()-ROW(Lening[[#HEADERS],[BET.NR.]])-1,PMT(Rentevoet/12,AantalBetalingen,GeleendBedrag),GeleendBedrag),""),""),"")</f>
        <v/>
      </c>
      <c r="E140" s="49" t="str">
        <f>IFERROR(IF(IF(B140="","",IF($B140&lt;=AantalBetalingen,1,0)*IF(GeleendBedrag*Rentevoet*Leningjaren*BegindatumLening&gt;0,1,0),-PMT(Rentevoet/12,AantalBetalingen,GeleendBedrag),""),""),"")</f>
        <v/>
      </c>
      <c r="F140" s="49" t="str">
        <f>IFERROR(IF(IF($B140&lt;=AantalBetalingen,1,0)*IF(GeleendBedrag*Rentevoet*Leningjaren*BegindatumLening&gt;0,1,0),-PPMT(Rentevoet/12,ROW()-ROW(Lening[[#HEADERS],[BET.NR.]]),AantalBetalingen,GeleendBedrag),""),"")</f>
        <v/>
      </c>
      <c r="G140" s="49" t="str">
        <f>IFERROR(IF(IF($B140&lt;=AantalBetalingen,1,0)*IF(GeleendBedrag*Rentevoet*Leningjaren*BegindatumLening&gt;0,1,0),-IPMT(Rentevoet/12,$B140,AantalBetalingen,GeleendBedrag),""),"")</f>
        <v/>
      </c>
      <c r="H140" s="49" t="str">
        <f>IFERROR(IF(IF(B140="","",IF($B140&lt;=AantalBetalingen,1,0)*IF(GeleendBedrag*Rentevoet*Leningjaren*BegindatumLening&gt;0,1,0),-FV(Rentevoet/12,$B140,PMT(Rentevoet/12,AantalBetalingen,GeleendBedrag),GeleendBedrag),""),""),"")</f>
        <v/>
      </c>
    </row>
    <row r="141" ht="22.5" hidden="1" customHeight="1">
      <c r="A141" s="46">
        <f>ROW()-ROW(Lening[[#HEADERS],[BET.NR.]])</f>
        <v>132</v>
      </c>
      <c r="B141" s="50" t="str">
        <f>IFERROR(IF(IF(ROW()-ROW(Lening!$9:$9)&lt;=AantalBetalingen,1,0)*IF(GeleendBedrag*Rentevoet*$D$5*BegindatumLening&gt;0,1,0),ROW()-ROW(Lening!$9:$9),""),"")</f>
        <v/>
      </c>
      <c r="C141" s="48" t="str">
        <f>IFERROR(IF(B141="","",IF(IF(B141&lt;=AantalBetalingen,1,0)*IF(GeleendBedrag*Rentevoet*Leningjaren*BegindatumLening&gt;0,1,0),TEXT(DATE(YEAR(BegindatumLening),MONTH(BegindatumLening)+B141,DAY(BegindatumLening)),"d-m-yyyy"),""),""),"")</f>
        <v/>
      </c>
      <c r="D141" s="49" t="str">
        <f>IFERROR(IF(IF(B141="","",IF($B141&lt;=AantalBetalingen,1,0)*IF(GeleendBedrag*Rentevoet*Leningjaren*BegindatumLening&gt;0,1,0),-FV(Rentevoet/12,ROW()-ROW(Lening[[#HEADERS],[BET.NR.]])-1,PMT(Rentevoet/12,AantalBetalingen,GeleendBedrag),GeleendBedrag),""),""),"")</f>
        <v/>
      </c>
      <c r="E141" s="49" t="str">
        <f>IFERROR(IF(IF(B141="","",IF($B141&lt;=AantalBetalingen,1,0)*IF(GeleendBedrag*Rentevoet*Leningjaren*BegindatumLening&gt;0,1,0),-PMT(Rentevoet/12,AantalBetalingen,GeleendBedrag),""),""),"")</f>
        <v/>
      </c>
      <c r="F141" s="49" t="str">
        <f>IFERROR(IF(IF($B141&lt;=AantalBetalingen,1,0)*IF(GeleendBedrag*Rentevoet*Leningjaren*BegindatumLening&gt;0,1,0),-PPMT(Rentevoet/12,ROW()-ROW(Lening[[#HEADERS],[BET.NR.]]),AantalBetalingen,GeleendBedrag),""),"")</f>
        <v/>
      </c>
      <c r="G141" s="49" t="str">
        <f>IFERROR(IF(IF($B141&lt;=AantalBetalingen,1,0)*IF(GeleendBedrag*Rentevoet*Leningjaren*BegindatumLening&gt;0,1,0),-IPMT(Rentevoet/12,$B141,AantalBetalingen,GeleendBedrag),""),"")</f>
        <v/>
      </c>
      <c r="H141" s="49" t="str">
        <f>IFERROR(IF(IF(B141="","",IF($B141&lt;=AantalBetalingen,1,0)*IF(GeleendBedrag*Rentevoet*Leningjaren*BegindatumLening&gt;0,1,0),-FV(Rentevoet/12,$B141,PMT(Rentevoet/12,AantalBetalingen,GeleendBedrag),GeleendBedrag),""),""),"")</f>
        <v/>
      </c>
    </row>
    <row r="142" ht="22.5" hidden="1" customHeight="1">
      <c r="A142" s="46">
        <f>ROW()-ROW(Lening[[#HEADERS],[BET.NR.]])</f>
        <v>133</v>
      </c>
      <c r="B142" s="50" t="str">
        <f>IFERROR(IF(IF(ROW()-ROW(Lening!$9:$9)&lt;=AantalBetalingen,1,0)*IF(GeleendBedrag*Rentevoet*$D$5*BegindatumLening&gt;0,1,0),ROW()-ROW(Lening!$9:$9),""),"")</f>
        <v/>
      </c>
      <c r="C142" s="48" t="str">
        <f>IFERROR(IF(B142="","",IF(IF(B142&lt;=AantalBetalingen,1,0)*IF(GeleendBedrag*Rentevoet*Leningjaren*BegindatumLening&gt;0,1,0),TEXT(DATE(YEAR(BegindatumLening),MONTH(BegindatumLening)+B142,DAY(BegindatumLening)),"d-m-yyyy"),""),""),"")</f>
        <v/>
      </c>
      <c r="D142" s="49" t="str">
        <f>IFERROR(IF(IF(B142="","",IF($B142&lt;=AantalBetalingen,1,0)*IF(GeleendBedrag*Rentevoet*Leningjaren*BegindatumLening&gt;0,1,0),-FV(Rentevoet/12,ROW()-ROW(Lening[[#HEADERS],[BET.NR.]])-1,PMT(Rentevoet/12,AantalBetalingen,GeleendBedrag),GeleendBedrag),""),""),"")</f>
        <v/>
      </c>
      <c r="E142" s="49" t="str">
        <f>IFERROR(IF(IF(B142="","",IF($B142&lt;=AantalBetalingen,1,0)*IF(GeleendBedrag*Rentevoet*Leningjaren*BegindatumLening&gt;0,1,0),-PMT(Rentevoet/12,AantalBetalingen,GeleendBedrag),""),""),"")</f>
        <v/>
      </c>
      <c r="F142" s="49" t="str">
        <f>IFERROR(IF(IF($B142&lt;=AantalBetalingen,1,0)*IF(GeleendBedrag*Rentevoet*Leningjaren*BegindatumLening&gt;0,1,0),-PPMT(Rentevoet/12,ROW()-ROW(Lening[[#HEADERS],[BET.NR.]]),AantalBetalingen,GeleendBedrag),""),"")</f>
        <v/>
      </c>
      <c r="G142" s="49" t="str">
        <f>IFERROR(IF(IF($B142&lt;=AantalBetalingen,1,0)*IF(GeleendBedrag*Rentevoet*Leningjaren*BegindatumLening&gt;0,1,0),-IPMT(Rentevoet/12,$B142,AantalBetalingen,GeleendBedrag),""),"")</f>
        <v/>
      </c>
      <c r="H142" s="49" t="str">
        <f>IFERROR(IF(IF(B142="","",IF($B142&lt;=AantalBetalingen,1,0)*IF(GeleendBedrag*Rentevoet*Leningjaren*BegindatumLening&gt;0,1,0),-FV(Rentevoet/12,$B142,PMT(Rentevoet/12,AantalBetalingen,GeleendBedrag),GeleendBedrag),""),""),"")</f>
        <v/>
      </c>
    </row>
    <row r="143" ht="22.5" hidden="1" customHeight="1">
      <c r="A143" s="46">
        <f>ROW()-ROW(Lening[[#HEADERS],[BET.NR.]])</f>
        <v>134</v>
      </c>
      <c r="B143" s="50" t="str">
        <f>IFERROR(IF(IF(ROW()-ROW(Lening!$9:$9)&lt;=AantalBetalingen,1,0)*IF(GeleendBedrag*Rentevoet*$D$5*BegindatumLening&gt;0,1,0),ROW()-ROW(Lening!$9:$9),""),"")</f>
        <v/>
      </c>
      <c r="C143" s="48" t="str">
        <f>IFERROR(IF(B143="","",IF(IF(B143&lt;=AantalBetalingen,1,0)*IF(GeleendBedrag*Rentevoet*Leningjaren*BegindatumLening&gt;0,1,0),TEXT(DATE(YEAR(BegindatumLening),MONTH(BegindatumLening)+B143,DAY(BegindatumLening)),"d-m-yyyy"),""),""),"")</f>
        <v/>
      </c>
      <c r="D143" s="49" t="str">
        <f>IFERROR(IF(IF(B143="","",IF($B143&lt;=AantalBetalingen,1,0)*IF(GeleendBedrag*Rentevoet*Leningjaren*BegindatumLening&gt;0,1,0),-FV(Rentevoet/12,ROW()-ROW(Lening[[#HEADERS],[BET.NR.]])-1,PMT(Rentevoet/12,AantalBetalingen,GeleendBedrag),GeleendBedrag),""),""),"")</f>
        <v/>
      </c>
      <c r="E143" s="49" t="str">
        <f>IFERROR(IF(IF(B143="","",IF($B143&lt;=AantalBetalingen,1,0)*IF(GeleendBedrag*Rentevoet*Leningjaren*BegindatumLening&gt;0,1,0),-PMT(Rentevoet/12,AantalBetalingen,GeleendBedrag),""),""),"")</f>
        <v/>
      </c>
      <c r="F143" s="49" t="str">
        <f>IFERROR(IF(IF($B143&lt;=AantalBetalingen,1,0)*IF(GeleendBedrag*Rentevoet*Leningjaren*BegindatumLening&gt;0,1,0),-PPMT(Rentevoet/12,ROW()-ROW(Lening[[#HEADERS],[BET.NR.]]),AantalBetalingen,GeleendBedrag),""),"")</f>
        <v/>
      </c>
      <c r="G143" s="49" t="str">
        <f>IFERROR(IF(IF($B143&lt;=AantalBetalingen,1,0)*IF(GeleendBedrag*Rentevoet*Leningjaren*BegindatumLening&gt;0,1,0),-IPMT(Rentevoet/12,$B143,AantalBetalingen,GeleendBedrag),""),"")</f>
        <v/>
      </c>
      <c r="H143" s="49" t="str">
        <f>IFERROR(IF(IF(B143="","",IF($B143&lt;=AantalBetalingen,1,0)*IF(GeleendBedrag*Rentevoet*Leningjaren*BegindatumLening&gt;0,1,0),-FV(Rentevoet/12,$B143,PMT(Rentevoet/12,AantalBetalingen,GeleendBedrag),GeleendBedrag),""),""),"")</f>
        <v/>
      </c>
    </row>
    <row r="144" ht="22.5" hidden="1" customHeight="1">
      <c r="A144" s="46">
        <f>ROW()-ROW(Lening[[#HEADERS],[BET.NR.]])</f>
        <v>135</v>
      </c>
      <c r="B144" s="50" t="str">
        <f>IFERROR(IF(IF(ROW()-ROW(Lening!$9:$9)&lt;=AantalBetalingen,1,0)*IF(GeleendBedrag*Rentevoet*$D$5*BegindatumLening&gt;0,1,0),ROW()-ROW(Lening!$9:$9),""),"")</f>
        <v/>
      </c>
      <c r="C144" s="48" t="str">
        <f>IFERROR(IF(B144="","",IF(IF(B144&lt;=AantalBetalingen,1,0)*IF(GeleendBedrag*Rentevoet*Leningjaren*BegindatumLening&gt;0,1,0),TEXT(DATE(YEAR(BegindatumLening),MONTH(BegindatumLening)+B144,DAY(BegindatumLening)),"d-m-yyyy"),""),""),"")</f>
        <v/>
      </c>
      <c r="D144" s="49" t="str">
        <f>IFERROR(IF(IF(B144="","",IF($B144&lt;=AantalBetalingen,1,0)*IF(GeleendBedrag*Rentevoet*Leningjaren*BegindatumLening&gt;0,1,0),-FV(Rentevoet/12,ROW()-ROW(Lening[[#HEADERS],[BET.NR.]])-1,PMT(Rentevoet/12,AantalBetalingen,GeleendBedrag),GeleendBedrag),""),""),"")</f>
        <v/>
      </c>
      <c r="E144" s="49" t="str">
        <f>IFERROR(IF(IF(B144="","",IF($B144&lt;=AantalBetalingen,1,0)*IF(GeleendBedrag*Rentevoet*Leningjaren*BegindatumLening&gt;0,1,0),-PMT(Rentevoet/12,AantalBetalingen,GeleendBedrag),""),""),"")</f>
        <v/>
      </c>
      <c r="F144" s="49" t="str">
        <f>IFERROR(IF(IF($B144&lt;=AantalBetalingen,1,0)*IF(GeleendBedrag*Rentevoet*Leningjaren*BegindatumLening&gt;0,1,0),-PPMT(Rentevoet/12,ROW()-ROW(Lening[[#HEADERS],[BET.NR.]]),AantalBetalingen,GeleendBedrag),""),"")</f>
        <v/>
      </c>
      <c r="G144" s="49" t="str">
        <f>IFERROR(IF(IF($B144&lt;=AantalBetalingen,1,0)*IF(GeleendBedrag*Rentevoet*Leningjaren*BegindatumLening&gt;0,1,0),-IPMT(Rentevoet/12,$B144,AantalBetalingen,GeleendBedrag),""),"")</f>
        <v/>
      </c>
      <c r="H144" s="49" t="str">
        <f>IFERROR(IF(IF(B144="","",IF($B144&lt;=AantalBetalingen,1,0)*IF(GeleendBedrag*Rentevoet*Leningjaren*BegindatumLening&gt;0,1,0),-FV(Rentevoet/12,$B144,PMT(Rentevoet/12,AantalBetalingen,GeleendBedrag),GeleendBedrag),""),""),"")</f>
        <v/>
      </c>
    </row>
    <row r="145" ht="22.5" hidden="1" customHeight="1">
      <c r="A145" s="46">
        <f>ROW()-ROW(Lening[[#HEADERS],[BET.NR.]])</f>
        <v>136</v>
      </c>
      <c r="B145" s="50" t="str">
        <f>IFERROR(IF(IF(ROW()-ROW(Lening!$9:$9)&lt;=AantalBetalingen,1,0)*IF(GeleendBedrag*Rentevoet*$D$5*BegindatumLening&gt;0,1,0),ROW()-ROW(Lening!$9:$9),""),"")</f>
        <v/>
      </c>
      <c r="C145" s="48" t="str">
        <f>IFERROR(IF(B145="","",IF(IF(B145&lt;=AantalBetalingen,1,0)*IF(GeleendBedrag*Rentevoet*Leningjaren*BegindatumLening&gt;0,1,0),TEXT(DATE(YEAR(BegindatumLening),MONTH(BegindatumLening)+B145,DAY(BegindatumLening)),"d-m-yyyy"),""),""),"")</f>
        <v/>
      </c>
      <c r="D145" s="49" t="str">
        <f>IFERROR(IF(IF(B145="","",IF($B145&lt;=AantalBetalingen,1,0)*IF(GeleendBedrag*Rentevoet*Leningjaren*BegindatumLening&gt;0,1,0),-FV(Rentevoet/12,ROW()-ROW(Lening[[#HEADERS],[BET.NR.]])-1,PMT(Rentevoet/12,AantalBetalingen,GeleendBedrag),GeleendBedrag),""),""),"")</f>
        <v/>
      </c>
      <c r="E145" s="49" t="str">
        <f>IFERROR(IF(IF(B145="","",IF($B145&lt;=AantalBetalingen,1,0)*IF(GeleendBedrag*Rentevoet*Leningjaren*BegindatumLening&gt;0,1,0),-PMT(Rentevoet/12,AantalBetalingen,GeleendBedrag),""),""),"")</f>
        <v/>
      </c>
      <c r="F145" s="49" t="str">
        <f>IFERROR(IF(IF($B145&lt;=AantalBetalingen,1,0)*IF(GeleendBedrag*Rentevoet*Leningjaren*BegindatumLening&gt;0,1,0),-PPMT(Rentevoet/12,ROW()-ROW(Lening[[#HEADERS],[BET.NR.]]),AantalBetalingen,GeleendBedrag),""),"")</f>
        <v/>
      </c>
      <c r="G145" s="49" t="str">
        <f>IFERROR(IF(IF($B145&lt;=AantalBetalingen,1,0)*IF(GeleendBedrag*Rentevoet*Leningjaren*BegindatumLening&gt;0,1,0),-IPMT(Rentevoet/12,$B145,AantalBetalingen,GeleendBedrag),""),"")</f>
        <v/>
      </c>
      <c r="H145" s="49" t="str">
        <f>IFERROR(IF(IF(B145="","",IF($B145&lt;=AantalBetalingen,1,0)*IF(GeleendBedrag*Rentevoet*Leningjaren*BegindatumLening&gt;0,1,0),-FV(Rentevoet/12,$B145,PMT(Rentevoet/12,AantalBetalingen,GeleendBedrag),GeleendBedrag),""),""),"")</f>
        <v/>
      </c>
    </row>
    <row r="146" ht="22.5" hidden="1" customHeight="1">
      <c r="A146" s="46">
        <f>ROW()-ROW(Lening[[#HEADERS],[BET.NR.]])</f>
        <v>137</v>
      </c>
      <c r="B146" s="50" t="str">
        <f>IFERROR(IF(IF(ROW()-ROW(Lening!$9:$9)&lt;=AantalBetalingen,1,0)*IF(GeleendBedrag*Rentevoet*$D$5*BegindatumLening&gt;0,1,0),ROW()-ROW(Lening!$9:$9),""),"")</f>
        <v/>
      </c>
      <c r="C146" s="48" t="str">
        <f>IFERROR(IF(B146="","",IF(IF(B146&lt;=AantalBetalingen,1,0)*IF(GeleendBedrag*Rentevoet*Leningjaren*BegindatumLening&gt;0,1,0),TEXT(DATE(YEAR(BegindatumLening),MONTH(BegindatumLening)+B146,DAY(BegindatumLening)),"d-m-yyyy"),""),""),"")</f>
        <v/>
      </c>
      <c r="D146" s="49" t="str">
        <f>IFERROR(IF(IF(B146="","",IF($B146&lt;=AantalBetalingen,1,0)*IF(GeleendBedrag*Rentevoet*Leningjaren*BegindatumLening&gt;0,1,0),-FV(Rentevoet/12,ROW()-ROW(Lening[[#HEADERS],[BET.NR.]])-1,PMT(Rentevoet/12,AantalBetalingen,GeleendBedrag),GeleendBedrag),""),""),"")</f>
        <v/>
      </c>
      <c r="E146" s="49" t="str">
        <f>IFERROR(IF(IF(B146="","",IF($B146&lt;=AantalBetalingen,1,0)*IF(GeleendBedrag*Rentevoet*Leningjaren*BegindatumLening&gt;0,1,0),-PMT(Rentevoet/12,AantalBetalingen,GeleendBedrag),""),""),"")</f>
        <v/>
      </c>
      <c r="F146" s="49" t="str">
        <f>IFERROR(IF(IF($B146&lt;=AantalBetalingen,1,0)*IF(GeleendBedrag*Rentevoet*Leningjaren*BegindatumLening&gt;0,1,0),-PPMT(Rentevoet/12,ROW()-ROW(Lening[[#HEADERS],[BET.NR.]]),AantalBetalingen,GeleendBedrag),""),"")</f>
        <v/>
      </c>
      <c r="G146" s="49" t="str">
        <f>IFERROR(IF(IF($B146&lt;=AantalBetalingen,1,0)*IF(GeleendBedrag*Rentevoet*Leningjaren*BegindatumLening&gt;0,1,0),-IPMT(Rentevoet/12,$B146,AantalBetalingen,GeleendBedrag),""),"")</f>
        <v/>
      </c>
      <c r="H146" s="49" t="str">
        <f>IFERROR(IF(IF(B146="","",IF($B146&lt;=AantalBetalingen,1,0)*IF(GeleendBedrag*Rentevoet*Leningjaren*BegindatumLening&gt;0,1,0),-FV(Rentevoet/12,$B146,PMT(Rentevoet/12,AantalBetalingen,GeleendBedrag),GeleendBedrag),""),""),"")</f>
        <v/>
      </c>
    </row>
    <row r="147" ht="22.5" hidden="1" customHeight="1">
      <c r="A147" s="46">
        <f>ROW()-ROW(Lening[[#HEADERS],[BET.NR.]])</f>
        <v>138</v>
      </c>
      <c r="B147" s="50" t="str">
        <f>IFERROR(IF(IF(ROW()-ROW(Lening!$9:$9)&lt;=AantalBetalingen,1,0)*IF(GeleendBedrag*Rentevoet*$D$5*BegindatumLening&gt;0,1,0),ROW()-ROW(Lening!$9:$9),""),"")</f>
        <v/>
      </c>
      <c r="C147" s="48" t="str">
        <f>IFERROR(IF(B147="","",IF(IF(B147&lt;=AantalBetalingen,1,0)*IF(GeleendBedrag*Rentevoet*Leningjaren*BegindatumLening&gt;0,1,0),TEXT(DATE(YEAR(BegindatumLening),MONTH(BegindatumLening)+B147,DAY(BegindatumLening)),"d-m-yyyy"),""),""),"")</f>
        <v/>
      </c>
      <c r="D147" s="49" t="str">
        <f>IFERROR(IF(IF(B147="","",IF($B147&lt;=AantalBetalingen,1,0)*IF(GeleendBedrag*Rentevoet*Leningjaren*BegindatumLening&gt;0,1,0),-FV(Rentevoet/12,ROW()-ROW(Lening[[#HEADERS],[BET.NR.]])-1,PMT(Rentevoet/12,AantalBetalingen,GeleendBedrag),GeleendBedrag),""),""),"")</f>
        <v/>
      </c>
      <c r="E147" s="49" t="str">
        <f>IFERROR(IF(IF(B147="","",IF($B147&lt;=AantalBetalingen,1,0)*IF(GeleendBedrag*Rentevoet*Leningjaren*BegindatumLening&gt;0,1,0),-PMT(Rentevoet/12,AantalBetalingen,GeleendBedrag),""),""),"")</f>
        <v/>
      </c>
      <c r="F147" s="49" t="str">
        <f>IFERROR(IF(IF($B147&lt;=AantalBetalingen,1,0)*IF(GeleendBedrag*Rentevoet*Leningjaren*BegindatumLening&gt;0,1,0),-PPMT(Rentevoet/12,ROW()-ROW(Lening[[#HEADERS],[BET.NR.]]),AantalBetalingen,GeleendBedrag),""),"")</f>
        <v/>
      </c>
      <c r="G147" s="49" t="str">
        <f>IFERROR(IF(IF($B147&lt;=AantalBetalingen,1,0)*IF(GeleendBedrag*Rentevoet*Leningjaren*BegindatumLening&gt;0,1,0),-IPMT(Rentevoet/12,$B147,AantalBetalingen,GeleendBedrag),""),"")</f>
        <v/>
      </c>
      <c r="H147" s="49" t="str">
        <f>IFERROR(IF(IF(B147="","",IF($B147&lt;=AantalBetalingen,1,0)*IF(GeleendBedrag*Rentevoet*Leningjaren*BegindatumLening&gt;0,1,0),-FV(Rentevoet/12,$B147,PMT(Rentevoet/12,AantalBetalingen,GeleendBedrag),GeleendBedrag),""),""),"")</f>
        <v/>
      </c>
    </row>
    <row r="148" ht="22.5" hidden="1" customHeight="1">
      <c r="A148" s="46">
        <f>ROW()-ROW(Lening[[#HEADERS],[BET.NR.]])</f>
        <v>139</v>
      </c>
      <c r="B148" s="50" t="str">
        <f>IFERROR(IF(IF(ROW()-ROW(Lening!$9:$9)&lt;=AantalBetalingen,1,0)*IF(GeleendBedrag*Rentevoet*$D$5*BegindatumLening&gt;0,1,0),ROW()-ROW(Lening!$9:$9),""),"")</f>
        <v/>
      </c>
      <c r="C148" s="48" t="str">
        <f>IFERROR(IF(B148="","",IF(IF(B148&lt;=AantalBetalingen,1,0)*IF(GeleendBedrag*Rentevoet*Leningjaren*BegindatumLening&gt;0,1,0),TEXT(DATE(YEAR(BegindatumLening),MONTH(BegindatumLening)+B148,DAY(BegindatumLening)),"d-m-yyyy"),""),""),"")</f>
        <v/>
      </c>
      <c r="D148" s="49" t="str">
        <f>IFERROR(IF(IF(B148="","",IF($B148&lt;=AantalBetalingen,1,0)*IF(GeleendBedrag*Rentevoet*Leningjaren*BegindatumLening&gt;0,1,0),-FV(Rentevoet/12,ROW()-ROW(Lening[[#HEADERS],[BET.NR.]])-1,PMT(Rentevoet/12,AantalBetalingen,GeleendBedrag),GeleendBedrag),""),""),"")</f>
        <v/>
      </c>
      <c r="E148" s="49" t="str">
        <f>IFERROR(IF(IF(B148="","",IF($B148&lt;=AantalBetalingen,1,0)*IF(GeleendBedrag*Rentevoet*Leningjaren*BegindatumLening&gt;0,1,0),-PMT(Rentevoet/12,AantalBetalingen,GeleendBedrag),""),""),"")</f>
        <v/>
      </c>
      <c r="F148" s="49" t="str">
        <f>IFERROR(IF(IF($B148&lt;=AantalBetalingen,1,0)*IF(GeleendBedrag*Rentevoet*Leningjaren*BegindatumLening&gt;0,1,0),-PPMT(Rentevoet/12,ROW()-ROW(Lening[[#HEADERS],[BET.NR.]]),AantalBetalingen,GeleendBedrag),""),"")</f>
        <v/>
      </c>
      <c r="G148" s="49" t="str">
        <f>IFERROR(IF(IF($B148&lt;=AantalBetalingen,1,0)*IF(GeleendBedrag*Rentevoet*Leningjaren*BegindatumLening&gt;0,1,0),-IPMT(Rentevoet/12,$B148,AantalBetalingen,GeleendBedrag),""),"")</f>
        <v/>
      </c>
      <c r="H148" s="49" t="str">
        <f>IFERROR(IF(IF(B148="","",IF($B148&lt;=AantalBetalingen,1,0)*IF(GeleendBedrag*Rentevoet*Leningjaren*BegindatumLening&gt;0,1,0),-FV(Rentevoet/12,$B148,PMT(Rentevoet/12,AantalBetalingen,GeleendBedrag),GeleendBedrag),""),""),"")</f>
        <v/>
      </c>
    </row>
    <row r="149" ht="22.5" hidden="1" customHeight="1">
      <c r="A149" s="46">
        <f>ROW()-ROW(Lening[[#HEADERS],[BET.NR.]])</f>
        <v>140</v>
      </c>
      <c r="B149" s="50" t="str">
        <f>IFERROR(IF(IF(ROW()-ROW(Lening!$9:$9)&lt;=AantalBetalingen,1,0)*IF(GeleendBedrag*Rentevoet*$D$5*BegindatumLening&gt;0,1,0),ROW()-ROW(Lening!$9:$9),""),"")</f>
        <v/>
      </c>
      <c r="C149" s="48" t="str">
        <f>IFERROR(IF(B149="","",IF(IF(B149&lt;=AantalBetalingen,1,0)*IF(GeleendBedrag*Rentevoet*Leningjaren*BegindatumLening&gt;0,1,0),TEXT(DATE(YEAR(BegindatumLening),MONTH(BegindatumLening)+B149,DAY(BegindatumLening)),"d-m-yyyy"),""),""),"")</f>
        <v/>
      </c>
      <c r="D149" s="49" t="str">
        <f>IFERROR(IF(IF(B149="","",IF($B149&lt;=AantalBetalingen,1,0)*IF(GeleendBedrag*Rentevoet*Leningjaren*BegindatumLening&gt;0,1,0),-FV(Rentevoet/12,ROW()-ROW(Lening[[#HEADERS],[BET.NR.]])-1,PMT(Rentevoet/12,AantalBetalingen,GeleendBedrag),GeleendBedrag),""),""),"")</f>
        <v/>
      </c>
      <c r="E149" s="49" t="str">
        <f>IFERROR(IF(IF(B149="","",IF($B149&lt;=AantalBetalingen,1,0)*IF(GeleendBedrag*Rentevoet*Leningjaren*BegindatumLening&gt;0,1,0),-PMT(Rentevoet/12,AantalBetalingen,GeleendBedrag),""),""),"")</f>
        <v/>
      </c>
      <c r="F149" s="49" t="str">
        <f>IFERROR(IF(IF($B149&lt;=AantalBetalingen,1,0)*IF(GeleendBedrag*Rentevoet*Leningjaren*BegindatumLening&gt;0,1,0),-PPMT(Rentevoet/12,ROW()-ROW(Lening[[#HEADERS],[BET.NR.]]),AantalBetalingen,GeleendBedrag),""),"")</f>
        <v/>
      </c>
      <c r="G149" s="49" t="str">
        <f>IFERROR(IF(IF($B149&lt;=AantalBetalingen,1,0)*IF(GeleendBedrag*Rentevoet*Leningjaren*BegindatumLening&gt;0,1,0),-IPMT(Rentevoet/12,$B149,AantalBetalingen,GeleendBedrag),""),"")</f>
        <v/>
      </c>
      <c r="H149" s="49" t="str">
        <f>IFERROR(IF(IF(B149="","",IF($B149&lt;=AantalBetalingen,1,0)*IF(GeleendBedrag*Rentevoet*Leningjaren*BegindatumLening&gt;0,1,0),-FV(Rentevoet/12,$B149,PMT(Rentevoet/12,AantalBetalingen,GeleendBedrag),GeleendBedrag),""),""),"")</f>
        <v/>
      </c>
    </row>
    <row r="150" ht="22.5" hidden="1" customHeight="1">
      <c r="A150" s="46">
        <f>ROW()-ROW(Lening[[#HEADERS],[BET.NR.]])</f>
        <v>141</v>
      </c>
      <c r="B150" s="50" t="str">
        <f>IFERROR(IF(IF(ROW()-ROW(Lening!$9:$9)&lt;=AantalBetalingen,1,0)*IF(GeleendBedrag*Rentevoet*$D$5*BegindatumLening&gt;0,1,0),ROW()-ROW(Lening!$9:$9),""),"")</f>
        <v/>
      </c>
      <c r="C150" s="48" t="str">
        <f>IFERROR(IF(B150="","",IF(IF(B150&lt;=AantalBetalingen,1,0)*IF(GeleendBedrag*Rentevoet*Leningjaren*BegindatumLening&gt;0,1,0),TEXT(DATE(YEAR(BegindatumLening),MONTH(BegindatumLening)+B150,DAY(BegindatumLening)),"d-m-yyyy"),""),""),"")</f>
        <v/>
      </c>
      <c r="D150" s="49" t="str">
        <f>IFERROR(IF(IF(B150="","",IF($B150&lt;=AantalBetalingen,1,0)*IF(GeleendBedrag*Rentevoet*Leningjaren*BegindatumLening&gt;0,1,0),-FV(Rentevoet/12,ROW()-ROW(Lening[[#HEADERS],[BET.NR.]])-1,PMT(Rentevoet/12,AantalBetalingen,GeleendBedrag),GeleendBedrag),""),""),"")</f>
        <v/>
      </c>
      <c r="E150" s="49" t="str">
        <f>IFERROR(IF(IF(B150="","",IF($B150&lt;=AantalBetalingen,1,0)*IF(GeleendBedrag*Rentevoet*Leningjaren*BegindatumLening&gt;0,1,0),-PMT(Rentevoet/12,AantalBetalingen,GeleendBedrag),""),""),"")</f>
        <v/>
      </c>
      <c r="F150" s="49" t="str">
        <f>IFERROR(IF(IF($B150&lt;=AantalBetalingen,1,0)*IF(GeleendBedrag*Rentevoet*Leningjaren*BegindatumLening&gt;0,1,0),-PPMT(Rentevoet/12,ROW()-ROW(Lening[[#HEADERS],[BET.NR.]]),AantalBetalingen,GeleendBedrag),""),"")</f>
        <v/>
      </c>
      <c r="G150" s="49" t="str">
        <f>IFERROR(IF(IF($B150&lt;=AantalBetalingen,1,0)*IF(GeleendBedrag*Rentevoet*Leningjaren*BegindatumLening&gt;0,1,0),-IPMT(Rentevoet/12,$B150,AantalBetalingen,GeleendBedrag),""),"")</f>
        <v/>
      </c>
      <c r="H150" s="49" t="str">
        <f>IFERROR(IF(IF(B150="","",IF($B150&lt;=AantalBetalingen,1,0)*IF(GeleendBedrag*Rentevoet*Leningjaren*BegindatumLening&gt;0,1,0),-FV(Rentevoet/12,$B150,PMT(Rentevoet/12,AantalBetalingen,GeleendBedrag),GeleendBedrag),""),""),"")</f>
        <v/>
      </c>
    </row>
    <row r="151" ht="22.5" hidden="1" customHeight="1">
      <c r="A151" s="46">
        <f>ROW()-ROW(Lening[[#HEADERS],[BET.NR.]])</f>
        <v>142</v>
      </c>
      <c r="B151" s="50" t="str">
        <f>IFERROR(IF(IF(ROW()-ROW(Lening!$9:$9)&lt;=AantalBetalingen,1,0)*IF(GeleendBedrag*Rentevoet*$D$5*BegindatumLening&gt;0,1,0),ROW()-ROW(Lening!$9:$9),""),"")</f>
        <v/>
      </c>
      <c r="C151" s="48" t="str">
        <f>IFERROR(IF(B151="","",IF(IF(B151&lt;=AantalBetalingen,1,0)*IF(GeleendBedrag*Rentevoet*Leningjaren*BegindatumLening&gt;0,1,0),TEXT(DATE(YEAR(BegindatumLening),MONTH(BegindatumLening)+B151,DAY(BegindatumLening)),"d-m-yyyy"),""),""),"")</f>
        <v/>
      </c>
      <c r="D151" s="49" t="str">
        <f>IFERROR(IF(IF(B151="","",IF($B151&lt;=AantalBetalingen,1,0)*IF(GeleendBedrag*Rentevoet*Leningjaren*BegindatumLening&gt;0,1,0),-FV(Rentevoet/12,ROW()-ROW(Lening[[#HEADERS],[BET.NR.]])-1,PMT(Rentevoet/12,AantalBetalingen,GeleendBedrag),GeleendBedrag),""),""),"")</f>
        <v/>
      </c>
      <c r="E151" s="49" t="str">
        <f>IFERROR(IF(IF(B151="","",IF($B151&lt;=AantalBetalingen,1,0)*IF(GeleendBedrag*Rentevoet*Leningjaren*BegindatumLening&gt;0,1,0),-PMT(Rentevoet/12,AantalBetalingen,GeleendBedrag),""),""),"")</f>
        <v/>
      </c>
      <c r="F151" s="49" t="str">
        <f>IFERROR(IF(IF($B151&lt;=AantalBetalingen,1,0)*IF(GeleendBedrag*Rentevoet*Leningjaren*BegindatumLening&gt;0,1,0),-PPMT(Rentevoet/12,ROW()-ROW(Lening[[#HEADERS],[BET.NR.]]),AantalBetalingen,GeleendBedrag),""),"")</f>
        <v/>
      </c>
      <c r="G151" s="49" t="str">
        <f>IFERROR(IF(IF($B151&lt;=AantalBetalingen,1,0)*IF(GeleendBedrag*Rentevoet*Leningjaren*BegindatumLening&gt;0,1,0),-IPMT(Rentevoet/12,$B151,AantalBetalingen,GeleendBedrag),""),"")</f>
        <v/>
      </c>
      <c r="H151" s="49" t="str">
        <f>IFERROR(IF(IF(B151="","",IF($B151&lt;=AantalBetalingen,1,0)*IF(GeleendBedrag*Rentevoet*Leningjaren*BegindatumLening&gt;0,1,0),-FV(Rentevoet/12,$B151,PMT(Rentevoet/12,AantalBetalingen,GeleendBedrag),GeleendBedrag),""),""),"")</f>
        <v/>
      </c>
    </row>
    <row r="152" ht="22.5" hidden="1" customHeight="1">
      <c r="A152" s="46">
        <f>ROW()-ROW(Lening[[#HEADERS],[BET.NR.]])</f>
        <v>143</v>
      </c>
      <c r="B152" s="50" t="str">
        <f>IFERROR(IF(IF(ROW()-ROW(Lening!$9:$9)&lt;=AantalBetalingen,1,0)*IF(GeleendBedrag*Rentevoet*$D$5*BegindatumLening&gt;0,1,0),ROW()-ROW(Lening!$9:$9),""),"")</f>
        <v/>
      </c>
      <c r="C152" s="48" t="str">
        <f>IFERROR(IF(B152="","",IF(IF(B152&lt;=AantalBetalingen,1,0)*IF(GeleendBedrag*Rentevoet*Leningjaren*BegindatumLening&gt;0,1,0),TEXT(DATE(YEAR(BegindatumLening),MONTH(BegindatumLening)+B152,DAY(BegindatumLening)),"d-m-yyyy"),""),""),"")</f>
        <v/>
      </c>
      <c r="D152" s="49" t="str">
        <f>IFERROR(IF(IF(B152="","",IF($B152&lt;=AantalBetalingen,1,0)*IF(GeleendBedrag*Rentevoet*Leningjaren*BegindatumLening&gt;0,1,0),-FV(Rentevoet/12,ROW()-ROW(Lening[[#HEADERS],[BET.NR.]])-1,PMT(Rentevoet/12,AantalBetalingen,GeleendBedrag),GeleendBedrag),""),""),"")</f>
        <v/>
      </c>
      <c r="E152" s="49" t="str">
        <f>IFERROR(IF(IF(B152="","",IF($B152&lt;=AantalBetalingen,1,0)*IF(GeleendBedrag*Rentevoet*Leningjaren*BegindatumLening&gt;0,1,0),-PMT(Rentevoet/12,AantalBetalingen,GeleendBedrag),""),""),"")</f>
        <v/>
      </c>
      <c r="F152" s="49" t="str">
        <f>IFERROR(IF(IF($B152&lt;=AantalBetalingen,1,0)*IF(GeleendBedrag*Rentevoet*Leningjaren*BegindatumLening&gt;0,1,0),-PPMT(Rentevoet/12,ROW()-ROW(Lening[[#HEADERS],[BET.NR.]]),AantalBetalingen,GeleendBedrag),""),"")</f>
        <v/>
      </c>
      <c r="G152" s="49" t="str">
        <f>IFERROR(IF(IF($B152&lt;=AantalBetalingen,1,0)*IF(GeleendBedrag*Rentevoet*Leningjaren*BegindatumLening&gt;0,1,0),-IPMT(Rentevoet/12,$B152,AantalBetalingen,GeleendBedrag),""),"")</f>
        <v/>
      </c>
      <c r="H152" s="49" t="str">
        <f>IFERROR(IF(IF(B152="","",IF($B152&lt;=AantalBetalingen,1,0)*IF(GeleendBedrag*Rentevoet*Leningjaren*BegindatumLening&gt;0,1,0),-FV(Rentevoet/12,$B152,PMT(Rentevoet/12,AantalBetalingen,GeleendBedrag),GeleendBedrag),""),""),"")</f>
        <v/>
      </c>
    </row>
    <row r="153" ht="22.5" hidden="1" customHeight="1">
      <c r="A153" s="46">
        <f>ROW()-ROW(Lening[[#HEADERS],[BET.NR.]])</f>
        <v>144</v>
      </c>
      <c r="B153" s="50" t="str">
        <f>IFERROR(IF(IF(ROW()-ROW(Lening!$9:$9)&lt;=AantalBetalingen,1,0)*IF(GeleendBedrag*Rentevoet*$D$5*BegindatumLening&gt;0,1,0),ROW()-ROW(Lening!$9:$9),""),"")</f>
        <v/>
      </c>
      <c r="C153" s="48" t="str">
        <f>IFERROR(IF(B153="","",IF(IF(B153&lt;=AantalBetalingen,1,0)*IF(GeleendBedrag*Rentevoet*Leningjaren*BegindatumLening&gt;0,1,0),TEXT(DATE(YEAR(BegindatumLening),MONTH(BegindatumLening)+B153,DAY(BegindatumLening)),"d-m-yyyy"),""),""),"")</f>
        <v/>
      </c>
      <c r="D153" s="49" t="str">
        <f>IFERROR(IF(IF(B153="","",IF($B153&lt;=AantalBetalingen,1,0)*IF(GeleendBedrag*Rentevoet*Leningjaren*BegindatumLening&gt;0,1,0),-FV(Rentevoet/12,ROW()-ROW(Lening[[#HEADERS],[BET.NR.]])-1,PMT(Rentevoet/12,AantalBetalingen,GeleendBedrag),GeleendBedrag),""),""),"")</f>
        <v/>
      </c>
      <c r="E153" s="49" t="str">
        <f>IFERROR(IF(IF(B153="","",IF($B153&lt;=AantalBetalingen,1,0)*IF(GeleendBedrag*Rentevoet*Leningjaren*BegindatumLening&gt;0,1,0),-PMT(Rentevoet/12,AantalBetalingen,GeleendBedrag),""),""),"")</f>
        <v/>
      </c>
      <c r="F153" s="49" t="str">
        <f>IFERROR(IF(IF($B153&lt;=AantalBetalingen,1,0)*IF(GeleendBedrag*Rentevoet*Leningjaren*BegindatumLening&gt;0,1,0),-PPMT(Rentevoet/12,ROW()-ROW(Lening[[#HEADERS],[BET.NR.]]),AantalBetalingen,GeleendBedrag),""),"")</f>
        <v/>
      </c>
      <c r="G153" s="49" t="str">
        <f>IFERROR(IF(IF($B153&lt;=AantalBetalingen,1,0)*IF(GeleendBedrag*Rentevoet*Leningjaren*BegindatumLening&gt;0,1,0),-IPMT(Rentevoet/12,$B153,AantalBetalingen,GeleendBedrag),""),"")</f>
        <v/>
      </c>
      <c r="H153" s="49" t="str">
        <f>IFERROR(IF(IF(B153="","",IF($B153&lt;=AantalBetalingen,1,0)*IF(GeleendBedrag*Rentevoet*Leningjaren*BegindatumLening&gt;0,1,0),-FV(Rentevoet/12,$B153,PMT(Rentevoet/12,AantalBetalingen,GeleendBedrag),GeleendBedrag),""),""),"")</f>
        <v/>
      </c>
    </row>
    <row r="154" ht="22.5" hidden="1" customHeight="1">
      <c r="A154" s="46">
        <f>ROW()-ROW(Lening[[#HEADERS],[BET.NR.]])</f>
        <v>145</v>
      </c>
      <c r="B154" s="50" t="str">
        <f>IFERROR(IF(IF(ROW()-ROW(Lening!$9:$9)&lt;=AantalBetalingen,1,0)*IF(GeleendBedrag*Rentevoet*$D$5*BegindatumLening&gt;0,1,0),ROW()-ROW(Lening!$9:$9),""),"")</f>
        <v/>
      </c>
      <c r="C154" s="48" t="str">
        <f>IFERROR(IF(B154="","",IF(IF(B154&lt;=AantalBetalingen,1,0)*IF(GeleendBedrag*Rentevoet*Leningjaren*BegindatumLening&gt;0,1,0),TEXT(DATE(YEAR(BegindatumLening),MONTH(BegindatumLening)+B154,DAY(BegindatumLening)),"d-m-yyyy"),""),""),"")</f>
        <v/>
      </c>
      <c r="D154" s="49" t="str">
        <f>IFERROR(IF(IF(B154="","",IF($B154&lt;=AantalBetalingen,1,0)*IF(GeleendBedrag*Rentevoet*Leningjaren*BegindatumLening&gt;0,1,0),-FV(Rentevoet/12,ROW()-ROW(Lening[[#HEADERS],[BET.NR.]])-1,PMT(Rentevoet/12,AantalBetalingen,GeleendBedrag),GeleendBedrag),""),""),"")</f>
        <v/>
      </c>
      <c r="E154" s="49" t="str">
        <f>IFERROR(IF(IF(B154="","",IF($B154&lt;=AantalBetalingen,1,0)*IF(GeleendBedrag*Rentevoet*Leningjaren*BegindatumLening&gt;0,1,0),-PMT(Rentevoet/12,AantalBetalingen,GeleendBedrag),""),""),"")</f>
        <v/>
      </c>
      <c r="F154" s="49" t="str">
        <f>IFERROR(IF(IF($B154&lt;=AantalBetalingen,1,0)*IF(GeleendBedrag*Rentevoet*Leningjaren*BegindatumLening&gt;0,1,0),-PPMT(Rentevoet/12,ROW()-ROW(Lening[[#HEADERS],[BET.NR.]]),AantalBetalingen,GeleendBedrag),""),"")</f>
        <v/>
      </c>
      <c r="G154" s="49" t="str">
        <f>IFERROR(IF(IF($B154&lt;=AantalBetalingen,1,0)*IF(GeleendBedrag*Rentevoet*Leningjaren*BegindatumLening&gt;0,1,0),-IPMT(Rentevoet/12,$B154,AantalBetalingen,GeleendBedrag),""),"")</f>
        <v/>
      </c>
      <c r="H154" s="49" t="str">
        <f>IFERROR(IF(IF(B154="","",IF($B154&lt;=AantalBetalingen,1,0)*IF(GeleendBedrag*Rentevoet*Leningjaren*BegindatumLening&gt;0,1,0),-FV(Rentevoet/12,$B154,PMT(Rentevoet/12,AantalBetalingen,GeleendBedrag),GeleendBedrag),""),""),"")</f>
        <v/>
      </c>
    </row>
    <row r="155" ht="22.5" hidden="1" customHeight="1">
      <c r="A155" s="46">
        <f>ROW()-ROW(Lening[[#HEADERS],[BET.NR.]])</f>
        <v>146</v>
      </c>
      <c r="B155" s="50" t="str">
        <f>IFERROR(IF(IF(ROW()-ROW(Lening!$9:$9)&lt;=AantalBetalingen,1,0)*IF(GeleendBedrag*Rentevoet*$D$5*BegindatumLening&gt;0,1,0),ROW()-ROW(Lening!$9:$9),""),"")</f>
        <v/>
      </c>
      <c r="C155" s="48" t="str">
        <f>IFERROR(IF(B155="","",IF(IF(B155&lt;=AantalBetalingen,1,0)*IF(GeleendBedrag*Rentevoet*Leningjaren*BegindatumLening&gt;0,1,0),TEXT(DATE(YEAR(BegindatumLening),MONTH(BegindatumLening)+B155,DAY(BegindatumLening)),"d-m-yyyy"),""),""),"")</f>
        <v/>
      </c>
      <c r="D155" s="49" t="str">
        <f>IFERROR(IF(IF(B155="","",IF($B155&lt;=AantalBetalingen,1,0)*IF(GeleendBedrag*Rentevoet*Leningjaren*BegindatumLening&gt;0,1,0),-FV(Rentevoet/12,ROW()-ROW(Lening[[#HEADERS],[BET.NR.]])-1,PMT(Rentevoet/12,AantalBetalingen,GeleendBedrag),GeleendBedrag),""),""),"")</f>
        <v/>
      </c>
      <c r="E155" s="49" t="str">
        <f>IFERROR(IF(IF(B155="","",IF($B155&lt;=AantalBetalingen,1,0)*IF(GeleendBedrag*Rentevoet*Leningjaren*BegindatumLening&gt;0,1,0),-PMT(Rentevoet/12,AantalBetalingen,GeleendBedrag),""),""),"")</f>
        <v/>
      </c>
      <c r="F155" s="49" t="str">
        <f>IFERROR(IF(IF($B155&lt;=AantalBetalingen,1,0)*IF(GeleendBedrag*Rentevoet*Leningjaren*BegindatumLening&gt;0,1,0),-PPMT(Rentevoet/12,ROW()-ROW(Lening[[#HEADERS],[BET.NR.]]),AantalBetalingen,GeleendBedrag),""),"")</f>
        <v/>
      </c>
      <c r="G155" s="49" t="str">
        <f>IFERROR(IF(IF($B155&lt;=AantalBetalingen,1,0)*IF(GeleendBedrag*Rentevoet*Leningjaren*BegindatumLening&gt;0,1,0),-IPMT(Rentevoet/12,$B155,AantalBetalingen,GeleendBedrag),""),"")</f>
        <v/>
      </c>
      <c r="H155" s="49" t="str">
        <f>IFERROR(IF(IF(B155="","",IF($B155&lt;=AantalBetalingen,1,0)*IF(GeleendBedrag*Rentevoet*Leningjaren*BegindatumLening&gt;0,1,0),-FV(Rentevoet/12,$B155,PMT(Rentevoet/12,AantalBetalingen,GeleendBedrag),GeleendBedrag),""),""),"")</f>
        <v/>
      </c>
    </row>
    <row r="156" ht="22.5" hidden="1" customHeight="1">
      <c r="A156" s="46">
        <f>ROW()-ROW(Lening[[#HEADERS],[BET.NR.]])</f>
        <v>147</v>
      </c>
      <c r="B156" s="50" t="str">
        <f>IFERROR(IF(IF(ROW()-ROW(Lening!$9:$9)&lt;=AantalBetalingen,1,0)*IF(GeleendBedrag*Rentevoet*$D$5*BegindatumLening&gt;0,1,0),ROW()-ROW(Lening!$9:$9),""),"")</f>
        <v/>
      </c>
      <c r="C156" s="48" t="str">
        <f>IFERROR(IF(B156="","",IF(IF(B156&lt;=AantalBetalingen,1,0)*IF(GeleendBedrag*Rentevoet*Leningjaren*BegindatumLening&gt;0,1,0),TEXT(DATE(YEAR(BegindatumLening),MONTH(BegindatumLening)+B156,DAY(BegindatumLening)),"d-m-yyyy"),""),""),"")</f>
        <v/>
      </c>
      <c r="D156" s="49" t="str">
        <f>IFERROR(IF(IF(B156="","",IF($B156&lt;=AantalBetalingen,1,0)*IF(GeleendBedrag*Rentevoet*Leningjaren*BegindatumLening&gt;0,1,0),-FV(Rentevoet/12,ROW()-ROW(Lening[[#HEADERS],[BET.NR.]])-1,PMT(Rentevoet/12,AantalBetalingen,GeleendBedrag),GeleendBedrag),""),""),"")</f>
        <v/>
      </c>
      <c r="E156" s="49" t="str">
        <f>IFERROR(IF(IF(B156="","",IF($B156&lt;=AantalBetalingen,1,0)*IF(GeleendBedrag*Rentevoet*Leningjaren*BegindatumLening&gt;0,1,0),-PMT(Rentevoet/12,AantalBetalingen,GeleendBedrag),""),""),"")</f>
        <v/>
      </c>
      <c r="F156" s="49" t="str">
        <f>IFERROR(IF(IF($B156&lt;=AantalBetalingen,1,0)*IF(GeleendBedrag*Rentevoet*Leningjaren*BegindatumLening&gt;0,1,0),-PPMT(Rentevoet/12,ROW()-ROW(Lening[[#HEADERS],[BET.NR.]]),AantalBetalingen,GeleendBedrag),""),"")</f>
        <v/>
      </c>
      <c r="G156" s="49" t="str">
        <f>IFERROR(IF(IF($B156&lt;=AantalBetalingen,1,0)*IF(GeleendBedrag*Rentevoet*Leningjaren*BegindatumLening&gt;0,1,0),-IPMT(Rentevoet/12,$B156,AantalBetalingen,GeleendBedrag),""),"")</f>
        <v/>
      </c>
      <c r="H156" s="49" t="str">
        <f>IFERROR(IF(IF(B156="","",IF($B156&lt;=AantalBetalingen,1,0)*IF(GeleendBedrag*Rentevoet*Leningjaren*BegindatumLening&gt;0,1,0),-FV(Rentevoet/12,$B156,PMT(Rentevoet/12,AantalBetalingen,GeleendBedrag),GeleendBedrag),""),""),"")</f>
        <v/>
      </c>
    </row>
    <row r="157" ht="22.5" hidden="1" customHeight="1">
      <c r="A157" s="46">
        <f>ROW()-ROW(Lening[[#HEADERS],[BET.NR.]])</f>
        <v>148</v>
      </c>
      <c r="B157" s="50" t="str">
        <f>IFERROR(IF(IF(ROW()-ROW(Lening!$9:$9)&lt;=AantalBetalingen,1,0)*IF(GeleendBedrag*Rentevoet*$D$5*BegindatumLening&gt;0,1,0),ROW()-ROW(Lening!$9:$9),""),"")</f>
        <v/>
      </c>
      <c r="C157" s="48" t="str">
        <f>IFERROR(IF(B157="","",IF(IF(B157&lt;=AantalBetalingen,1,0)*IF(GeleendBedrag*Rentevoet*Leningjaren*BegindatumLening&gt;0,1,0),TEXT(DATE(YEAR(BegindatumLening),MONTH(BegindatumLening)+B157,DAY(BegindatumLening)),"d-m-yyyy"),""),""),"")</f>
        <v/>
      </c>
      <c r="D157" s="49" t="str">
        <f>IFERROR(IF(IF(B157="","",IF($B157&lt;=AantalBetalingen,1,0)*IF(GeleendBedrag*Rentevoet*Leningjaren*BegindatumLening&gt;0,1,0),-FV(Rentevoet/12,ROW()-ROW(Lening[[#HEADERS],[BET.NR.]])-1,PMT(Rentevoet/12,AantalBetalingen,GeleendBedrag),GeleendBedrag),""),""),"")</f>
        <v/>
      </c>
      <c r="E157" s="49" t="str">
        <f>IFERROR(IF(IF(B157="","",IF($B157&lt;=AantalBetalingen,1,0)*IF(GeleendBedrag*Rentevoet*Leningjaren*BegindatumLening&gt;0,1,0),-PMT(Rentevoet/12,AantalBetalingen,GeleendBedrag),""),""),"")</f>
        <v/>
      </c>
      <c r="F157" s="49" t="str">
        <f>IFERROR(IF(IF($B157&lt;=AantalBetalingen,1,0)*IF(GeleendBedrag*Rentevoet*Leningjaren*BegindatumLening&gt;0,1,0),-PPMT(Rentevoet/12,ROW()-ROW(Lening[[#HEADERS],[BET.NR.]]),AantalBetalingen,GeleendBedrag),""),"")</f>
        <v/>
      </c>
      <c r="G157" s="49" t="str">
        <f>IFERROR(IF(IF($B157&lt;=AantalBetalingen,1,0)*IF(GeleendBedrag*Rentevoet*Leningjaren*BegindatumLening&gt;0,1,0),-IPMT(Rentevoet/12,$B157,AantalBetalingen,GeleendBedrag),""),"")</f>
        <v/>
      </c>
      <c r="H157" s="49" t="str">
        <f>IFERROR(IF(IF(B157="","",IF($B157&lt;=AantalBetalingen,1,0)*IF(GeleendBedrag*Rentevoet*Leningjaren*BegindatumLening&gt;0,1,0),-FV(Rentevoet/12,$B157,PMT(Rentevoet/12,AantalBetalingen,GeleendBedrag),GeleendBedrag),""),""),"")</f>
        <v/>
      </c>
    </row>
    <row r="158" ht="22.5" hidden="1" customHeight="1">
      <c r="A158" s="46">
        <f>ROW()-ROW(Lening[[#HEADERS],[BET.NR.]])</f>
        <v>149</v>
      </c>
      <c r="B158" s="50" t="str">
        <f>IFERROR(IF(IF(ROW()-ROW(Lening!$9:$9)&lt;=AantalBetalingen,1,0)*IF(GeleendBedrag*Rentevoet*$D$5*BegindatumLening&gt;0,1,0),ROW()-ROW(Lening!$9:$9),""),"")</f>
        <v/>
      </c>
      <c r="C158" s="48" t="str">
        <f>IFERROR(IF(B158="","",IF(IF(B158&lt;=AantalBetalingen,1,0)*IF(GeleendBedrag*Rentevoet*Leningjaren*BegindatumLening&gt;0,1,0),TEXT(DATE(YEAR(BegindatumLening),MONTH(BegindatumLening)+B158,DAY(BegindatumLening)),"d-m-yyyy"),""),""),"")</f>
        <v/>
      </c>
      <c r="D158" s="49" t="str">
        <f>IFERROR(IF(IF(B158="","",IF($B158&lt;=AantalBetalingen,1,0)*IF(GeleendBedrag*Rentevoet*Leningjaren*BegindatumLening&gt;0,1,0),-FV(Rentevoet/12,ROW()-ROW(Lening[[#HEADERS],[BET.NR.]])-1,PMT(Rentevoet/12,AantalBetalingen,GeleendBedrag),GeleendBedrag),""),""),"")</f>
        <v/>
      </c>
      <c r="E158" s="49" t="str">
        <f>IFERROR(IF(IF(B158="","",IF($B158&lt;=AantalBetalingen,1,0)*IF(GeleendBedrag*Rentevoet*Leningjaren*BegindatumLening&gt;0,1,0),-PMT(Rentevoet/12,AantalBetalingen,GeleendBedrag),""),""),"")</f>
        <v/>
      </c>
      <c r="F158" s="49" t="str">
        <f>IFERROR(IF(IF($B158&lt;=AantalBetalingen,1,0)*IF(GeleendBedrag*Rentevoet*Leningjaren*BegindatumLening&gt;0,1,0),-PPMT(Rentevoet/12,ROW()-ROW(Lening[[#HEADERS],[BET.NR.]]),AantalBetalingen,GeleendBedrag),""),"")</f>
        <v/>
      </c>
      <c r="G158" s="49" t="str">
        <f>IFERROR(IF(IF($B158&lt;=AantalBetalingen,1,0)*IF(GeleendBedrag*Rentevoet*Leningjaren*BegindatumLening&gt;0,1,0),-IPMT(Rentevoet/12,$B158,AantalBetalingen,GeleendBedrag),""),"")</f>
        <v/>
      </c>
      <c r="H158" s="49" t="str">
        <f>IFERROR(IF(IF(B158="","",IF($B158&lt;=AantalBetalingen,1,0)*IF(GeleendBedrag*Rentevoet*Leningjaren*BegindatumLening&gt;0,1,0),-FV(Rentevoet/12,$B158,PMT(Rentevoet/12,AantalBetalingen,GeleendBedrag),GeleendBedrag),""),""),"")</f>
        <v/>
      </c>
    </row>
    <row r="159" ht="22.5" hidden="1" customHeight="1">
      <c r="A159" s="46">
        <f>ROW()-ROW(Lening[[#HEADERS],[BET.NR.]])</f>
        <v>150</v>
      </c>
      <c r="B159" s="50" t="str">
        <f>IFERROR(IF(IF(ROW()-ROW(Lening!$9:$9)&lt;=AantalBetalingen,1,0)*IF(GeleendBedrag*Rentevoet*$D$5*BegindatumLening&gt;0,1,0),ROW()-ROW(Lening!$9:$9),""),"")</f>
        <v/>
      </c>
      <c r="C159" s="48" t="str">
        <f>IFERROR(IF(B159="","",IF(IF(B159&lt;=AantalBetalingen,1,0)*IF(GeleendBedrag*Rentevoet*Leningjaren*BegindatumLening&gt;0,1,0),TEXT(DATE(YEAR(BegindatumLening),MONTH(BegindatumLening)+B159,DAY(BegindatumLening)),"d-m-yyyy"),""),""),"")</f>
        <v/>
      </c>
      <c r="D159" s="49" t="str">
        <f>IFERROR(IF(IF(B159="","",IF($B159&lt;=AantalBetalingen,1,0)*IF(GeleendBedrag*Rentevoet*Leningjaren*BegindatumLening&gt;0,1,0),-FV(Rentevoet/12,ROW()-ROW(Lening[[#HEADERS],[BET.NR.]])-1,PMT(Rentevoet/12,AantalBetalingen,GeleendBedrag),GeleendBedrag),""),""),"")</f>
        <v/>
      </c>
      <c r="E159" s="49" t="str">
        <f>IFERROR(IF(IF(B159="","",IF($B159&lt;=AantalBetalingen,1,0)*IF(GeleendBedrag*Rentevoet*Leningjaren*BegindatumLening&gt;0,1,0),-PMT(Rentevoet/12,AantalBetalingen,GeleendBedrag),""),""),"")</f>
        <v/>
      </c>
      <c r="F159" s="49" t="str">
        <f>IFERROR(IF(IF($B159&lt;=AantalBetalingen,1,0)*IF(GeleendBedrag*Rentevoet*Leningjaren*BegindatumLening&gt;0,1,0),-PPMT(Rentevoet/12,ROW()-ROW(Lening[[#HEADERS],[BET.NR.]]),AantalBetalingen,GeleendBedrag),""),"")</f>
        <v/>
      </c>
      <c r="G159" s="49" t="str">
        <f>IFERROR(IF(IF($B159&lt;=AantalBetalingen,1,0)*IF(GeleendBedrag*Rentevoet*Leningjaren*BegindatumLening&gt;0,1,0),-IPMT(Rentevoet/12,$B159,AantalBetalingen,GeleendBedrag),""),"")</f>
        <v/>
      </c>
      <c r="H159" s="49" t="str">
        <f>IFERROR(IF(IF(B159="","",IF($B159&lt;=AantalBetalingen,1,0)*IF(GeleendBedrag*Rentevoet*Leningjaren*BegindatumLening&gt;0,1,0),-FV(Rentevoet/12,$B159,PMT(Rentevoet/12,AantalBetalingen,GeleendBedrag),GeleendBedrag),""),""),"")</f>
        <v/>
      </c>
    </row>
    <row r="160" ht="22.5" hidden="1" customHeight="1">
      <c r="A160" s="46">
        <f>ROW()-ROW(Lening[[#HEADERS],[BET.NR.]])</f>
        <v>151</v>
      </c>
      <c r="B160" s="50" t="str">
        <f>IFERROR(IF(IF(ROW()-ROW(Lening!$9:$9)&lt;=AantalBetalingen,1,0)*IF(GeleendBedrag*Rentevoet*$D$5*BegindatumLening&gt;0,1,0),ROW()-ROW(Lening!$9:$9),""),"")</f>
        <v/>
      </c>
      <c r="C160" s="48" t="str">
        <f>IFERROR(IF(B160="","",IF(IF(B160&lt;=AantalBetalingen,1,0)*IF(GeleendBedrag*Rentevoet*Leningjaren*BegindatumLening&gt;0,1,0),TEXT(DATE(YEAR(BegindatumLening),MONTH(BegindatumLening)+B160,DAY(BegindatumLening)),"d-m-yyyy"),""),""),"")</f>
        <v/>
      </c>
      <c r="D160" s="49" t="str">
        <f>IFERROR(IF(IF(B160="","",IF($B160&lt;=AantalBetalingen,1,0)*IF(GeleendBedrag*Rentevoet*Leningjaren*BegindatumLening&gt;0,1,0),-FV(Rentevoet/12,ROW()-ROW(Lening[[#HEADERS],[BET.NR.]])-1,PMT(Rentevoet/12,AantalBetalingen,GeleendBedrag),GeleendBedrag),""),""),"")</f>
        <v/>
      </c>
      <c r="E160" s="49" t="str">
        <f>IFERROR(IF(IF(B160="","",IF($B160&lt;=AantalBetalingen,1,0)*IF(GeleendBedrag*Rentevoet*Leningjaren*BegindatumLening&gt;0,1,0),-PMT(Rentevoet/12,AantalBetalingen,GeleendBedrag),""),""),"")</f>
        <v/>
      </c>
      <c r="F160" s="49" t="str">
        <f>IFERROR(IF(IF($B160&lt;=AantalBetalingen,1,0)*IF(GeleendBedrag*Rentevoet*Leningjaren*BegindatumLening&gt;0,1,0),-PPMT(Rentevoet/12,ROW()-ROW(Lening[[#HEADERS],[BET.NR.]]),AantalBetalingen,GeleendBedrag),""),"")</f>
        <v/>
      </c>
      <c r="G160" s="49" t="str">
        <f>IFERROR(IF(IF($B160&lt;=AantalBetalingen,1,0)*IF(GeleendBedrag*Rentevoet*Leningjaren*BegindatumLening&gt;0,1,0),-IPMT(Rentevoet/12,$B160,AantalBetalingen,GeleendBedrag),""),"")</f>
        <v/>
      </c>
      <c r="H160" s="49" t="str">
        <f>IFERROR(IF(IF(B160="","",IF($B160&lt;=AantalBetalingen,1,0)*IF(GeleendBedrag*Rentevoet*Leningjaren*BegindatumLening&gt;0,1,0),-FV(Rentevoet/12,$B160,PMT(Rentevoet/12,AantalBetalingen,GeleendBedrag),GeleendBedrag),""),""),"")</f>
        <v/>
      </c>
    </row>
    <row r="161" ht="22.5" hidden="1" customHeight="1">
      <c r="A161" s="46">
        <f>ROW()-ROW(Lening[[#HEADERS],[BET.NR.]])</f>
        <v>152</v>
      </c>
      <c r="B161" s="50" t="str">
        <f>IFERROR(IF(IF(ROW()-ROW(Lening!$9:$9)&lt;=AantalBetalingen,1,0)*IF(GeleendBedrag*Rentevoet*$D$5*BegindatumLening&gt;0,1,0),ROW()-ROW(Lening!$9:$9),""),"")</f>
        <v/>
      </c>
      <c r="C161" s="48" t="str">
        <f>IFERROR(IF(B161="","",IF(IF(B161&lt;=AantalBetalingen,1,0)*IF(GeleendBedrag*Rentevoet*Leningjaren*BegindatumLening&gt;0,1,0),TEXT(DATE(YEAR(BegindatumLening),MONTH(BegindatumLening)+B161,DAY(BegindatumLening)),"d-m-yyyy"),""),""),"")</f>
        <v/>
      </c>
      <c r="D161" s="49" t="str">
        <f>IFERROR(IF(IF(B161="","",IF($B161&lt;=AantalBetalingen,1,0)*IF(GeleendBedrag*Rentevoet*Leningjaren*BegindatumLening&gt;0,1,0),-FV(Rentevoet/12,ROW()-ROW(Lening[[#HEADERS],[BET.NR.]])-1,PMT(Rentevoet/12,AantalBetalingen,GeleendBedrag),GeleendBedrag),""),""),"")</f>
        <v/>
      </c>
      <c r="E161" s="49" t="str">
        <f>IFERROR(IF(IF(B161="","",IF($B161&lt;=AantalBetalingen,1,0)*IF(GeleendBedrag*Rentevoet*Leningjaren*BegindatumLening&gt;0,1,0),-PMT(Rentevoet/12,AantalBetalingen,GeleendBedrag),""),""),"")</f>
        <v/>
      </c>
      <c r="F161" s="49" t="str">
        <f>IFERROR(IF(IF($B161&lt;=AantalBetalingen,1,0)*IF(GeleendBedrag*Rentevoet*Leningjaren*BegindatumLening&gt;0,1,0),-PPMT(Rentevoet/12,ROW()-ROW(Lening[[#HEADERS],[BET.NR.]]),AantalBetalingen,GeleendBedrag),""),"")</f>
        <v/>
      </c>
      <c r="G161" s="49" t="str">
        <f>IFERROR(IF(IF($B161&lt;=AantalBetalingen,1,0)*IF(GeleendBedrag*Rentevoet*Leningjaren*BegindatumLening&gt;0,1,0),-IPMT(Rentevoet/12,$B161,AantalBetalingen,GeleendBedrag),""),"")</f>
        <v/>
      </c>
      <c r="H161" s="49" t="str">
        <f>IFERROR(IF(IF(B161="","",IF($B161&lt;=AantalBetalingen,1,0)*IF(GeleendBedrag*Rentevoet*Leningjaren*BegindatumLening&gt;0,1,0),-FV(Rentevoet/12,$B161,PMT(Rentevoet/12,AantalBetalingen,GeleendBedrag),GeleendBedrag),""),""),"")</f>
        <v/>
      </c>
    </row>
    <row r="162" ht="22.5" hidden="1" customHeight="1">
      <c r="A162" s="46">
        <f>ROW()-ROW(Lening[[#HEADERS],[BET.NR.]])</f>
        <v>153</v>
      </c>
      <c r="B162" s="50" t="str">
        <f>IFERROR(IF(IF(ROW()-ROW(Lening!$9:$9)&lt;=AantalBetalingen,1,0)*IF(GeleendBedrag*Rentevoet*$D$5*BegindatumLening&gt;0,1,0),ROW()-ROW(Lening!$9:$9),""),"")</f>
        <v/>
      </c>
      <c r="C162" s="48" t="str">
        <f>IFERROR(IF(B162="","",IF(IF(B162&lt;=AantalBetalingen,1,0)*IF(GeleendBedrag*Rentevoet*Leningjaren*BegindatumLening&gt;0,1,0),TEXT(DATE(YEAR(BegindatumLening),MONTH(BegindatumLening)+B162,DAY(BegindatumLening)),"d-m-yyyy"),""),""),"")</f>
        <v/>
      </c>
      <c r="D162" s="49" t="str">
        <f>IFERROR(IF(IF(B162="","",IF($B162&lt;=AantalBetalingen,1,0)*IF(GeleendBedrag*Rentevoet*Leningjaren*BegindatumLening&gt;0,1,0),-FV(Rentevoet/12,ROW()-ROW(Lening[[#HEADERS],[BET.NR.]])-1,PMT(Rentevoet/12,AantalBetalingen,GeleendBedrag),GeleendBedrag),""),""),"")</f>
        <v/>
      </c>
      <c r="E162" s="49" t="str">
        <f>IFERROR(IF(IF(B162="","",IF($B162&lt;=AantalBetalingen,1,0)*IF(GeleendBedrag*Rentevoet*Leningjaren*BegindatumLening&gt;0,1,0),-PMT(Rentevoet/12,AantalBetalingen,GeleendBedrag),""),""),"")</f>
        <v/>
      </c>
      <c r="F162" s="49" t="str">
        <f>IFERROR(IF(IF($B162&lt;=AantalBetalingen,1,0)*IF(GeleendBedrag*Rentevoet*Leningjaren*BegindatumLening&gt;0,1,0),-PPMT(Rentevoet/12,ROW()-ROW(Lening[[#HEADERS],[BET.NR.]]),AantalBetalingen,GeleendBedrag),""),"")</f>
        <v/>
      </c>
      <c r="G162" s="49" t="str">
        <f>IFERROR(IF(IF($B162&lt;=AantalBetalingen,1,0)*IF(GeleendBedrag*Rentevoet*Leningjaren*BegindatumLening&gt;0,1,0),-IPMT(Rentevoet/12,$B162,AantalBetalingen,GeleendBedrag),""),"")</f>
        <v/>
      </c>
      <c r="H162" s="49" t="str">
        <f>IFERROR(IF(IF(B162="","",IF($B162&lt;=AantalBetalingen,1,0)*IF(GeleendBedrag*Rentevoet*Leningjaren*BegindatumLening&gt;0,1,0),-FV(Rentevoet/12,$B162,PMT(Rentevoet/12,AantalBetalingen,GeleendBedrag),GeleendBedrag),""),""),"")</f>
        <v/>
      </c>
    </row>
    <row r="163" ht="22.5" hidden="1" customHeight="1">
      <c r="A163" s="46">
        <f>ROW()-ROW(Lening[[#HEADERS],[BET.NR.]])</f>
        <v>154</v>
      </c>
      <c r="B163" s="50" t="str">
        <f>IFERROR(IF(IF(ROW()-ROW(Lening!$9:$9)&lt;=AantalBetalingen,1,0)*IF(GeleendBedrag*Rentevoet*$D$5*BegindatumLening&gt;0,1,0),ROW()-ROW(Lening!$9:$9),""),"")</f>
        <v/>
      </c>
      <c r="C163" s="48" t="str">
        <f>IFERROR(IF(B163="","",IF(IF(B163&lt;=AantalBetalingen,1,0)*IF(GeleendBedrag*Rentevoet*Leningjaren*BegindatumLening&gt;0,1,0),TEXT(DATE(YEAR(BegindatumLening),MONTH(BegindatumLening)+B163,DAY(BegindatumLening)),"d-m-yyyy"),""),""),"")</f>
        <v/>
      </c>
      <c r="D163" s="49" t="str">
        <f>IFERROR(IF(IF(B163="","",IF($B163&lt;=AantalBetalingen,1,0)*IF(GeleendBedrag*Rentevoet*Leningjaren*BegindatumLening&gt;0,1,0),-FV(Rentevoet/12,ROW()-ROW(Lening[[#HEADERS],[BET.NR.]])-1,PMT(Rentevoet/12,AantalBetalingen,GeleendBedrag),GeleendBedrag),""),""),"")</f>
        <v/>
      </c>
      <c r="E163" s="49" t="str">
        <f>IFERROR(IF(IF(B163="","",IF($B163&lt;=AantalBetalingen,1,0)*IF(GeleendBedrag*Rentevoet*Leningjaren*BegindatumLening&gt;0,1,0),-PMT(Rentevoet/12,AantalBetalingen,GeleendBedrag),""),""),"")</f>
        <v/>
      </c>
      <c r="F163" s="49" t="str">
        <f>IFERROR(IF(IF($B163&lt;=AantalBetalingen,1,0)*IF(GeleendBedrag*Rentevoet*Leningjaren*BegindatumLening&gt;0,1,0),-PPMT(Rentevoet/12,ROW()-ROW(Lening[[#HEADERS],[BET.NR.]]),AantalBetalingen,GeleendBedrag),""),"")</f>
        <v/>
      </c>
      <c r="G163" s="49" t="str">
        <f>IFERROR(IF(IF($B163&lt;=AantalBetalingen,1,0)*IF(GeleendBedrag*Rentevoet*Leningjaren*BegindatumLening&gt;0,1,0),-IPMT(Rentevoet/12,$B163,AantalBetalingen,GeleendBedrag),""),"")</f>
        <v/>
      </c>
      <c r="H163" s="49" t="str">
        <f>IFERROR(IF(IF(B163="","",IF($B163&lt;=AantalBetalingen,1,0)*IF(GeleendBedrag*Rentevoet*Leningjaren*BegindatumLening&gt;0,1,0),-FV(Rentevoet/12,$B163,PMT(Rentevoet/12,AantalBetalingen,GeleendBedrag),GeleendBedrag),""),""),"")</f>
        <v/>
      </c>
    </row>
    <row r="164" ht="22.5" hidden="1" customHeight="1">
      <c r="A164" s="46">
        <f>ROW()-ROW(Lening[[#HEADERS],[BET.NR.]])</f>
        <v>155</v>
      </c>
      <c r="B164" s="50" t="str">
        <f>IFERROR(IF(IF(ROW()-ROW(Lening!$9:$9)&lt;=AantalBetalingen,1,0)*IF(GeleendBedrag*Rentevoet*$D$5*BegindatumLening&gt;0,1,0),ROW()-ROW(Lening!$9:$9),""),"")</f>
        <v/>
      </c>
      <c r="C164" s="48" t="str">
        <f>IFERROR(IF(B164="","",IF(IF(B164&lt;=AantalBetalingen,1,0)*IF(GeleendBedrag*Rentevoet*Leningjaren*BegindatumLening&gt;0,1,0),TEXT(DATE(YEAR(BegindatumLening),MONTH(BegindatumLening)+B164,DAY(BegindatumLening)),"d-m-yyyy"),""),""),"")</f>
        <v/>
      </c>
      <c r="D164" s="49" t="str">
        <f>IFERROR(IF(IF(B164="","",IF($B164&lt;=AantalBetalingen,1,0)*IF(GeleendBedrag*Rentevoet*Leningjaren*BegindatumLening&gt;0,1,0),-FV(Rentevoet/12,ROW()-ROW(Lening[[#HEADERS],[BET.NR.]])-1,PMT(Rentevoet/12,AantalBetalingen,GeleendBedrag),GeleendBedrag),""),""),"")</f>
        <v/>
      </c>
      <c r="E164" s="49" t="str">
        <f>IFERROR(IF(IF(B164="","",IF($B164&lt;=AantalBetalingen,1,0)*IF(GeleendBedrag*Rentevoet*Leningjaren*BegindatumLening&gt;0,1,0),-PMT(Rentevoet/12,AantalBetalingen,GeleendBedrag),""),""),"")</f>
        <v/>
      </c>
      <c r="F164" s="49" t="str">
        <f>IFERROR(IF(IF($B164&lt;=AantalBetalingen,1,0)*IF(GeleendBedrag*Rentevoet*Leningjaren*BegindatumLening&gt;0,1,0),-PPMT(Rentevoet/12,ROW()-ROW(Lening[[#HEADERS],[BET.NR.]]),AantalBetalingen,GeleendBedrag),""),"")</f>
        <v/>
      </c>
      <c r="G164" s="49" t="str">
        <f>IFERROR(IF(IF($B164&lt;=AantalBetalingen,1,0)*IF(GeleendBedrag*Rentevoet*Leningjaren*BegindatumLening&gt;0,1,0),-IPMT(Rentevoet/12,$B164,AantalBetalingen,GeleendBedrag),""),"")</f>
        <v/>
      </c>
      <c r="H164" s="49" t="str">
        <f>IFERROR(IF(IF(B164="","",IF($B164&lt;=AantalBetalingen,1,0)*IF(GeleendBedrag*Rentevoet*Leningjaren*BegindatumLening&gt;0,1,0),-FV(Rentevoet/12,$B164,PMT(Rentevoet/12,AantalBetalingen,GeleendBedrag),GeleendBedrag),""),""),"")</f>
        <v/>
      </c>
    </row>
    <row r="165" ht="22.5" hidden="1" customHeight="1">
      <c r="A165" s="46">
        <f>ROW()-ROW(Lening[[#HEADERS],[BET.NR.]])</f>
        <v>156</v>
      </c>
      <c r="B165" s="50" t="str">
        <f>IFERROR(IF(IF(ROW()-ROW(Lening!$9:$9)&lt;=AantalBetalingen,1,0)*IF(GeleendBedrag*Rentevoet*$D$5*BegindatumLening&gt;0,1,0),ROW()-ROW(Lening!$9:$9),""),"")</f>
        <v/>
      </c>
      <c r="C165" s="48" t="str">
        <f>IFERROR(IF(B165="","",IF(IF(B165&lt;=AantalBetalingen,1,0)*IF(GeleendBedrag*Rentevoet*Leningjaren*BegindatumLening&gt;0,1,0),TEXT(DATE(YEAR(BegindatumLening),MONTH(BegindatumLening)+B165,DAY(BegindatumLening)),"d-m-yyyy"),""),""),"")</f>
        <v/>
      </c>
      <c r="D165" s="49" t="str">
        <f>IFERROR(IF(IF(B165="","",IF($B165&lt;=AantalBetalingen,1,0)*IF(GeleendBedrag*Rentevoet*Leningjaren*BegindatumLening&gt;0,1,0),-FV(Rentevoet/12,ROW()-ROW(Lening[[#HEADERS],[BET.NR.]])-1,PMT(Rentevoet/12,AantalBetalingen,GeleendBedrag),GeleendBedrag),""),""),"")</f>
        <v/>
      </c>
      <c r="E165" s="49" t="str">
        <f>IFERROR(IF(IF(B165="","",IF($B165&lt;=AantalBetalingen,1,0)*IF(GeleendBedrag*Rentevoet*Leningjaren*BegindatumLening&gt;0,1,0),-PMT(Rentevoet/12,AantalBetalingen,GeleendBedrag),""),""),"")</f>
        <v/>
      </c>
      <c r="F165" s="49" t="str">
        <f>IFERROR(IF(IF($B165&lt;=AantalBetalingen,1,0)*IF(GeleendBedrag*Rentevoet*Leningjaren*BegindatumLening&gt;0,1,0),-PPMT(Rentevoet/12,ROW()-ROW(Lening[[#HEADERS],[BET.NR.]]),AantalBetalingen,GeleendBedrag),""),"")</f>
        <v/>
      </c>
      <c r="G165" s="49" t="str">
        <f>IFERROR(IF(IF($B165&lt;=AantalBetalingen,1,0)*IF(GeleendBedrag*Rentevoet*Leningjaren*BegindatumLening&gt;0,1,0),-IPMT(Rentevoet/12,$B165,AantalBetalingen,GeleendBedrag),""),"")</f>
        <v/>
      </c>
      <c r="H165" s="49" t="str">
        <f>IFERROR(IF(IF(B165="","",IF($B165&lt;=AantalBetalingen,1,0)*IF(GeleendBedrag*Rentevoet*Leningjaren*BegindatumLening&gt;0,1,0),-FV(Rentevoet/12,$B165,PMT(Rentevoet/12,AantalBetalingen,GeleendBedrag),GeleendBedrag),""),""),"")</f>
        <v/>
      </c>
    </row>
    <row r="166" ht="22.5" hidden="1" customHeight="1">
      <c r="A166" s="46">
        <f>ROW()-ROW(Lening[[#HEADERS],[BET.NR.]])</f>
        <v>157</v>
      </c>
      <c r="B166" s="50" t="str">
        <f>IFERROR(IF(IF(ROW()-ROW(Lening!$9:$9)&lt;=AantalBetalingen,1,0)*IF(GeleendBedrag*Rentevoet*$D$5*BegindatumLening&gt;0,1,0),ROW()-ROW(Lening!$9:$9),""),"")</f>
        <v/>
      </c>
      <c r="C166" s="48" t="str">
        <f>IFERROR(IF(B166="","",IF(IF(B166&lt;=AantalBetalingen,1,0)*IF(GeleendBedrag*Rentevoet*Leningjaren*BegindatumLening&gt;0,1,0),TEXT(DATE(YEAR(BegindatumLening),MONTH(BegindatumLening)+B166,DAY(BegindatumLening)),"d-m-yyyy"),""),""),"")</f>
        <v/>
      </c>
      <c r="D166" s="49" t="str">
        <f>IFERROR(IF(IF(B166="","",IF($B166&lt;=AantalBetalingen,1,0)*IF(GeleendBedrag*Rentevoet*Leningjaren*BegindatumLening&gt;0,1,0),-FV(Rentevoet/12,ROW()-ROW(Lening[[#HEADERS],[BET.NR.]])-1,PMT(Rentevoet/12,AantalBetalingen,GeleendBedrag),GeleendBedrag),""),""),"")</f>
        <v/>
      </c>
      <c r="E166" s="49" t="str">
        <f>IFERROR(IF(IF(B166="","",IF($B166&lt;=AantalBetalingen,1,0)*IF(GeleendBedrag*Rentevoet*Leningjaren*BegindatumLening&gt;0,1,0),-PMT(Rentevoet/12,AantalBetalingen,GeleendBedrag),""),""),"")</f>
        <v/>
      </c>
      <c r="F166" s="49" t="str">
        <f>IFERROR(IF(IF($B166&lt;=AantalBetalingen,1,0)*IF(GeleendBedrag*Rentevoet*Leningjaren*BegindatumLening&gt;0,1,0),-PPMT(Rentevoet/12,ROW()-ROW(Lening[[#HEADERS],[BET.NR.]]),AantalBetalingen,GeleendBedrag),""),"")</f>
        <v/>
      </c>
      <c r="G166" s="49" t="str">
        <f>IFERROR(IF(IF($B166&lt;=AantalBetalingen,1,0)*IF(GeleendBedrag*Rentevoet*Leningjaren*BegindatumLening&gt;0,1,0),-IPMT(Rentevoet/12,$B166,AantalBetalingen,GeleendBedrag),""),"")</f>
        <v/>
      </c>
      <c r="H166" s="49" t="str">
        <f>IFERROR(IF(IF(B166="","",IF($B166&lt;=AantalBetalingen,1,0)*IF(GeleendBedrag*Rentevoet*Leningjaren*BegindatumLening&gt;0,1,0),-FV(Rentevoet/12,$B166,PMT(Rentevoet/12,AantalBetalingen,GeleendBedrag),GeleendBedrag),""),""),"")</f>
        <v/>
      </c>
    </row>
    <row r="167" ht="22.5" hidden="1" customHeight="1">
      <c r="A167" s="46">
        <f>ROW()-ROW(Lening[[#HEADERS],[BET.NR.]])</f>
        <v>158</v>
      </c>
      <c r="B167" s="50" t="str">
        <f>IFERROR(IF(IF(ROW()-ROW(Lening!$9:$9)&lt;=AantalBetalingen,1,0)*IF(GeleendBedrag*Rentevoet*$D$5*BegindatumLening&gt;0,1,0),ROW()-ROW(Lening!$9:$9),""),"")</f>
        <v/>
      </c>
      <c r="C167" s="48" t="str">
        <f>IFERROR(IF(B167="","",IF(IF(B167&lt;=AantalBetalingen,1,0)*IF(GeleendBedrag*Rentevoet*Leningjaren*BegindatumLening&gt;0,1,0),TEXT(DATE(YEAR(BegindatumLening),MONTH(BegindatumLening)+B167,DAY(BegindatumLening)),"d-m-yyyy"),""),""),"")</f>
        <v/>
      </c>
      <c r="D167" s="49" t="str">
        <f>IFERROR(IF(IF(B167="","",IF($B167&lt;=AantalBetalingen,1,0)*IF(GeleendBedrag*Rentevoet*Leningjaren*BegindatumLening&gt;0,1,0),-FV(Rentevoet/12,ROW()-ROW(Lening[[#HEADERS],[BET.NR.]])-1,PMT(Rentevoet/12,AantalBetalingen,GeleendBedrag),GeleendBedrag),""),""),"")</f>
        <v/>
      </c>
      <c r="E167" s="49" t="str">
        <f>IFERROR(IF(IF(B167="","",IF($B167&lt;=AantalBetalingen,1,0)*IF(GeleendBedrag*Rentevoet*Leningjaren*BegindatumLening&gt;0,1,0),-PMT(Rentevoet/12,AantalBetalingen,GeleendBedrag),""),""),"")</f>
        <v/>
      </c>
      <c r="F167" s="49" t="str">
        <f>IFERROR(IF(IF($B167&lt;=AantalBetalingen,1,0)*IF(GeleendBedrag*Rentevoet*Leningjaren*BegindatumLening&gt;0,1,0),-PPMT(Rentevoet/12,ROW()-ROW(Lening[[#HEADERS],[BET.NR.]]),AantalBetalingen,GeleendBedrag),""),"")</f>
        <v/>
      </c>
      <c r="G167" s="49" t="str">
        <f>IFERROR(IF(IF($B167&lt;=AantalBetalingen,1,0)*IF(GeleendBedrag*Rentevoet*Leningjaren*BegindatumLening&gt;0,1,0),-IPMT(Rentevoet/12,$B167,AantalBetalingen,GeleendBedrag),""),"")</f>
        <v/>
      </c>
      <c r="H167" s="49" t="str">
        <f>IFERROR(IF(IF(B167="","",IF($B167&lt;=AantalBetalingen,1,0)*IF(GeleendBedrag*Rentevoet*Leningjaren*BegindatumLening&gt;0,1,0),-FV(Rentevoet/12,$B167,PMT(Rentevoet/12,AantalBetalingen,GeleendBedrag),GeleendBedrag),""),""),"")</f>
        <v/>
      </c>
    </row>
    <row r="168" ht="22.5" hidden="1" customHeight="1">
      <c r="A168" s="46">
        <f>ROW()-ROW(Lening[[#HEADERS],[BET.NR.]])</f>
        <v>159</v>
      </c>
      <c r="B168" s="50" t="str">
        <f>IFERROR(IF(IF(ROW()-ROW(Lening!$9:$9)&lt;=AantalBetalingen,1,0)*IF(GeleendBedrag*Rentevoet*$D$5*BegindatumLening&gt;0,1,0),ROW()-ROW(Lening!$9:$9),""),"")</f>
        <v/>
      </c>
      <c r="C168" s="48" t="str">
        <f>IFERROR(IF(B168="","",IF(IF(B168&lt;=AantalBetalingen,1,0)*IF(GeleendBedrag*Rentevoet*Leningjaren*BegindatumLening&gt;0,1,0),TEXT(DATE(YEAR(BegindatumLening),MONTH(BegindatumLening)+B168,DAY(BegindatumLening)),"d-m-yyyy"),""),""),"")</f>
        <v/>
      </c>
      <c r="D168" s="49" t="str">
        <f>IFERROR(IF(IF(B168="","",IF($B168&lt;=AantalBetalingen,1,0)*IF(GeleendBedrag*Rentevoet*Leningjaren*BegindatumLening&gt;0,1,0),-FV(Rentevoet/12,ROW()-ROW(Lening[[#HEADERS],[BET.NR.]])-1,PMT(Rentevoet/12,AantalBetalingen,GeleendBedrag),GeleendBedrag),""),""),"")</f>
        <v/>
      </c>
      <c r="E168" s="49" t="str">
        <f>IFERROR(IF(IF(B168="","",IF($B168&lt;=AantalBetalingen,1,0)*IF(GeleendBedrag*Rentevoet*Leningjaren*BegindatumLening&gt;0,1,0),-PMT(Rentevoet/12,AantalBetalingen,GeleendBedrag),""),""),"")</f>
        <v/>
      </c>
      <c r="F168" s="49" t="str">
        <f>IFERROR(IF(IF($B168&lt;=AantalBetalingen,1,0)*IF(GeleendBedrag*Rentevoet*Leningjaren*BegindatumLening&gt;0,1,0),-PPMT(Rentevoet/12,ROW()-ROW(Lening[[#HEADERS],[BET.NR.]]),AantalBetalingen,GeleendBedrag),""),"")</f>
        <v/>
      </c>
      <c r="G168" s="49" t="str">
        <f>IFERROR(IF(IF($B168&lt;=AantalBetalingen,1,0)*IF(GeleendBedrag*Rentevoet*Leningjaren*BegindatumLening&gt;0,1,0),-IPMT(Rentevoet/12,$B168,AantalBetalingen,GeleendBedrag),""),"")</f>
        <v/>
      </c>
      <c r="H168" s="49" t="str">
        <f>IFERROR(IF(IF(B168="","",IF($B168&lt;=AantalBetalingen,1,0)*IF(GeleendBedrag*Rentevoet*Leningjaren*BegindatumLening&gt;0,1,0),-FV(Rentevoet/12,$B168,PMT(Rentevoet/12,AantalBetalingen,GeleendBedrag),GeleendBedrag),""),""),"")</f>
        <v/>
      </c>
    </row>
    <row r="169" ht="22.5" hidden="1" customHeight="1">
      <c r="A169" s="46">
        <f>ROW()-ROW(Lening[[#HEADERS],[BET.NR.]])</f>
        <v>160</v>
      </c>
      <c r="B169" s="50" t="str">
        <f>IFERROR(IF(IF(ROW()-ROW(Lening!$9:$9)&lt;=AantalBetalingen,1,0)*IF(GeleendBedrag*Rentevoet*$D$5*BegindatumLening&gt;0,1,0),ROW()-ROW(Lening!$9:$9),""),"")</f>
        <v/>
      </c>
      <c r="C169" s="48" t="str">
        <f>IFERROR(IF(B169="","",IF(IF(B169&lt;=AantalBetalingen,1,0)*IF(GeleendBedrag*Rentevoet*Leningjaren*BegindatumLening&gt;0,1,0),TEXT(DATE(YEAR(BegindatumLening),MONTH(BegindatumLening)+B169,DAY(BegindatumLening)),"d-m-yyyy"),""),""),"")</f>
        <v/>
      </c>
      <c r="D169" s="49" t="str">
        <f>IFERROR(IF(IF(B169="","",IF($B169&lt;=AantalBetalingen,1,0)*IF(GeleendBedrag*Rentevoet*Leningjaren*BegindatumLening&gt;0,1,0),-FV(Rentevoet/12,ROW()-ROW(Lening[[#HEADERS],[BET.NR.]])-1,PMT(Rentevoet/12,AantalBetalingen,GeleendBedrag),GeleendBedrag),""),""),"")</f>
        <v/>
      </c>
      <c r="E169" s="49" t="str">
        <f>IFERROR(IF(IF(B169="","",IF($B169&lt;=AantalBetalingen,1,0)*IF(GeleendBedrag*Rentevoet*Leningjaren*BegindatumLening&gt;0,1,0),-PMT(Rentevoet/12,AantalBetalingen,GeleendBedrag),""),""),"")</f>
        <v/>
      </c>
      <c r="F169" s="49" t="str">
        <f>IFERROR(IF(IF($B169&lt;=AantalBetalingen,1,0)*IF(GeleendBedrag*Rentevoet*Leningjaren*BegindatumLening&gt;0,1,0),-PPMT(Rentevoet/12,ROW()-ROW(Lening[[#HEADERS],[BET.NR.]]),AantalBetalingen,GeleendBedrag),""),"")</f>
        <v/>
      </c>
      <c r="G169" s="49" t="str">
        <f>IFERROR(IF(IF($B169&lt;=AantalBetalingen,1,0)*IF(GeleendBedrag*Rentevoet*Leningjaren*BegindatumLening&gt;0,1,0),-IPMT(Rentevoet/12,$B169,AantalBetalingen,GeleendBedrag),""),"")</f>
        <v/>
      </c>
      <c r="H169" s="49" t="str">
        <f>IFERROR(IF(IF(B169="","",IF($B169&lt;=AantalBetalingen,1,0)*IF(GeleendBedrag*Rentevoet*Leningjaren*BegindatumLening&gt;0,1,0),-FV(Rentevoet/12,$B169,PMT(Rentevoet/12,AantalBetalingen,GeleendBedrag),GeleendBedrag),""),""),"")</f>
        <v/>
      </c>
    </row>
    <row r="170" ht="22.5" hidden="1" customHeight="1">
      <c r="A170" s="46">
        <f>ROW()-ROW(Lening[[#HEADERS],[BET.NR.]])</f>
        <v>161</v>
      </c>
      <c r="B170" s="50" t="str">
        <f>IFERROR(IF(IF(ROW()-ROW(Lening!$9:$9)&lt;=AantalBetalingen,1,0)*IF(GeleendBedrag*Rentevoet*$D$5*BegindatumLening&gt;0,1,0),ROW()-ROW(Lening!$9:$9),""),"")</f>
        <v/>
      </c>
      <c r="C170" s="48" t="str">
        <f>IFERROR(IF(B170="","",IF(IF(B170&lt;=AantalBetalingen,1,0)*IF(GeleendBedrag*Rentevoet*Leningjaren*BegindatumLening&gt;0,1,0),TEXT(DATE(YEAR(BegindatumLening),MONTH(BegindatumLening)+B170,DAY(BegindatumLening)),"d-m-yyyy"),""),""),"")</f>
        <v/>
      </c>
      <c r="D170" s="49" t="str">
        <f>IFERROR(IF(IF(B170="","",IF($B170&lt;=AantalBetalingen,1,0)*IF(GeleendBedrag*Rentevoet*Leningjaren*BegindatumLening&gt;0,1,0),-FV(Rentevoet/12,ROW()-ROW(Lening[[#HEADERS],[BET.NR.]])-1,PMT(Rentevoet/12,AantalBetalingen,GeleendBedrag),GeleendBedrag),""),""),"")</f>
        <v/>
      </c>
      <c r="E170" s="49" t="str">
        <f>IFERROR(IF(IF(B170="","",IF($B170&lt;=AantalBetalingen,1,0)*IF(GeleendBedrag*Rentevoet*Leningjaren*BegindatumLening&gt;0,1,0),-PMT(Rentevoet/12,AantalBetalingen,GeleendBedrag),""),""),"")</f>
        <v/>
      </c>
      <c r="F170" s="49" t="str">
        <f>IFERROR(IF(IF($B170&lt;=AantalBetalingen,1,0)*IF(GeleendBedrag*Rentevoet*Leningjaren*BegindatumLening&gt;0,1,0),-PPMT(Rentevoet/12,ROW()-ROW(Lening[[#HEADERS],[BET.NR.]]),AantalBetalingen,GeleendBedrag),""),"")</f>
        <v/>
      </c>
      <c r="G170" s="49" t="str">
        <f>IFERROR(IF(IF($B170&lt;=AantalBetalingen,1,0)*IF(GeleendBedrag*Rentevoet*Leningjaren*BegindatumLening&gt;0,1,0),-IPMT(Rentevoet/12,$B170,AantalBetalingen,GeleendBedrag),""),"")</f>
        <v/>
      </c>
      <c r="H170" s="49" t="str">
        <f>IFERROR(IF(IF(B170="","",IF($B170&lt;=AantalBetalingen,1,0)*IF(GeleendBedrag*Rentevoet*Leningjaren*BegindatumLening&gt;0,1,0),-FV(Rentevoet/12,$B170,PMT(Rentevoet/12,AantalBetalingen,GeleendBedrag),GeleendBedrag),""),""),"")</f>
        <v/>
      </c>
    </row>
    <row r="171" ht="22.5" hidden="1" customHeight="1">
      <c r="A171" s="46">
        <f>ROW()-ROW(Lening[[#HEADERS],[BET.NR.]])</f>
        <v>162</v>
      </c>
      <c r="B171" s="50" t="str">
        <f>IFERROR(IF(IF(ROW()-ROW(Lening!$9:$9)&lt;=AantalBetalingen,1,0)*IF(GeleendBedrag*Rentevoet*$D$5*BegindatumLening&gt;0,1,0),ROW()-ROW(Lening!$9:$9),""),"")</f>
        <v/>
      </c>
      <c r="C171" s="48" t="str">
        <f>IFERROR(IF(B171="","",IF(IF(B171&lt;=AantalBetalingen,1,0)*IF(GeleendBedrag*Rentevoet*Leningjaren*BegindatumLening&gt;0,1,0),TEXT(DATE(YEAR(BegindatumLening),MONTH(BegindatumLening)+B171,DAY(BegindatumLening)),"d-m-yyyy"),""),""),"")</f>
        <v/>
      </c>
      <c r="D171" s="49" t="str">
        <f>IFERROR(IF(IF(B171="","",IF($B171&lt;=AantalBetalingen,1,0)*IF(GeleendBedrag*Rentevoet*Leningjaren*BegindatumLening&gt;0,1,0),-FV(Rentevoet/12,ROW()-ROW(Lening[[#HEADERS],[BET.NR.]])-1,PMT(Rentevoet/12,AantalBetalingen,GeleendBedrag),GeleendBedrag),""),""),"")</f>
        <v/>
      </c>
      <c r="E171" s="49" t="str">
        <f>IFERROR(IF(IF(B171="","",IF($B171&lt;=AantalBetalingen,1,0)*IF(GeleendBedrag*Rentevoet*Leningjaren*BegindatumLening&gt;0,1,0),-PMT(Rentevoet/12,AantalBetalingen,GeleendBedrag),""),""),"")</f>
        <v/>
      </c>
      <c r="F171" s="49" t="str">
        <f>IFERROR(IF(IF($B171&lt;=AantalBetalingen,1,0)*IF(GeleendBedrag*Rentevoet*Leningjaren*BegindatumLening&gt;0,1,0),-PPMT(Rentevoet/12,ROW()-ROW(Lening[[#HEADERS],[BET.NR.]]),AantalBetalingen,GeleendBedrag),""),"")</f>
        <v/>
      </c>
      <c r="G171" s="49" t="str">
        <f>IFERROR(IF(IF($B171&lt;=AantalBetalingen,1,0)*IF(GeleendBedrag*Rentevoet*Leningjaren*BegindatumLening&gt;0,1,0),-IPMT(Rentevoet/12,$B171,AantalBetalingen,GeleendBedrag),""),"")</f>
        <v/>
      </c>
      <c r="H171" s="49" t="str">
        <f>IFERROR(IF(IF(B171="","",IF($B171&lt;=AantalBetalingen,1,0)*IF(GeleendBedrag*Rentevoet*Leningjaren*BegindatumLening&gt;0,1,0),-FV(Rentevoet/12,$B171,PMT(Rentevoet/12,AantalBetalingen,GeleendBedrag),GeleendBedrag),""),""),"")</f>
        <v/>
      </c>
    </row>
    <row r="172" ht="22.5" hidden="1" customHeight="1">
      <c r="A172" s="46">
        <f>ROW()-ROW(Lening[[#HEADERS],[BET.NR.]])</f>
        <v>163</v>
      </c>
      <c r="B172" s="50" t="str">
        <f>IFERROR(IF(IF(ROW()-ROW(Lening!$9:$9)&lt;=AantalBetalingen,1,0)*IF(GeleendBedrag*Rentevoet*$D$5*BegindatumLening&gt;0,1,0),ROW()-ROW(Lening!$9:$9),""),"")</f>
        <v/>
      </c>
      <c r="C172" s="48" t="str">
        <f>IFERROR(IF(B172="","",IF(IF(B172&lt;=AantalBetalingen,1,0)*IF(GeleendBedrag*Rentevoet*Leningjaren*BegindatumLening&gt;0,1,0),TEXT(DATE(YEAR(BegindatumLening),MONTH(BegindatumLening)+B172,DAY(BegindatumLening)),"d-m-yyyy"),""),""),"")</f>
        <v/>
      </c>
      <c r="D172" s="49" t="str">
        <f>IFERROR(IF(IF(B172="","",IF($B172&lt;=AantalBetalingen,1,0)*IF(GeleendBedrag*Rentevoet*Leningjaren*BegindatumLening&gt;0,1,0),-FV(Rentevoet/12,ROW()-ROW(Lening[[#HEADERS],[BET.NR.]])-1,PMT(Rentevoet/12,AantalBetalingen,GeleendBedrag),GeleendBedrag),""),""),"")</f>
        <v/>
      </c>
      <c r="E172" s="49" t="str">
        <f>IFERROR(IF(IF(B172="","",IF($B172&lt;=AantalBetalingen,1,0)*IF(GeleendBedrag*Rentevoet*Leningjaren*BegindatumLening&gt;0,1,0),-PMT(Rentevoet/12,AantalBetalingen,GeleendBedrag),""),""),"")</f>
        <v/>
      </c>
      <c r="F172" s="49" t="str">
        <f>IFERROR(IF(IF($B172&lt;=AantalBetalingen,1,0)*IF(GeleendBedrag*Rentevoet*Leningjaren*BegindatumLening&gt;0,1,0),-PPMT(Rentevoet/12,ROW()-ROW(Lening[[#HEADERS],[BET.NR.]]),AantalBetalingen,GeleendBedrag),""),"")</f>
        <v/>
      </c>
      <c r="G172" s="49" t="str">
        <f>IFERROR(IF(IF($B172&lt;=AantalBetalingen,1,0)*IF(GeleendBedrag*Rentevoet*Leningjaren*BegindatumLening&gt;0,1,0),-IPMT(Rentevoet/12,$B172,AantalBetalingen,GeleendBedrag),""),"")</f>
        <v/>
      </c>
      <c r="H172" s="49" t="str">
        <f>IFERROR(IF(IF(B172="","",IF($B172&lt;=AantalBetalingen,1,0)*IF(GeleendBedrag*Rentevoet*Leningjaren*BegindatumLening&gt;0,1,0),-FV(Rentevoet/12,$B172,PMT(Rentevoet/12,AantalBetalingen,GeleendBedrag),GeleendBedrag),""),""),"")</f>
        <v/>
      </c>
    </row>
    <row r="173" ht="22.5" hidden="1" customHeight="1">
      <c r="A173" s="46">
        <f>ROW()-ROW(Lening[[#HEADERS],[BET.NR.]])</f>
        <v>164</v>
      </c>
      <c r="B173" s="50" t="str">
        <f>IFERROR(IF(IF(ROW()-ROW(Lening!$9:$9)&lt;=AantalBetalingen,1,0)*IF(GeleendBedrag*Rentevoet*$D$5*BegindatumLening&gt;0,1,0),ROW()-ROW(Lening!$9:$9),""),"")</f>
        <v/>
      </c>
      <c r="C173" s="48" t="str">
        <f>IFERROR(IF(B173="","",IF(IF(B173&lt;=AantalBetalingen,1,0)*IF(GeleendBedrag*Rentevoet*Leningjaren*BegindatumLening&gt;0,1,0),TEXT(DATE(YEAR(BegindatumLening),MONTH(BegindatumLening)+B173,DAY(BegindatumLening)),"d-m-yyyy"),""),""),"")</f>
        <v/>
      </c>
      <c r="D173" s="49" t="str">
        <f>IFERROR(IF(IF(B173="","",IF($B173&lt;=AantalBetalingen,1,0)*IF(GeleendBedrag*Rentevoet*Leningjaren*BegindatumLening&gt;0,1,0),-FV(Rentevoet/12,ROW()-ROW(Lening[[#HEADERS],[BET.NR.]])-1,PMT(Rentevoet/12,AantalBetalingen,GeleendBedrag),GeleendBedrag),""),""),"")</f>
        <v/>
      </c>
      <c r="E173" s="49" t="str">
        <f>IFERROR(IF(IF(B173="","",IF($B173&lt;=AantalBetalingen,1,0)*IF(GeleendBedrag*Rentevoet*Leningjaren*BegindatumLening&gt;0,1,0),-PMT(Rentevoet/12,AantalBetalingen,GeleendBedrag),""),""),"")</f>
        <v/>
      </c>
      <c r="F173" s="49" t="str">
        <f>IFERROR(IF(IF($B173&lt;=AantalBetalingen,1,0)*IF(GeleendBedrag*Rentevoet*Leningjaren*BegindatumLening&gt;0,1,0),-PPMT(Rentevoet/12,ROW()-ROW(Lening[[#HEADERS],[BET.NR.]]),AantalBetalingen,GeleendBedrag),""),"")</f>
        <v/>
      </c>
      <c r="G173" s="49" t="str">
        <f>IFERROR(IF(IF($B173&lt;=AantalBetalingen,1,0)*IF(GeleendBedrag*Rentevoet*Leningjaren*BegindatumLening&gt;0,1,0),-IPMT(Rentevoet/12,$B173,AantalBetalingen,GeleendBedrag),""),"")</f>
        <v/>
      </c>
      <c r="H173" s="49" t="str">
        <f>IFERROR(IF(IF(B173="","",IF($B173&lt;=AantalBetalingen,1,0)*IF(GeleendBedrag*Rentevoet*Leningjaren*BegindatumLening&gt;0,1,0),-FV(Rentevoet/12,$B173,PMT(Rentevoet/12,AantalBetalingen,GeleendBedrag),GeleendBedrag),""),""),"")</f>
        <v/>
      </c>
    </row>
    <row r="174" ht="22.5" hidden="1" customHeight="1">
      <c r="A174" s="46">
        <f>ROW()-ROW(Lening[[#HEADERS],[BET.NR.]])</f>
        <v>165</v>
      </c>
      <c r="B174" s="50" t="str">
        <f>IFERROR(IF(IF(ROW()-ROW(Lening!$9:$9)&lt;=AantalBetalingen,1,0)*IF(GeleendBedrag*Rentevoet*$D$5*BegindatumLening&gt;0,1,0),ROW()-ROW(Lening!$9:$9),""),"")</f>
        <v/>
      </c>
      <c r="C174" s="48" t="str">
        <f>IFERROR(IF(B174="","",IF(IF(B174&lt;=AantalBetalingen,1,0)*IF(GeleendBedrag*Rentevoet*Leningjaren*BegindatumLening&gt;0,1,0),TEXT(DATE(YEAR(BegindatumLening),MONTH(BegindatumLening)+B174,DAY(BegindatumLening)),"d-m-yyyy"),""),""),"")</f>
        <v/>
      </c>
      <c r="D174" s="49" t="str">
        <f>IFERROR(IF(IF(B174="","",IF($B174&lt;=AantalBetalingen,1,0)*IF(GeleendBedrag*Rentevoet*Leningjaren*BegindatumLening&gt;0,1,0),-FV(Rentevoet/12,ROW()-ROW(Lening[[#HEADERS],[BET.NR.]])-1,PMT(Rentevoet/12,AantalBetalingen,GeleendBedrag),GeleendBedrag),""),""),"")</f>
        <v/>
      </c>
      <c r="E174" s="49" t="str">
        <f>IFERROR(IF(IF(B174="","",IF($B174&lt;=AantalBetalingen,1,0)*IF(GeleendBedrag*Rentevoet*Leningjaren*BegindatumLening&gt;0,1,0),-PMT(Rentevoet/12,AantalBetalingen,GeleendBedrag),""),""),"")</f>
        <v/>
      </c>
      <c r="F174" s="49" t="str">
        <f>IFERROR(IF(IF($B174&lt;=AantalBetalingen,1,0)*IF(GeleendBedrag*Rentevoet*Leningjaren*BegindatumLening&gt;0,1,0),-PPMT(Rentevoet/12,ROW()-ROW(Lening[[#HEADERS],[BET.NR.]]),AantalBetalingen,GeleendBedrag),""),"")</f>
        <v/>
      </c>
      <c r="G174" s="49" t="str">
        <f>IFERROR(IF(IF($B174&lt;=AantalBetalingen,1,0)*IF(GeleendBedrag*Rentevoet*Leningjaren*BegindatumLening&gt;0,1,0),-IPMT(Rentevoet/12,$B174,AantalBetalingen,GeleendBedrag),""),"")</f>
        <v/>
      </c>
      <c r="H174" s="49" t="str">
        <f>IFERROR(IF(IF(B174="","",IF($B174&lt;=AantalBetalingen,1,0)*IF(GeleendBedrag*Rentevoet*Leningjaren*BegindatumLening&gt;0,1,0),-FV(Rentevoet/12,$B174,PMT(Rentevoet/12,AantalBetalingen,GeleendBedrag),GeleendBedrag),""),""),"")</f>
        <v/>
      </c>
    </row>
    <row r="175" ht="22.5" hidden="1" customHeight="1">
      <c r="A175" s="46">
        <f>ROW()-ROW(Lening[[#HEADERS],[BET.NR.]])</f>
        <v>166</v>
      </c>
      <c r="B175" s="50" t="str">
        <f>IFERROR(IF(IF(ROW()-ROW(Lening!$9:$9)&lt;=AantalBetalingen,1,0)*IF(GeleendBedrag*Rentevoet*$D$5*BegindatumLening&gt;0,1,0),ROW()-ROW(Lening!$9:$9),""),"")</f>
        <v/>
      </c>
      <c r="C175" s="48" t="str">
        <f>IFERROR(IF(B175="","",IF(IF(B175&lt;=AantalBetalingen,1,0)*IF(GeleendBedrag*Rentevoet*Leningjaren*BegindatumLening&gt;0,1,0),TEXT(DATE(YEAR(BegindatumLening),MONTH(BegindatumLening)+B175,DAY(BegindatumLening)),"d-m-yyyy"),""),""),"")</f>
        <v/>
      </c>
      <c r="D175" s="49" t="str">
        <f>IFERROR(IF(IF(B175="","",IF($B175&lt;=AantalBetalingen,1,0)*IF(GeleendBedrag*Rentevoet*Leningjaren*BegindatumLening&gt;0,1,0),-FV(Rentevoet/12,ROW()-ROW(Lening[[#HEADERS],[BET.NR.]])-1,PMT(Rentevoet/12,AantalBetalingen,GeleendBedrag),GeleendBedrag),""),""),"")</f>
        <v/>
      </c>
      <c r="E175" s="49" t="str">
        <f>IFERROR(IF(IF(B175="","",IF($B175&lt;=AantalBetalingen,1,0)*IF(GeleendBedrag*Rentevoet*Leningjaren*BegindatumLening&gt;0,1,0),-PMT(Rentevoet/12,AantalBetalingen,GeleendBedrag),""),""),"")</f>
        <v/>
      </c>
      <c r="F175" s="49" t="str">
        <f>IFERROR(IF(IF($B175&lt;=AantalBetalingen,1,0)*IF(GeleendBedrag*Rentevoet*Leningjaren*BegindatumLening&gt;0,1,0),-PPMT(Rentevoet/12,ROW()-ROW(Lening[[#HEADERS],[BET.NR.]]),AantalBetalingen,GeleendBedrag),""),"")</f>
        <v/>
      </c>
      <c r="G175" s="49" t="str">
        <f>IFERROR(IF(IF($B175&lt;=AantalBetalingen,1,0)*IF(GeleendBedrag*Rentevoet*Leningjaren*BegindatumLening&gt;0,1,0),-IPMT(Rentevoet/12,$B175,AantalBetalingen,GeleendBedrag),""),"")</f>
        <v/>
      </c>
      <c r="H175" s="49" t="str">
        <f>IFERROR(IF(IF(B175="","",IF($B175&lt;=AantalBetalingen,1,0)*IF(GeleendBedrag*Rentevoet*Leningjaren*BegindatumLening&gt;0,1,0),-FV(Rentevoet/12,$B175,PMT(Rentevoet/12,AantalBetalingen,GeleendBedrag),GeleendBedrag),""),""),"")</f>
        <v/>
      </c>
    </row>
    <row r="176" ht="22.5" hidden="1" customHeight="1">
      <c r="A176" s="46">
        <f>ROW()-ROW(Lening[[#HEADERS],[BET.NR.]])</f>
        <v>167</v>
      </c>
      <c r="B176" s="50" t="str">
        <f>IFERROR(IF(IF(ROW()-ROW(Lening!$9:$9)&lt;=AantalBetalingen,1,0)*IF(GeleendBedrag*Rentevoet*$D$5*BegindatumLening&gt;0,1,0),ROW()-ROW(Lening!$9:$9),""),"")</f>
        <v/>
      </c>
      <c r="C176" s="48" t="str">
        <f>IFERROR(IF(B176="","",IF(IF(B176&lt;=AantalBetalingen,1,0)*IF(GeleendBedrag*Rentevoet*Leningjaren*BegindatumLening&gt;0,1,0),TEXT(DATE(YEAR(BegindatumLening),MONTH(BegindatumLening)+B176,DAY(BegindatumLening)),"d-m-yyyy"),""),""),"")</f>
        <v/>
      </c>
      <c r="D176" s="49" t="str">
        <f>IFERROR(IF(IF(B176="","",IF($B176&lt;=AantalBetalingen,1,0)*IF(GeleendBedrag*Rentevoet*Leningjaren*BegindatumLening&gt;0,1,0),-FV(Rentevoet/12,ROW()-ROW(Lening[[#HEADERS],[BET.NR.]])-1,PMT(Rentevoet/12,AantalBetalingen,GeleendBedrag),GeleendBedrag),""),""),"")</f>
        <v/>
      </c>
      <c r="E176" s="49" t="str">
        <f>IFERROR(IF(IF(B176="","",IF($B176&lt;=AantalBetalingen,1,0)*IF(GeleendBedrag*Rentevoet*Leningjaren*BegindatumLening&gt;0,1,0),-PMT(Rentevoet/12,AantalBetalingen,GeleendBedrag),""),""),"")</f>
        <v/>
      </c>
      <c r="F176" s="49" t="str">
        <f>IFERROR(IF(IF($B176&lt;=AantalBetalingen,1,0)*IF(GeleendBedrag*Rentevoet*Leningjaren*BegindatumLening&gt;0,1,0),-PPMT(Rentevoet/12,ROW()-ROW(Lening[[#HEADERS],[BET.NR.]]),AantalBetalingen,GeleendBedrag),""),"")</f>
        <v/>
      </c>
      <c r="G176" s="49" t="str">
        <f>IFERROR(IF(IF($B176&lt;=AantalBetalingen,1,0)*IF(GeleendBedrag*Rentevoet*Leningjaren*BegindatumLening&gt;0,1,0),-IPMT(Rentevoet/12,$B176,AantalBetalingen,GeleendBedrag),""),"")</f>
        <v/>
      </c>
      <c r="H176" s="49" t="str">
        <f>IFERROR(IF(IF(B176="","",IF($B176&lt;=AantalBetalingen,1,0)*IF(GeleendBedrag*Rentevoet*Leningjaren*BegindatumLening&gt;0,1,0),-FV(Rentevoet/12,$B176,PMT(Rentevoet/12,AantalBetalingen,GeleendBedrag),GeleendBedrag),""),""),"")</f>
        <v/>
      </c>
    </row>
    <row r="177" ht="22.5" hidden="1" customHeight="1">
      <c r="A177" s="46">
        <f>ROW()-ROW(Lening[[#HEADERS],[BET.NR.]])</f>
        <v>168</v>
      </c>
      <c r="B177" s="50" t="str">
        <f>IFERROR(IF(IF(ROW()-ROW(Lening!$9:$9)&lt;=AantalBetalingen,1,0)*IF(GeleendBedrag*Rentevoet*$D$5*BegindatumLening&gt;0,1,0),ROW()-ROW(Lening!$9:$9),""),"")</f>
        <v/>
      </c>
      <c r="C177" s="48" t="str">
        <f>IFERROR(IF(B177="","",IF(IF(B177&lt;=AantalBetalingen,1,0)*IF(GeleendBedrag*Rentevoet*Leningjaren*BegindatumLening&gt;0,1,0),TEXT(DATE(YEAR(BegindatumLening),MONTH(BegindatumLening)+B177,DAY(BegindatumLening)),"d-m-yyyy"),""),""),"")</f>
        <v/>
      </c>
      <c r="D177" s="49" t="str">
        <f>IFERROR(IF(IF(B177="","",IF($B177&lt;=AantalBetalingen,1,0)*IF(GeleendBedrag*Rentevoet*Leningjaren*BegindatumLening&gt;0,1,0),-FV(Rentevoet/12,ROW()-ROW(Lening[[#HEADERS],[BET.NR.]])-1,PMT(Rentevoet/12,AantalBetalingen,GeleendBedrag),GeleendBedrag),""),""),"")</f>
        <v/>
      </c>
      <c r="E177" s="49" t="str">
        <f>IFERROR(IF(IF(B177="","",IF($B177&lt;=AantalBetalingen,1,0)*IF(GeleendBedrag*Rentevoet*Leningjaren*BegindatumLening&gt;0,1,0),-PMT(Rentevoet/12,AantalBetalingen,GeleendBedrag),""),""),"")</f>
        <v/>
      </c>
      <c r="F177" s="49" t="str">
        <f>IFERROR(IF(IF($B177&lt;=AantalBetalingen,1,0)*IF(GeleendBedrag*Rentevoet*Leningjaren*BegindatumLening&gt;0,1,0),-PPMT(Rentevoet/12,ROW()-ROW(Lening[[#HEADERS],[BET.NR.]]),AantalBetalingen,GeleendBedrag),""),"")</f>
        <v/>
      </c>
      <c r="G177" s="49" t="str">
        <f>IFERROR(IF(IF($B177&lt;=AantalBetalingen,1,0)*IF(GeleendBedrag*Rentevoet*Leningjaren*BegindatumLening&gt;0,1,0),-IPMT(Rentevoet/12,$B177,AantalBetalingen,GeleendBedrag),""),"")</f>
        <v/>
      </c>
      <c r="H177" s="49" t="str">
        <f>IFERROR(IF(IF(B177="","",IF($B177&lt;=AantalBetalingen,1,0)*IF(GeleendBedrag*Rentevoet*Leningjaren*BegindatumLening&gt;0,1,0),-FV(Rentevoet/12,$B177,PMT(Rentevoet/12,AantalBetalingen,GeleendBedrag),GeleendBedrag),""),""),"")</f>
        <v/>
      </c>
    </row>
    <row r="178" ht="22.5" hidden="1" customHeight="1">
      <c r="A178" s="46">
        <f>ROW()-ROW(Lening[[#HEADERS],[BET.NR.]])</f>
        <v>169</v>
      </c>
      <c r="B178" s="50" t="str">
        <f>IFERROR(IF(IF(ROW()-ROW(Lening!$9:$9)&lt;=AantalBetalingen,1,0)*IF(GeleendBedrag*Rentevoet*$D$5*BegindatumLening&gt;0,1,0),ROW()-ROW(Lening!$9:$9),""),"")</f>
        <v/>
      </c>
      <c r="C178" s="48" t="str">
        <f>IFERROR(IF(B178="","",IF(IF(B178&lt;=AantalBetalingen,1,0)*IF(GeleendBedrag*Rentevoet*Leningjaren*BegindatumLening&gt;0,1,0),TEXT(DATE(YEAR(BegindatumLening),MONTH(BegindatumLening)+B178,DAY(BegindatumLening)),"d-m-yyyy"),""),""),"")</f>
        <v/>
      </c>
      <c r="D178" s="49" t="str">
        <f>IFERROR(IF(IF(B178="","",IF($B178&lt;=AantalBetalingen,1,0)*IF(GeleendBedrag*Rentevoet*Leningjaren*BegindatumLening&gt;0,1,0),-FV(Rentevoet/12,ROW()-ROW(Lening[[#HEADERS],[BET.NR.]])-1,PMT(Rentevoet/12,AantalBetalingen,GeleendBedrag),GeleendBedrag),""),""),"")</f>
        <v/>
      </c>
      <c r="E178" s="49" t="str">
        <f>IFERROR(IF(IF(B178="","",IF($B178&lt;=AantalBetalingen,1,0)*IF(GeleendBedrag*Rentevoet*Leningjaren*BegindatumLening&gt;0,1,0),-PMT(Rentevoet/12,AantalBetalingen,GeleendBedrag),""),""),"")</f>
        <v/>
      </c>
      <c r="F178" s="49" t="str">
        <f>IFERROR(IF(IF($B178&lt;=AantalBetalingen,1,0)*IF(GeleendBedrag*Rentevoet*Leningjaren*BegindatumLening&gt;0,1,0),-PPMT(Rentevoet/12,ROW()-ROW(Lening[[#HEADERS],[BET.NR.]]),AantalBetalingen,GeleendBedrag),""),"")</f>
        <v/>
      </c>
      <c r="G178" s="49" t="str">
        <f>IFERROR(IF(IF($B178&lt;=AantalBetalingen,1,0)*IF(GeleendBedrag*Rentevoet*Leningjaren*BegindatumLening&gt;0,1,0),-IPMT(Rentevoet/12,$B178,AantalBetalingen,GeleendBedrag),""),"")</f>
        <v/>
      </c>
      <c r="H178" s="49" t="str">
        <f>IFERROR(IF(IF(B178="","",IF($B178&lt;=AantalBetalingen,1,0)*IF(GeleendBedrag*Rentevoet*Leningjaren*BegindatumLening&gt;0,1,0),-FV(Rentevoet/12,$B178,PMT(Rentevoet/12,AantalBetalingen,GeleendBedrag),GeleendBedrag),""),""),"")</f>
        <v/>
      </c>
    </row>
    <row r="179" ht="22.5" hidden="1" customHeight="1">
      <c r="A179" s="46">
        <f>ROW()-ROW(Lening[[#HEADERS],[BET.NR.]])</f>
        <v>170</v>
      </c>
      <c r="B179" s="50" t="str">
        <f>IFERROR(IF(IF(ROW()-ROW(Lening!$9:$9)&lt;=AantalBetalingen,1,0)*IF(GeleendBedrag*Rentevoet*$D$5*BegindatumLening&gt;0,1,0),ROW()-ROW(Lening!$9:$9),""),"")</f>
        <v/>
      </c>
      <c r="C179" s="48" t="str">
        <f>IFERROR(IF(B179="","",IF(IF(B179&lt;=AantalBetalingen,1,0)*IF(GeleendBedrag*Rentevoet*Leningjaren*BegindatumLening&gt;0,1,0),TEXT(DATE(YEAR(BegindatumLening),MONTH(BegindatumLening)+B179,DAY(BegindatumLening)),"d-m-yyyy"),""),""),"")</f>
        <v/>
      </c>
      <c r="D179" s="49" t="str">
        <f>IFERROR(IF(IF(B179="","",IF($B179&lt;=AantalBetalingen,1,0)*IF(GeleendBedrag*Rentevoet*Leningjaren*BegindatumLening&gt;0,1,0),-FV(Rentevoet/12,ROW()-ROW(Lening[[#HEADERS],[BET.NR.]])-1,PMT(Rentevoet/12,AantalBetalingen,GeleendBedrag),GeleendBedrag),""),""),"")</f>
        <v/>
      </c>
      <c r="E179" s="49" t="str">
        <f>IFERROR(IF(IF(B179="","",IF($B179&lt;=AantalBetalingen,1,0)*IF(GeleendBedrag*Rentevoet*Leningjaren*BegindatumLening&gt;0,1,0),-PMT(Rentevoet/12,AantalBetalingen,GeleendBedrag),""),""),"")</f>
        <v/>
      </c>
      <c r="F179" s="49" t="str">
        <f>IFERROR(IF(IF($B179&lt;=AantalBetalingen,1,0)*IF(GeleendBedrag*Rentevoet*Leningjaren*BegindatumLening&gt;0,1,0),-PPMT(Rentevoet/12,ROW()-ROW(Lening[[#HEADERS],[BET.NR.]]),AantalBetalingen,GeleendBedrag),""),"")</f>
        <v/>
      </c>
      <c r="G179" s="49" t="str">
        <f>IFERROR(IF(IF($B179&lt;=AantalBetalingen,1,0)*IF(GeleendBedrag*Rentevoet*Leningjaren*BegindatumLening&gt;0,1,0),-IPMT(Rentevoet/12,$B179,AantalBetalingen,GeleendBedrag),""),"")</f>
        <v/>
      </c>
      <c r="H179" s="49" t="str">
        <f>IFERROR(IF(IF(B179="","",IF($B179&lt;=AantalBetalingen,1,0)*IF(GeleendBedrag*Rentevoet*Leningjaren*BegindatumLening&gt;0,1,0),-FV(Rentevoet/12,$B179,PMT(Rentevoet/12,AantalBetalingen,GeleendBedrag),GeleendBedrag),""),""),"")</f>
        <v/>
      </c>
    </row>
    <row r="180" ht="22.5" hidden="1" customHeight="1">
      <c r="A180" s="46">
        <f>ROW()-ROW(Lening[[#HEADERS],[BET.NR.]])</f>
        <v>171</v>
      </c>
      <c r="B180" s="50" t="str">
        <f>IFERROR(IF(IF(ROW()-ROW(Lening!$9:$9)&lt;=AantalBetalingen,1,0)*IF(GeleendBedrag*Rentevoet*$D$5*BegindatumLening&gt;0,1,0),ROW()-ROW(Lening!$9:$9),""),"")</f>
        <v/>
      </c>
      <c r="C180" s="48" t="str">
        <f>IFERROR(IF(B180="","",IF(IF(B180&lt;=AantalBetalingen,1,0)*IF(GeleendBedrag*Rentevoet*Leningjaren*BegindatumLening&gt;0,1,0),TEXT(DATE(YEAR(BegindatumLening),MONTH(BegindatumLening)+B180,DAY(BegindatumLening)),"d-m-yyyy"),""),""),"")</f>
        <v/>
      </c>
      <c r="D180" s="49" t="str">
        <f>IFERROR(IF(IF(B180="","",IF($B180&lt;=AantalBetalingen,1,0)*IF(GeleendBedrag*Rentevoet*Leningjaren*BegindatumLening&gt;0,1,0),-FV(Rentevoet/12,ROW()-ROW(Lening[[#HEADERS],[BET.NR.]])-1,PMT(Rentevoet/12,AantalBetalingen,GeleendBedrag),GeleendBedrag),""),""),"")</f>
        <v/>
      </c>
      <c r="E180" s="49" t="str">
        <f>IFERROR(IF(IF(B180="","",IF($B180&lt;=AantalBetalingen,1,0)*IF(GeleendBedrag*Rentevoet*Leningjaren*BegindatumLening&gt;0,1,0),-PMT(Rentevoet/12,AantalBetalingen,GeleendBedrag),""),""),"")</f>
        <v/>
      </c>
      <c r="F180" s="49" t="str">
        <f>IFERROR(IF(IF($B180&lt;=AantalBetalingen,1,0)*IF(GeleendBedrag*Rentevoet*Leningjaren*BegindatumLening&gt;0,1,0),-PPMT(Rentevoet/12,ROW()-ROW(Lening[[#HEADERS],[BET.NR.]]),AantalBetalingen,GeleendBedrag),""),"")</f>
        <v/>
      </c>
      <c r="G180" s="49" t="str">
        <f>IFERROR(IF(IF($B180&lt;=AantalBetalingen,1,0)*IF(GeleendBedrag*Rentevoet*Leningjaren*BegindatumLening&gt;0,1,0),-IPMT(Rentevoet/12,$B180,AantalBetalingen,GeleendBedrag),""),"")</f>
        <v/>
      </c>
      <c r="H180" s="49" t="str">
        <f>IFERROR(IF(IF(B180="","",IF($B180&lt;=AantalBetalingen,1,0)*IF(GeleendBedrag*Rentevoet*Leningjaren*BegindatumLening&gt;0,1,0),-FV(Rentevoet/12,$B180,PMT(Rentevoet/12,AantalBetalingen,GeleendBedrag),GeleendBedrag),""),""),"")</f>
        <v/>
      </c>
    </row>
    <row r="181" ht="22.5" hidden="1" customHeight="1">
      <c r="A181" s="46">
        <f>ROW()-ROW(Lening[[#HEADERS],[BET.NR.]])</f>
        <v>172</v>
      </c>
      <c r="B181" s="50" t="str">
        <f>IFERROR(IF(IF(ROW()-ROW(Lening!$9:$9)&lt;=AantalBetalingen,1,0)*IF(GeleendBedrag*Rentevoet*$D$5*BegindatumLening&gt;0,1,0),ROW()-ROW(Lening!$9:$9),""),"")</f>
        <v/>
      </c>
      <c r="C181" s="48" t="str">
        <f>IFERROR(IF(B181="","",IF(IF(B181&lt;=AantalBetalingen,1,0)*IF(GeleendBedrag*Rentevoet*Leningjaren*BegindatumLening&gt;0,1,0),TEXT(DATE(YEAR(BegindatumLening),MONTH(BegindatumLening)+B181,DAY(BegindatumLening)),"d-m-yyyy"),""),""),"")</f>
        <v/>
      </c>
      <c r="D181" s="49" t="str">
        <f>IFERROR(IF(IF(B181="","",IF($B181&lt;=AantalBetalingen,1,0)*IF(GeleendBedrag*Rentevoet*Leningjaren*BegindatumLening&gt;0,1,0),-FV(Rentevoet/12,ROW()-ROW(Lening[[#HEADERS],[BET.NR.]])-1,PMT(Rentevoet/12,AantalBetalingen,GeleendBedrag),GeleendBedrag),""),""),"")</f>
        <v/>
      </c>
      <c r="E181" s="49" t="str">
        <f>IFERROR(IF(IF(B181="","",IF($B181&lt;=AantalBetalingen,1,0)*IF(GeleendBedrag*Rentevoet*Leningjaren*BegindatumLening&gt;0,1,0),-PMT(Rentevoet/12,AantalBetalingen,GeleendBedrag),""),""),"")</f>
        <v/>
      </c>
      <c r="F181" s="49" t="str">
        <f>IFERROR(IF(IF($B181&lt;=AantalBetalingen,1,0)*IF(GeleendBedrag*Rentevoet*Leningjaren*BegindatumLening&gt;0,1,0),-PPMT(Rentevoet/12,ROW()-ROW(Lening[[#HEADERS],[BET.NR.]]),AantalBetalingen,GeleendBedrag),""),"")</f>
        <v/>
      </c>
      <c r="G181" s="49" t="str">
        <f>IFERROR(IF(IF($B181&lt;=AantalBetalingen,1,0)*IF(GeleendBedrag*Rentevoet*Leningjaren*BegindatumLening&gt;0,1,0),-IPMT(Rentevoet/12,$B181,AantalBetalingen,GeleendBedrag),""),"")</f>
        <v/>
      </c>
      <c r="H181" s="49" t="str">
        <f>IFERROR(IF(IF(B181="","",IF($B181&lt;=AantalBetalingen,1,0)*IF(GeleendBedrag*Rentevoet*Leningjaren*BegindatumLening&gt;0,1,0),-FV(Rentevoet/12,$B181,PMT(Rentevoet/12,AantalBetalingen,GeleendBedrag),GeleendBedrag),""),""),"")</f>
        <v/>
      </c>
    </row>
    <row r="182" ht="22.5" hidden="1" customHeight="1">
      <c r="A182" s="46">
        <f>ROW()-ROW(Lening[[#HEADERS],[BET.NR.]])</f>
        <v>173</v>
      </c>
      <c r="B182" s="50" t="str">
        <f>IFERROR(IF(IF(ROW()-ROW(Lening!$9:$9)&lt;=AantalBetalingen,1,0)*IF(GeleendBedrag*Rentevoet*$D$5*BegindatumLening&gt;0,1,0),ROW()-ROW(Lening!$9:$9),""),"")</f>
        <v/>
      </c>
      <c r="C182" s="48" t="str">
        <f>IFERROR(IF(B182="","",IF(IF(B182&lt;=AantalBetalingen,1,0)*IF(GeleendBedrag*Rentevoet*Leningjaren*BegindatumLening&gt;0,1,0),TEXT(DATE(YEAR(BegindatumLening),MONTH(BegindatumLening)+B182,DAY(BegindatumLening)),"d-m-yyyy"),""),""),"")</f>
        <v/>
      </c>
      <c r="D182" s="49" t="str">
        <f>IFERROR(IF(IF(B182="","",IF($B182&lt;=AantalBetalingen,1,0)*IF(GeleendBedrag*Rentevoet*Leningjaren*BegindatumLening&gt;0,1,0),-FV(Rentevoet/12,ROW()-ROW(Lening[[#HEADERS],[BET.NR.]])-1,PMT(Rentevoet/12,AantalBetalingen,GeleendBedrag),GeleendBedrag),""),""),"")</f>
        <v/>
      </c>
      <c r="E182" s="49" t="str">
        <f>IFERROR(IF(IF(B182="","",IF($B182&lt;=AantalBetalingen,1,0)*IF(GeleendBedrag*Rentevoet*Leningjaren*BegindatumLening&gt;0,1,0),-PMT(Rentevoet/12,AantalBetalingen,GeleendBedrag),""),""),"")</f>
        <v/>
      </c>
      <c r="F182" s="49" t="str">
        <f>IFERROR(IF(IF($B182&lt;=AantalBetalingen,1,0)*IF(GeleendBedrag*Rentevoet*Leningjaren*BegindatumLening&gt;0,1,0),-PPMT(Rentevoet/12,ROW()-ROW(Lening[[#HEADERS],[BET.NR.]]),AantalBetalingen,GeleendBedrag),""),"")</f>
        <v/>
      </c>
      <c r="G182" s="49" t="str">
        <f>IFERROR(IF(IF($B182&lt;=AantalBetalingen,1,0)*IF(GeleendBedrag*Rentevoet*Leningjaren*BegindatumLening&gt;0,1,0),-IPMT(Rentevoet/12,$B182,AantalBetalingen,GeleendBedrag),""),"")</f>
        <v/>
      </c>
      <c r="H182" s="49" t="str">
        <f>IFERROR(IF(IF(B182="","",IF($B182&lt;=AantalBetalingen,1,0)*IF(GeleendBedrag*Rentevoet*Leningjaren*BegindatumLening&gt;0,1,0),-FV(Rentevoet/12,$B182,PMT(Rentevoet/12,AantalBetalingen,GeleendBedrag),GeleendBedrag),""),""),"")</f>
        <v/>
      </c>
    </row>
    <row r="183" ht="22.5" hidden="1" customHeight="1">
      <c r="A183" s="46">
        <f>ROW()-ROW(Lening[[#HEADERS],[BET.NR.]])</f>
        <v>174</v>
      </c>
      <c r="B183" s="50" t="str">
        <f>IFERROR(IF(IF(ROW()-ROW(Lening!$9:$9)&lt;=AantalBetalingen,1,0)*IF(GeleendBedrag*Rentevoet*$D$5*BegindatumLening&gt;0,1,0),ROW()-ROW(Lening!$9:$9),""),"")</f>
        <v/>
      </c>
      <c r="C183" s="48" t="str">
        <f>IFERROR(IF(B183="","",IF(IF(B183&lt;=AantalBetalingen,1,0)*IF(GeleendBedrag*Rentevoet*Leningjaren*BegindatumLening&gt;0,1,0),TEXT(DATE(YEAR(BegindatumLening),MONTH(BegindatumLening)+B183,DAY(BegindatumLening)),"d-m-yyyy"),""),""),"")</f>
        <v/>
      </c>
      <c r="D183" s="49" t="str">
        <f>IFERROR(IF(IF(B183="","",IF($B183&lt;=AantalBetalingen,1,0)*IF(GeleendBedrag*Rentevoet*Leningjaren*BegindatumLening&gt;0,1,0),-FV(Rentevoet/12,ROW()-ROW(Lening[[#HEADERS],[BET.NR.]])-1,PMT(Rentevoet/12,AantalBetalingen,GeleendBedrag),GeleendBedrag),""),""),"")</f>
        <v/>
      </c>
      <c r="E183" s="49" t="str">
        <f>IFERROR(IF(IF(B183="","",IF($B183&lt;=AantalBetalingen,1,0)*IF(GeleendBedrag*Rentevoet*Leningjaren*BegindatumLening&gt;0,1,0),-PMT(Rentevoet/12,AantalBetalingen,GeleendBedrag),""),""),"")</f>
        <v/>
      </c>
      <c r="F183" s="49" t="str">
        <f>IFERROR(IF(IF($B183&lt;=AantalBetalingen,1,0)*IF(GeleendBedrag*Rentevoet*Leningjaren*BegindatumLening&gt;0,1,0),-PPMT(Rentevoet/12,ROW()-ROW(Lening[[#HEADERS],[BET.NR.]]),AantalBetalingen,GeleendBedrag),""),"")</f>
        <v/>
      </c>
      <c r="G183" s="49" t="str">
        <f>IFERROR(IF(IF($B183&lt;=AantalBetalingen,1,0)*IF(GeleendBedrag*Rentevoet*Leningjaren*BegindatumLening&gt;0,1,0),-IPMT(Rentevoet/12,$B183,AantalBetalingen,GeleendBedrag),""),"")</f>
        <v/>
      </c>
      <c r="H183" s="49" t="str">
        <f>IFERROR(IF(IF(B183="","",IF($B183&lt;=AantalBetalingen,1,0)*IF(GeleendBedrag*Rentevoet*Leningjaren*BegindatumLening&gt;0,1,0),-FV(Rentevoet/12,$B183,PMT(Rentevoet/12,AantalBetalingen,GeleendBedrag),GeleendBedrag),""),""),"")</f>
        <v/>
      </c>
    </row>
    <row r="184" ht="22.5" hidden="1" customHeight="1">
      <c r="A184" s="46">
        <f>ROW()-ROW(Lening[[#HEADERS],[BET.NR.]])</f>
        <v>175</v>
      </c>
      <c r="B184" s="50" t="str">
        <f>IFERROR(IF(IF(ROW()-ROW(Lening!$9:$9)&lt;=AantalBetalingen,1,0)*IF(GeleendBedrag*Rentevoet*$D$5*BegindatumLening&gt;0,1,0),ROW()-ROW(Lening!$9:$9),""),"")</f>
        <v/>
      </c>
      <c r="C184" s="48" t="str">
        <f>IFERROR(IF(B184="","",IF(IF(B184&lt;=AantalBetalingen,1,0)*IF(GeleendBedrag*Rentevoet*Leningjaren*BegindatumLening&gt;0,1,0),TEXT(DATE(YEAR(BegindatumLening),MONTH(BegindatumLening)+B184,DAY(BegindatumLening)),"d-m-yyyy"),""),""),"")</f>
        <v/>
      </c>
      <c r="D184" s="49" t="str">
        <f>IFERROR(IF(IF(B184="","",IF($B184&lt;=AantalBetalingen,1,0)*IF(GeleendBedrag*Rentevoet*Leningjaren*BegindatumLening&gt;0,1,0),-FV(Rentevoet/12,ROW()-ROW(Lening[[#HEADERS],[BET.NR.]])-1,PMT(Rentevoet/12,AantalBetalingen,GeleendBedrag),GeleendBedrag),""),""),"")</f>
        <v/>
      </c>
      <c r="E184" s="49" t="str">
        <f>IFERROR(IF(IF(B184="","",IF($B184&lt;=AantalBetalingen,1,0)*IF(GeleendBedrag*Rentevoet*Leningjaren*BegindatumLening&gt;0,1,0),-PMT(Rentevoet/12,AantalBetalingen,GeleendBedrag),""),""),"")</f>
        <v/>
      </c>
      <c r="F184" s="49" t="str">
        <f>IFERROR(IF(IF($B184&lt;=AantalBetalingen,1,0)*IF(GeleendBedrag*Rentevoet*Leningjaren*BegindatumLening&gt;0,1,0),-PPMT(Rentevoet/12,ROW()-ROW(Lening[[#HEADERS],[BET.NR.]]),AantalBetalingen,GeleendBedrag),""),"")</f>
        <v/>
      </c>
      <c r="G184" s="49" t="str">
        <f>IFERROR(IF(IF($B184&lt;=AantalBetalingen,1,0)*IF(GeleendBedrag*Rentevoet*Leningjaren*BegindatumLening&gt;0,1,0),-IPMT(Rentevoet/12,$B184,AantalBetalingen,GeleendBedrag),""),"")</f>
        <v/>
      </c>
      <c r="H184" s="49" t="str">
        <f>IFERROR(IF(IF(B184="","",IF($B184&lt;=AantalBetalingen,1,0)*IF(GeleendBedrag*Rentevoet*Leningjaren*BegindatumLening&gt;0,1,0),-FV(Rentevoet/12,$B184,PMT(Rentevoet/12,AantalBetalingen,GeleendBedrag),GeleendBedrag),""),""),"")</f>
        <v/>
      </c>
    </row>
    <row r="185" ht="22.5" hidden="1" customHeight="1">
      <c r="A185" s="46">
        <f>ROW()-ROW(Lening[[#HEADERS],[BET.NR.]])</f>
        <v>176</v>
      </c>
      <c r="B185" s="50" t="str">
        <f>IFERROR(IF(IF(ROW()-ROW(Lening!$9:$9)&lt;=AantalBetalingen,1,0)*IF(GeleendBedrag*Rentevoet*$D$5*BegindatumLening&gt;0,1,0),ROW()-ROW(Lening!$9:$9),""),"")</f>
        <v/>
      </c>
      <c r="C185" s="48" t="str">
        <f>IFERROR(IF(B185="","",IF(IF(B185&lt;=AantalBetalingen,1,0)*IF(GeleendBedrag*Rentevoet*Leningjaren*BegindatumLening&gt;0,1,0),TEXT(DATE(YEAR(BegindatumLening),MONTH(BegindatumLening)+B185,DAY(BegindatumLening)),"d-m-yyyy"),""),""),"")</f>
        <v/>
      </c>
      <c r="D185" s="49" t="str">
        <f>IFERROR(IF(IF(B185="","",IF($B185&lt;=AantalBetalingen,1,0)*IF(GeleendBedrag*Rentevoet*Leningjaren*BegindatumLening&gt;0,1,0),-FV(Rentevoet/12,ROW()-ROW(Lening[[#HEADERS],[BET.NR.]])-1,PMT(Rentevoet/12,AantalBetalingen,GeleendBedrag),GeleendBedrag),""),""),"")</f>
        <v/>
      </c>
      <c r="E185" s="49" t="str">
        <f>IFERROR(IF(IF(B185="","",IF($B185&lt;=AantalBetalingen,1,0)*IF(GeleendBedrag*Rentevoet*Leningjaren*BegindatumLening&gt;0,1,0),-PMT(Rentevoet/12,AantalBetalingen,GeleendBedrag),""),""),"")</f>
        <v/>
      </c>
      <c r="F185" s="49" t="str">
        <f>IFERROR(IF(IF($B185&lt;=AantalBetalingen,1,0)*IF(GeleendBedrag*Rentevoet*Leningjaren*BegindatumLening&gt;0,1,0),-PPMT(Rentevoet/12,ROW()-ROW(Lening[[#HEADERS],[BET.NR.]]),AantalBetalingen,GeleendBedrag),""),"")</f>
        <v/>
      </c>
      <c r="G185" s="49" t="str">
        <f>IFERROR(IF(IF($B185&lt;=AantalBetalingen,1,0)*IF(GeleendBedrag*Rentevoet*Leningjaren*BegindatumLening&gt;0,1,0),-IPMT(Rentevoet/12,$B185,AantalBetalingen,GeleendBedrag),""),"")</f>
        <v/>
      </c>
      <c r="H185" s="49" t="str">
        <f>IFERROR(IF(IF(B185="","",IF($B185&lt;=AantalBetalingen,1,0)*IF(GeleendBedrag*Rentevoet*Leningjaren*BegindatumLening&gt;0,1,0),-FV(Rentevoet/12,$B185,PMT(Rentevoet/12,AantalBetalingen,GeleendBedrag),GeleendBedrag),""),""),"")</f>
        <v/>
      </c>
    </row>
    <row r="186" ht="22.5" hidden="1" customHeight="1">
      <c r="A186" s="46">
        <f>ROW()-ROW(Lening[[#HEADERS],[BET.NR.]])</f>
        <v>177</v>
      </c>
      <c r="B186" s="50" t="str">
        <f>IFERROR(IF(IF(ROW()-ROW(Lening!$9:$9)&lt;=AantalBetalingen,1,0)*IF(GeleendBedrag*Rentevoet*$D$5*BegindatumLening&gt;0,1,0),ROW()-ROW(Lening!$9:$9),""),"")</f>
        <v/>
      </c>
      <c r="C186" s="48" t="str">
        <f>IFERROR(IF(B186="","",IF(IF(B186&lt;=AantalBetalingen,1,0)*IF(GeleendBedrag*Rentevoet*Leningjaren*BegindatumLening&gt;0,1,0),TEXT(DATE(YEAR(BegindatumLening),MONTH(BegindatumLening)+B186,DAY(BegindatumLening)),"d-m-yyyy"),""),""),"")</f>
        <v/>
      </c>
      <c r="D186" s="49" t="str">
        <f>IFERROR(IF(IF(B186="","",IF($B186&lt;=AantalBetalingen,1,0)*IF(GeleendBedrag*Rentevoet*Leningjaren*BegindatumLening&gt;0,1,0),-FV(Rentevoet/12,ROW()-ROW(Lening[[#HEADERS],[BET.NR.]])-1,PMT(Rentevoet/12,AantalBetalingen,GeleendBedrag),GeleendBedrag),""),""),"")</f>
        <v/>
      </c>
      <c r="E186" s="49" t="str">
        <f>IFERROR(IF(IF(B186="","",IF($B186&lt;=AantalBetalingen,1,0)*IF(GeleendBedrag*Rentevoet*Leningjaren*BegindatumLening&gt;0,1,0),-PMT(Rentevoet/12,AantalBetalingen,GeleendBedrag),""),""),"")</f>
        <v/>
      </c>
      <c r="F186" s="49" t="str">
        <f>IFERROR(IF(IF($B186&lt;=AantalBetalingen,1,0)*IF(GeleendBedrag*Rentevoet*Leningjaren*BegindatumLening&gt;0,1,0),-PPMT(Rentevoet/12,ROW()-ROW(Lening[[#HEADERS],[BET.NR.]]),AantalBetalingen,GeleendBedrag),""),"")</f>
        <v/>
      </c>
      <c r="G186" s="49" t="str">
        <f>IFERROR(IF(IF($B186&lt;=AantalBetalingen,1,0)*IF(GeleendBedrag*Rentevoet*Leningjaren*BegindatumLening&gt;0,1,0),-IPMT(Rentevoet/12,$B186,AantalBetalingen,GeleendBedrag),""),"")</f>
        <v/>
      </c>
      <c r="H186" s="49" t="str">
        <f>IFERROR(IF(IF(B186="","",IF($B186&lt;=AantalBetalingen,1,0)*IF(GeleendBedrag*Rentevoet*Leningjaren*BegindatumLening&gt;0,1,0),-FV(Rentevoet/12,$B186,PMT(Rentevoet/12,AantalBetalingen,GeleendBedrag),GeleendBedrag),""),""),"")</f>
        <v/>
      </c>
    </row>
    <row r="187" ht="22.5" hidden="1" customHeight="1">
      <c r="A187" s="46">
        <f>ROW()-ROW(Lening[[#HEADERS],[BET.NR.]])</f>
        <v>178</v>
      </c>
      <c r="B187" s="50" t="str">
        <f>IFERROR(IF(IF(ROW()-ROW(Lening!$9:$9)&lt;=AantalBetalingen,1,0)*IF(GeleendBedrag*Rentevoet*$D$5*BegindatumLening&gt;0,1,0),ROW()-ROW(Lening!$9:$9),""),"")</f>
        <v/>
      </c>
      <c r="C187" s="48" t="str">
        <f>IFERROR(IF(B187="","",IF(IF(B187&lt;=AantalBetalingen,1,0)*IF(GeleendBedrag*Rentevoet*Leningjaren*BegindatumLening&gt;0,1,0),TEXT(DATE(YEAR(BegindatumLening),MONTH(BegindatumLening)+B187,DAY(BegindatumLening)),"d-m-yyyy"),""),""),"")</f>
        <v/>
      </c>
      <c r="D187" s="49" t="str">
        <f>IFERROR(IF(IF(B187="","",IF($B187&lt;=AantalBetalingen,1,0)*IF(GeleendBedrag*Rentevoet*Leningjaren*BegindatumLening&gt;0,1,0),-FV(Rentevoet/12,ROW()-ROW(Lening[[#HEADERS],[BET.NR.]])-1,PMT(Rentevoet/12,AantalBetalingen,GeleendBedrag),GeleendBedrag),""),""),"")</f>
        <v/>
      </c>
      <c r="E187" s="49" t="str">
        <f>IFERROR(IF(IF(B187="","",IF($B187&lt;=AantalBetalingen,1,0)*IF(GeleendBedrag*Rentevoet*Leningjaren*BegindatumLening&gt;0,1,0),-PMT(Rentevoet/12,AantalBetalingen,GeleendBedrag),""),""),"")</f>
        <v/>
      </c>
      <c r="F187" s="49" t="str">
        <f>IFERROR(IF(IF($B187&lt;=AantalBetalingen,1,0)*IF(GeleendBedrag*Rentevoet*Leningjaren*BegindatumLening&gt;0,1,0),-PPMT(Rentevoet/12,ROW()-ROW(Lening[[#HEADERS],[BET.NR.]]),AantalBetalingen,GeleendBedrag),""),"")</f>
        <v/>
      </c>
      <c r="G187" s="49" t="str">
        <f>IFERROR(IF(IF($B187&lt;=AantalBetalingen,1,0)*IF(GeleendBedrag*Rentevoet*Leningjaren*BegindatumLening&gt;0,1,0),-IPMT(Rentevoet/12,$B187,AantalBetalingen,GeleendBedrag),""),"")</f>
        <v/>
      </c>
      <c r="H187" s="49" t="str">
        <f>IFERROR(IF(IF(B187="","",IF($B187&lt;=AantalBetalingen,1,0)*IF(GeleendBedrag*Rentevoet*Leningjaren*BegindatumLening&gt;0,1,0),-FV(Rentevoet/12,$B187,PMT(Rentevoet/12,AantalBetalingen,GeleendBedrag),GeleendBedrag),""),""),"")</f>
        <v/>
      </c>
    </row>
    <row r="188" ht="22.5" hidden="1" customHeight="1">
      <c r="A188" s="46">
        <f>ROW()-ROW(Lening[[#HEADERS],[BET.NR.]])</f>
        <v>179</v>
      </c>
      <c r="B188" s="50" t="str">
        <f>IFERROR(IF(IF(ROW()-ROW(Lening!$9:$9)&lt;=AantalBetalingen,1,0)*IF(GeleendBedrag*Rentevoet*$D$5*BegindatumLening&gt;0,1,0),ROW()-ROW(Lening!$9:$9),""),"")</f>
        <v/>
      </c>
      <c r="C188" s="48" t="str">
        <f>IFERROR(IF(B188="","",IF(IF(B188&lt;=AantalBetalingen,1,0)*IF(GeleendBedrag*Rentevoet*Leningjaren*BegindatumLening&gt;0,1,0),TEXT(DATE(YEAR(BegindatumLening),MONTH(BegindatumLening)+B188,DAY(BegindatumLening)),"d-m-yyyy"),""),""),"")</f>
        <v/>
      </c>
      <c r="D188" s="49" t="str">
        <f>IFERROR(IF(IF(B188="","",IF($B188&lt;=AantalBetalingen,1,0)*IF(GeleendBedrag*Rentevoet*Leningjaren*BegindatumLening&gt;0,1,0),-FV(Rentevoet/12,ROW()-ROW(Lening[[#HEADERS],[BET.NR.]])-1,PMT(Rentevoet/12,AantalBetalingen,GeleendBedrag),GeleendBedrag),""),""),"")</f>
        <v/>
      </c>
      <c r="E188" s="49" t="str">
        <f>IFERROR(IF(IF(B188="","",IF($B188&lt;=AantalBetalingen,1,0)*IF(GeleendBedrag*Rentevoet*Leningjaren*BegindatumLening&gt;0,1,0),-PMT(Rentevoet/12,AantalBetalingen,GeleendBedrag),""),""),"")</f>
        <v/>
      </c>
      <c r="F188" s="49" t="str">
        <f>IFERROR(IF(IF($B188&lt;=AantalBetalingen,1,0)*IF(GeleendBedrag*Rentevoet*Leningjaren*BegindatumLening&gt;0,1,0),-PPMT(Rentevoet/12,ROW()-ROW(Lening[[#HEADERS],[BET.NR.]]),AantalBetalingen,GeleendBedrag),""),"")</f>
        <v/>
      </c>
      <c r="G188" s="49" t="str">
        <f>IFERROR(IF(IF($B188&lt;=AantalBetalingen,1,0)*IF(GeleendBedrag*Rentevoet*Leningjaren*BegindatumLening&gt;0,1,0),-IPMT(Rentevoet/12,$B188,AantalBetalingen,GeleendBedrag),""),"")</f>
        <v/>
      </c>
      <c r="H188" s="49" t="str">
        <f>IFERROR(IF(IF(B188="","",IF($B188&lt;=AantalBetalingen,1,0)*IF(GeleendBedrag*Rentevoet*Leningjaren*BegindatumLening&gt;0,1,0),-FV(Rentevoet/12,$B188,PMT(Rentevoet/12,AantalBetalingen,GeleendBedrag),GeleendBedrag),""),""),"")</f>
        <v/>
      </c>
    </row>
    <row r="189" ht="22.5" hidden="1" customHeight="1">
      <c r="A189" s="46">
        <f>ROW()-ROW(Lening[[#HEADERS],[BET.NR.]])</f>
        <v>180</v>
      </c>
      <c r="B189" s="50" t="str">
        <f>IFERROR(IF(IF(ROW()-ROW(Lening!$9:$9)&lt;=AantalBetalingen,1,0)*IF(GeleendBedrag*Rentevoet*$D$5*BegindatumLening&gt;0,1,0),ROW()-ROW(Lening!$9:$9),""),"")</f>
        <v/>
      </c>
      <c r="C189" s="48" t="str">
        <f>IFERROR(IF(B189="","",IF(IF(B189&lt;=AantalBetalingen,1,0)*IF(GeleendBedrag*Rentevoet*Leningjaren*BegindatumLening&gt;0,1,0),TEXT(DATE(YEAR(BegindatumLening),MONTH(BegindatumLening)+B189,DAY(BegindatumLening)),"d-m-yyyy"),""),""),"")</f>
        <v/>
      </c>
      <c r="D189" s="49" t="str">
        <f>IFERROR(IF(IF(B189="","",IF($B189&lt;=AantalBetalingen,1,0)*IF(GeleendBedrag*Rentevoet*Leningjaren*BegindatumLening&gt;0,1,0),-FV(Rentevoet/12,ROW()-ROW(Lening[[#HEADERS],[BET.NR.]])-1,PMT(Rentevoet/12,AantalBetalingen,GeleendBedrag),GeleendBedrag),""),""),"")</f>
        <v/>
      </c>
      <c r="E189" s="49" t="str">
        <f>IFERROR(IF(IF(B189="","",IF($B189&lt;=AantalBetalingen,1,0)*IF(GeleendBedrag*Rentevoet*Leningjaren*BegindatumLening&gt;0,1,0),-PMT(Rentevoet/12,AantalBetalingen,GeleendBedrag),""),""),"")</f>
        <v/>
      </c>
      <c r="F189" s="49" t="str">
        <f>IFERROR(IF(IF($B189&lt;=AantalBetalingen,1,0)*IF(GeleendBedrag*Rentevoet*Leningjaren*BegindatumLening&gt;0,1,0),-PPMT(Rentevoet/12,ROW()-ROW(Lening[[#HEADERS],[BET.NR.]]),AantalBetalingen,GeleendBedrag),""),"")</f>
        <v/>
      </c>
      <c r="G189" s="49" t="str">
        <f>IFERROR(IF(IF($B189&lt;=AantalBetalingen,1,0)*IF(GeleendBedrag*Rentevoet*Leningjaren*BegindatumLening&gt;0,1,0),-IPMT(Rentevoet/12,$B189,AantalBetalingen,GeleendBedrag),""),"")</f>
        <v/>
      </c>
      <c r="H189" s="49" t="str">
        <f>IFERROR(IF(IF(B189="","",IF($B189&lt;=AantalBetalingen,1,0)*IF(GeleendBedrag*Rentevoet*Leningjaren*BegindatumLening&gt;0,1,0),-FV(Rentevoet/12,$B189,PMT(Rentevoet/12,AantalBetalingen,GeleendBedrag),GeleendBedrag),""),""),"")</f>
        <v/>
      </c>
    </row>
    <row r="190" ht="22.5" hidden="1" customHeight="1">
      <c r="A190" s="46">
        <f>ROW()-ROW(Lening[[#HEADERS],[BET.NR.]])</f>
        <v>181</v>
      </c>
      <c r="B190" s="50" t="str">
        <f>IFERROR(IF(IF(ROW()-ROW(Lening!$9:$9)&lt;=AantalBetalingen,1,0)*IF(GeleendBedrag*Rentevoet*$D$5*BegindatumLening&gt;0,1,0),ROW()-ROW(Lening!$9:$9),""),"")</f>
        <v/>
      </c>
      <c r="C190" s="48" t="str">
        <f>IFERROR(IF(B190="","",IF(IF(B190&lt;=AantalBetalingen,1,0)*IF(GeleendBedrag*Rentevoet*Leningjaren*BegindatumLening&gt;0,1,0),TEXT(DATE(YEAR(BegindatumLening),MONTH(BegindatumLening)+B190,DAY(BegindatumLening)),"d-m-yyyy"),""),""),"")</f>
        <v/>
      </c>
      <c r="D190" s="49" t="str">
        <f>IFERROR(IF(IF(B190="","",IF($B190&lt;=AantalBetalingen,1,0)*IF(GeleendBedrag*Rentevoet*Leningjaren*BegindatumLening&gt;0,1,0),-FV(Rentevoet/12,ROW()-ROW(Lening[[#HEADERS],[BET.NR.]])-1,PMT(Rentevoet/12,AantalBetalingen,GeleendBedrag),GeleendBedrag),""),""),"")</f>
        <v/>
      </c>
      <c r="E190" s="49" t="str">
        <f>IFERROR(IF(IF(B190="","",IF($B190&lt;=AantalBetalingen,1,0)*IF(GeleendBedrag*Rentevoet*Leningjaren*BegindatumLening&gt;0,1,0),-PMT(Rentevoet/12,AantalBetalingen,GeleendBedrag),""),""),"")</f>
        <v/>
      </c>
      <c r="F190" s="49" t="str">
        <f>IFERROR(IF(IF($B190&lt;=AantalBetalingen,1,0)*IF(GeleendBedrag*Rentevoet*Leningjaren*BegindatumLening&gt;0,1,0),-PPMT(Rentevoet/12,ROW()-ROW(Lening[[#HEADERS],[BET.NR.]]),AantalBetalingen,GeleendBedrag),""),"")</f>
        <v/>
      </c>
      <c r="G190" s="49" t="str">
        <f>IFERROR(IF(IF($B190&lt;=AantalBetalingen,1,0)*IF(GeleendBedrag*Rentevoet*Leningjaren*BegindatumLening&gt;0,1,0),-IPMT(Rentevoet/12,$B190,AantalBetalingen,GeleendBedrag),""),"")</f>
        <v/>
      </c>
      <c r="H190" s="49" t="str">
        <f>IFERROR(IF(IF(B190="","",IF($B190&lt;=AantalBetalingen,1,0)*IF(GeleendBedrag*Rentevoet*Leningjaren*BegindatumLening&gt;0,1,0),-FV(Rentevoet/12,$B190,PMT(Rentevoet/12,AantalBetalingen,GeleendBedrag),GeleendBedrag),""),""),"")</f>
        <v/>
      </c>
    </row>
    <row r="191" ht="22.5" hidden="1" customHeight="1">
      <c r="A191" s="46">
        <f>ROW()-ROW(Lening[[#HEADERS],[BET.NR.]])</f>
        <v>182</v>
      </c>
      <c r="B191" s="50" t="str">
        <f>IFERROR(IF(IF(ROW()-ROW(Lening!$9:$9)&lt;=AantalBetalingen,1,0)*IF(GeleendBedrag*Rentevoet*$D$5*BegindatumLening&gt;0,1,0),ROW()-ROW(Lening!$9:$9),""),"")</f>
        <v/>
      </c>
      <c r="C191" s="48" t="str">
        <f>IFERROR(IF(B191="","",IF(IF(B191&lt;=AantalBetalingen,1,0)*IF(GeleendBedrag*Rentevoet*Leningjaren*BegindatumLening&gt;0,1,0),TEXT(DATE(YEAR(BegindatumLening),MONTH(BegindatumLening)+B191,DAY(BegindatumLening)),"d-m-yyyy"),""),""),"")</f>
        <v/>
      </c>
      <c r="D191" s="49" t="str">
        <f>IFERROR(IF(IF(B191="","",IF($B191&lt;=AantalBetalingen,1,0)*IF(GeleendBedrag*Rentevoet*Leningjaren*BegindatumLening&gt;0,1,0),-FV(Rentevoet/12,ROW()-ROW(Lening[[#HEADERS],[BET.NR.]])-1,PMT(Rentevoet/12,AantalBetalingen,GeleendBedrag),GeleendBedrag),""),""),"")</f>
        <v/>
      </c>
      <c r="E191" s="49" t="str">
        <f>IFERROR(IF(IF(B191="","",IF($B191&lt;=AantalBetalingen,1,0)*IF(GeleendBedrag*Rentevoet*Leningjaren*BegindatumLening&gt;0,1,0),-PMT(Rentevoet/12,AantalBetalingen,GeleendBedrag),""),""),"")</f>
        <v/>
      </c>
      <c r="F191" s="49" t="str">
        <f>IFERROR(IF(IF($B191&lt;=AantalBetalingen,1,0)*IF(GeleendBedrag*Rentevoet*Leningjaren*BegindatumLening&gt;0,1,0),-PPMT(Rentevoet/12,ROW()-ROW(Lening[[#HEADERS],[BET.NR.]]),AantalBetalingen,GeleendBedrag),""),"")</f>
        <v/>
      </c>
      <c r="G191" s="49" t="str">
        <f>IFERROR(IF(IF($B191&lt;=AantalBetalingen,1,0)*IF(GeleendBedrag*Rentevoet*Leningjaren*BegindatumLening&gt;0,1,0),-IPMT(Rentevoet/12,$B191,AantalBetalingen,GeleendBedrag),""),"")</f>
        <v/>
      </c>
      <c r="H191" s="49" t="str">
        <f>IFERROR(IF(IF(B191="","",IF($B191&lt;=AantalBetalingen,1,0)*IF(GeleendBedrag*Rentevoet*Leningjaren*BegindatumLening&gt;0,1,0),-FV(Rentevoet/12,$B191,PMT(Rentevoet/12,AantalBetalingen,GeleendBedrag),GeleendBedrag),""),""),"")</f>
        <v/>
      </c>
    </row>
    <row r="192" ht="22.5" hidden="1" customHeight="1">
      <c r="A192" s="46">
        <f>ROW()-ROW(Lening[[#HEADERS],[BET.NR.]])</f>
        <v>183</v>
      </c>
      <c r="B192" s="50" t="str">
        <f>IFERROR(IF(IF(ROW()-ROW(Lening!$9:$9)&lt;=AantalBetalingen,1,0)*IF(GeleendBedrag*Rentevoet*$D$5*BegindatumLening&gt;0,1,0),ROW()-ROW(Lening!$9:$9),""),"")</f>
        <v/>
      </c>
      <c r="C192" s="48" t="str">
        <f>IFERROR(IF(B192="","",IF(IF(B192&lt;=AantalBetalingen,1,0)*IF(GeleendBedrag*Rentevoet*Leningjaren*BegindatumLening&gt;0,1,0),TEXT(DATE(YEAR(BegindatumLening),MONTH(BegindatumLening)+B192,DAY(BegindatumLening)),"d-m-yyyy"),""),""),"")</f>
        <v/>
      </c>
      <c r="D192" s="49" t="str">
        <f>IFERROR(IF(IF(B192="","",IF($B192&lt;=AantalBetalingen,1,0)*IF(GeleendBedrag*Rentevoet*Leningjaren*BegindatumLening&gt;0,1,0),-FV(Rentevoet/12,ROW()-ROW(Lening[[#HEADERS],[BET.NR.]])-1,PMT(Rentevoet/12,AantalBetalingen,GeleendBedrag),GeleendBedrag),""),""),"")</f>
        <v/>
      </c>
      <c r="E192" s="49" t="str">
        <f>IFERROR(IF(IF(B192="","",IF($B192&lt;=AantalBetalingen,1,0)*IF(GeleendBedrag*Rentevoet*Leningjaren*BegindatumLening&gt;0,1,0),-PMT(Rentevoet/12,AantalBetalingen,GeleendBedrag),""),""),"")</f>
        <v/>
      </c>
      <c r="F192" s="49" t="str">
        <f>IFERROR(IF(IF($B192&lt;=AantalBetalingen,1,0)*IF(GeleendBedrag*Rentevoet*Leningjaren*BegindatumLening&gt;0,1,0),-PPMT(Rentevoet/12,ROW()-ROW(Lening[[#HEADERS],[BET.NR.]]),AantalBetalingen,GeleendBedrag),""),"")</f>
        <v/>
      </c>
      <c r="G192" s="49" t="str">
        <f>IFERROR(IF(IF($B192&lt;=AantalBetalingen,1,0)*IF(GeleendBedrag*Rentevoet*Leningjaren*BegindatumLening&gt;0,1,0),-IPMT(Rentevoet/12,$B192,AantalBetalingen,GeleendBedrag),""),"")</f>
        <v/>
      </c>
      <c r="H192" s="49" t="str">
        <f>IFERROR(IF(IF(B192="","",IF($B192&lt;=AantalBetalingen,1,0)*IF(GeleendBedrag*Rentevoet*Leningjaren*BegindatumLening&gt;0,1,0),-FV(Rentevoet/12,$B192,PMT(Rentevoet/12,AantalBetalingen,GeleendBedrag),GeleendBedrag),""),""),"")</f>
        <v/>
      </c>
    </row>
    <row r="193" ht="22.5" hidden="1" customHeight="1">
      <c r="A193" s="46">
        <f>ROW()-ROW(Lening[[#HEADERS],[BET.NR.]])</f>
        <v>184</v>
      </c>
      <c r="B193" s="50" t="str">
        <f>IFERROR(IF(IF(ROW()-ROW(Lening!$9:$9)&lt;=AantalBetalingen,1,0)*IF(GeleendBedrag*Rentevoet*$D$5*BegindatumLening&gt;0,1,0),ROW()-ROW(Lening!$9:$9),""),"")</f>
        <v/>
      </c>
      <c r="C193" s="48" t="str">
        <f>IFERROR(IF(B193="","",IF(IF(B193&lt;=AantalBetalingen,1,0)*IF(GeleendBedrag*Rentevoet*Leningjaren*BegindatumLening&gt;0,1,0),TEXT(DATE(YEAR(BegindatumLening),MONTH(BegindatumLening)+B193,DAY(BegindatumLening)),"d-m-yyyy"),""),""),"")</f>
        <v/>
      </c>
      <c r="D193" s="49" t="str">
        <f>IFERROR(IF(IF(B193="","",IF($B193&lt;=AantalBetalingen,1,0)*IF(GeleendBedrag*Rentevoet*Leningjaren*BegindatumLening&gt;0,1,0),-FV(Rentevoet/12,ROW()-ROW(Lening[[#HEADERS],[BET.NR.]])-1,PMT(Rentevoet/12,AantalBetalingen,GeleendBedrag),GeleendBedrag),""),""),"")</f>
        <v/>
      </c>
      <c r="E193" s="49" t="str">
        <f>IFERROR(IF(IF(B193="","",IF($B193&lt;=AantalBetalingen,1,0)*IF(GeleendBedrag*Rentevoet*Leningjaren*BegindatumLening&gt;0,1,0),-PMT(Rentevoet/12,AantalBetalingen,GeleendBedrag),""),""),"")</f>
        <v/>
      </c>
      <c r="F193" s="49" t="str">
        <f>IFERROR(IF(IF($B193&lt;=AantalBetalingen,1,0)*IF(GeleendBedrag*Rentevoet*Leningjaren*BegindatumLening&gt;0,1,0),-PPMT(Rentevoet/12,ROW()-ROW(Lening[[#HEADERS],[BET.NR.]]),AantalBetalingen,GeleendBedrag),""),"")</f>
        <v/>
      </c>
      <c r="G193" s="49" t="str">
        <f>IFERROR(IF(IF($B193&lt;=AantalBetalingen,1,0)*IF(GeleendBedrag*Rentevoet*Leningjaren*BegindatumLening&gt;0,1,0),-IPMT(Rentevoet/12,$B193,AantalBetalingen,GeleendBedrag),""),"")</f>
        <v/>
      </c>
      <c r="H193" s="49" t="str">
        <f>IFERROR(IF(IF(B193="","",IF($B193&lt;=AantalBetalingen,1,0)*IF(GeleendBedrag*Rentevoet*Leningjaren*BegindatumLening&gt;0,1,0),-FV(Rentevoet/12,$B193,PMT(Rentevoet/12,AantalBetalingen,GeleendBedrag),GeleendBedrag),""),""),"")</f>
        <v/>
      </c>
    </row>
    <row r="194" ht="22.5" hidden="1" customHeight="1">
      <c r="A194" s="46">
        <f>ROW()-ROW(Lening[[#HEADERS],[BET.NR.]])</f>
        <v>185</v>
      </c>
      <c r="B194" s="50" t="str">
        <f>IFERROR(IF(IF(ROW()-ROW(Lening!$9:$9)&lt;=AantalBetalingen,1,0)*IF(GeleendBedrag*Rentevoet*$D$5*BegindatumLening&gt;0,1,0),ROW()-ROW(Lening!$9:$9),""),"")</f>
        <v/>
      </c>
      <c r="C194" s="48" t="str">
        <f>IFERROR(IF(B194="","",IF(IF(B194&lt;=AantalBetalingen,1,0)*IF(GeleendBedrag*Rentevoet*Leningjaren*BegindatumLening&gt;0,1,0),TEXT(DATE(YEAR(BegindatumLening),MONTH(BegindatumLening)+B194,DAY(BegindatumLening)),"d-m-yyyy"),""),""),"")</f>
        <v/>
      </c>
      <c r="D194" s="49" t="str">
        <f>IFERROR(IF(IF(B194="","",IF($B194&lt;=AantalBetalingen,1,0)*IF(GeleendBedrag*Rentevoet*Leningjaren*BegindatumLening&gt;0,1,0),-FV(Rentevoet/12,ROW()-ROW(Lening[[#HEADERS],[BET.NR.]])-1,PMT(Rentevoet/12,AantalBetalingen,GeleendBedrag),GeleendBedrag),""),""),"")</f>
        <v/>
      </c>
      <c r="E194" s="49" t="str">
        <f>IFERROR(IF(IF(B194="","",IF($B194&lt;=AantalBetalingen,1,0)*IF(GeleendBedrag*Rentevoet*Leningjaren*BegindatumLening&gt;0,1,0),-PMT(Rentevoet/12,AantalBetalingen,GeleendBedrag),""),""),"")</f>
        <v/>
      </c>
      <c r="F194" s="49" t="str">
        <f>IFERROR(IF(IF($B194&lt;=AantalBetalingen,1,0)*IF(GeleendBedrag*Rentevoet*Leningjaren*BegindatumLening&gt;0,1,0),-PPMT(Rentevoet/12,ROW()-ROW(Lening[[#HEADERS],[BET.NR.]]),AantalBetalingen,GeleendBedrag),""),"")</f>
        <v/>
      </c>
      <c r="G194" s="49" t="str">
        <f>IFERROR(IF(IF($B194&lt;=AantalBetalingen,1,0)*IF(GeleendBedrag*Rentevoet*Leningjaren*BegindatumLening&gt;0,1,0),-IPMT(Rentevoet/12,$B194,AantalBetalingen,GeleendBedrag),""),"")</f>
        <v/>
      </c>
      <c r="H194" s="49" t="str">
        <f>IFERROR(IF(IF(B194="","",IF($B194&lt;=AantalBetalingen,1,0)*IF(GeleendBedrag*Rentevoet*Leningjaren*BegindatumLening&gt;0,1,0),-FV(Rentevoet/12,$B194,PMT(Rentevoet/12,AantalBetalingen,GeleendBedrag),GeleendBedrag),""),""),"")</f>
        <v/>
      </c>
    </row>
    <row r="195" ht="22.5" hidden="1" customHeight="1">
      <c r="A195" s="46">
        <f>ROW()-ROW(Lening[[#HEADERS],[BET.NR.]])</f>
        <v>186</v>
      </c>
      <c r="B195" s="50" t="str">
        <f>IFERROR(IF(IF(ROW()-ROW(Lening!$9:$9)&lt;=AantalBetalingen,1,0)*IF(GeleendBedrag*Rentevoet*$D$5*BegindatumLening&gt;0,1,0),ROW()-ROW(Lening!$9:$9),""),"")</f>
        <v/>
      </c>
      <c r="C195" s="48" t="str">
        <f>IFERROR(IF(B195="","",IF(IF(B195&lt;=AantalBetalingen,1,0)*IF(GeleendBedrag*Rentevoet*Leningjaren*BegindatumLening&gt;0,1,0),TEXT(DATE(YEAR(BegindatumLening),MONTH(BegindatumLening)+B195,DAY(BegindatumLening)),"d-m-yyyy"),""),""),"")</f>
        <v/>
      </c>
      <c r="D195" s="49" t="str">
        <f>IFERROR(IF(IF(B195="","",IF($B195&lt;=AantalBetalingen,1,0)*IF(GeleendBedrag*Rentevoet*Leningjaren*BegindatumLening&gt;0,1,0),-FV(Rentevoet/12,ROW()-ROW(Lening[[#HEADERS],[BET.NR.]])-1,PMT(Rentevoet/12,AantalBetalingen,GeleendBedrag),GeleendBedrag),""),""),"")</f>
        <v/>
      </c>
      <c r="E195" s="49" t="str">
        <f>IFERROR(IF(IF(B195="","",IF($B195&lt;=AantalBetalingen,1,0)*IF(GeleendBedrag*Rentevoet*Leningjaren*BegindatumLening&gt;0,1,0),-PMT(Rentevoet/12,AantalBetalingen,GeleendBedrag),""),""),"")</f>
        <v/>
      </c>
      <c r="F195" s="49" t="str">
        <f>IFERROR(IF(IF($B195&lt;=AantalBetalingen,1,0)*IF(GeleendBedrag*Rentevoet*Leningjaren*BegindatumLening&gt;0,1,0),-PPMT(Rentevoet/12,ROW()-ROW(Lening[[#HEADERS],[BET.NR.]]),AantalBetalingen,GeleendBedrag),""),"")</f>
        <v/>
      </c>
      <c r="G195" s="49" t="str">
        <f>IFERROR(IF(IF($B195&lt;=AantalBetalingen,1,0)*IF(GeleendBedrag*Rentevoet*Leningjaren*BegindatumLening&gt;0,1,0),-IPMT(Rentevoet/12,$B195,AantalBetalingen,GeleendBedrag),""),"")</f>
        <v/>
      </c>
      <c r="H195" s="49" t="str">
        <f>IFERROR(IF(IF(B195="","",IF($B195&lt;=AantalBetalingen,1,0)*IF(GeleendBedrag*Rentevoet*Leningjaren*BegindatumLening&gt;0,1,0),-FV(Rentevoet/12,$B195,PMT(Rentevoet/12,AantalBetalingen,GeleendBedrag),GeleendBedrag),""),""),"")</f>
        <v/>
      </c>
    </row>
    <row r="196" ht="22.5" hidden="1" customHeight="1">
      <c r="A196" s="46">
        <f>ROW()-ROW(Lening[[#HEADERS],[BET.NR.]])</f>
        <v>187</v>
      </c>
      <c r="B196" s="50" t="str">
        <f>IFERROR(IF(IF(ROW()-ROW(Lening!$9:$9)&lt;=AantalBetalingen,1,0)*IF(GeleendBedrag*Rentevoet*$D$5*BegindatumLening&gt;0,1,0),ROW()-ROW(Lening!$9:$9),""),"")</f>
        <v/>
      </c>
      <c r="C196" s="48" t="str">
        <f>IFERROR(IF(B196="","",IF(IF(B196&lt;=AantalBetalingen,1,0)*IF(GeleendBedrag*Rentevoet*Leningjaren*BegindatumLening&gt;0,1,0),TEXT(DATE(YEAR(BegindatumLening),MONTH(BegindatumLening)+B196,DAY(BegindatumLening)),"d-m-yyyy"),""),""),"")</f>
        <v/>
      </c>
      <c r="D196" s="49" t="str">
        <f>IFERROR(IF(IF(B196="","",IF($B196&lt;=AantalBetalingen,1,0)*IF(GeleendBedrag*Rentevoet*Leningjaren*BegindatumLening&gt;0,1,0),-FV(Rentevoet/12,ROW()-ROW(Lening[[#HEADERS],[BET.NR.]])-1,PMT(Rentevoet/12,AantalBetalingen,GeleendBedrag),GeleendBedrag),""),""),"")</f>
        <v/>
      </c>
      <c r="E196" s="49" t="str">
        <f>IFERROR(IF(IF(B196="","",IF($B196&lt;=AantalBetalingen,1,0)*IF(GeleendBedrag*Rentevoet*Leningjaren*BegindatumLening&gt;0,1,0),-PMT(Rentevoet/12,AantalBetalingen,GeleendBedrag),""),""),"")</f>
        <v/>
      </c>
      <c r="F196" s="49" t="str">
        <f>IFERROR(IF(IF($B196&lt;=AantalBetalingen,1,0)*IF(GeleendBedrag*Rentevoet*Leningjaren*BegindatumLening&gt;0,1,0),-PPMT(Rentevoet/12,ROW()-ROW(Lening[[#HEADERS],[BET.NR.]]),AantalBetalingen,GeleendBedrag),""),"")</f>
        <v/>
      </c>
      <c r="G196" s="49" t="str">
        <f>IFERROR(IF(IF($B196&lt;=AantalBetalingen,1,0)*IF(GeleendBedrag*Rentevoet*Leningjaren*BegindatumLening&gt;0,1,0),-IPMT(Rentevoet/12,$B196,AantalBetalingen,GeleendBedrag),""),"")</f>
        <v/>
      </c>
      <c r="H196" s="49" t="str">
        <f>IFERROR(IF(IF(B196="","",IF($B196&lt;=AantalBetalingen,1,0)*IF(GeleendBedrag*Rentevoet*Leningjaren*BegindatumLening&gt;0,1,0),-FV(Rentevoet/12,$B196,PMT(Rentevoet/12,AantalBetalingen,GeleendBedrag),GeleendBedrag),""),""),"")</f>
        <v/>
      </c>
    </row>
    <row r="197" ht="22.5" hidden="1" customHeight="1">
      <c r="A197" s="46">
        <f>ROW()-ROW(Lening[[#HEADERS],[BET.NR.]])</f>
        <v>188</v>
      </c>
      <c r="B197" s="50" t="str">
        <f>IFERROR(IF(IF(ROW()-ROW(Lening!$9:$9)&lt;=AantalBetalingen,1,0)*IF(GeleendBedrag*Rentevoet*$D$5*BegindatumLening&gt;0,1,0),ROW()-ROW(Lening!$9:$9),""),"")</f>
        <v/>
      </c>
      <c r="C197" s="48" t="str">
        <f>IFERROR(IF(B197="","",IF(IF(B197&lt;=AantalBetalingen,1,0)*IF(GeleendBedrag*Rentevoet*Leningjaren*BegindatumLening&gt;0,1,0),TEXT(DATE(YEAR(BegindatumLening),MONTH(BegindatumLening)+B197,DAY(BegindatumLening)),"d-m-yyyy"),""),""),"")</f>
        <v/>
      </c>
      <c r="D197" s="49" t="str">
        <f>IFERROR(IF(IF(B197="","",IF($B197&lt;=AantalBetalingen,1,0)*IF(GeleendBedrag*Rentevoet*Leningjaren*BegindatumLening&gt;0,1,0),-FV(Rentevoet/12,ROW()-ROW(Lening[[#HEADERS],[BET.NR.]])-1,PMT(Rentevoet/12,AantalBetalingen,GeleendBedrag),GeleendBedrag),""),""),"")</f>
        <v/>
      </c>
      <c r="E197" s="49" t="str">
        <f>IFERROR(IF(IF(B197="","",IF($B197&lt;=AantalBetalingen,1,0)*IF(GeleendBedrag*Rentevoet*Leningjaren*BegindatumLening&gt;0,1,0),-PMT(Rentevoet/12,AantalBetalingen,GeleendBedrag),""),""),"")</f>
        <v/>
      </c>
      <c r="F197" s="49" t="str">
        <f>IFERROR(IF(IF($B197&lt;=AantalBetalingen,1,0)*IF(GeleendBedrag*Rentevoet*Leningjaren*BegindatumLening&gt;0,1,0),-PPMT(Rentevoet/12,ROW()-ROW(Lening[[#HEADERS],[BET.NR.]]),AantalBetalingen,GeleendBedrag),""),"")</f>
        <v/>
      </c>
      <c r="G197" s="49" t="str">
        <f>IFERROR(IF(IF($B197&lt;=AantalBetalingen,1,0)*IF(GeleendBedrag*Rentevoet*Leningjaren*BegindatumLening&gt;0,1,0),-IPMT(Rentevoet/12,$B197,AantalBetalingen,GeleendBedrag),""),"")</f>
        <v/>
      </c>
      <c r="H197" s="49" t="str">
        <f>IFERROR(IF(IF(B197="","",IF($B197&lt;=AantalBetalingen,1,0)*IF(GeleendBedrag*Rentevoet*Leningjaren*BegindatumLening&gt;0,1,0),-FV(Rentevoet/12,$B197,PMT(Rentevoet/12,AantalBetalingen,GeleendBedrag),GeleendBedrag),""),""),"")</f>
        <v/>
      </c>
    </row>
    <row r="198" ht="22.5" hidden="1" customHeight="1">
      <c r="A198" s="46">
        <f>ROW()-ROW(Lening[[#HEADERS],[BET.NR.]])</f>
        <v>189</v>
      </c>
      <c r="B198" s="50" t="str">
        <f>IFERROR(IF(IF(ROW()-ROW(Lening!$9:$9)&lt;=AantalBetalingen,1,0)*IF(GeleendBedrag*Rentevoet*$D$5*BegindatumLening&gt;0,1,0),ROW()-ROW(Lening!$9:$9),""),"")</f>
        <v/>
      </c>
      <c r="C198" s="48" t="str">
        <f>IFERROR(IF(B198="","",IF(IF(B198&lt;=AantalBetalingen,1,0)*IF(GeleendBedrag*Rentevoet*Leningjaren*BegindatumLening&gt;0,1,0),TEXT(DATE(YEAR(BegindatumLening),MONTH(BegindatumLening)+B198,DAY(BegindatumLening)),"d-m-yyyy"),""),""),"")</f>
        <v/>
      </c>
      <c r="D198" s="49" t="str">
        <f>IFERROR(IF(IF(B198="","",IF($B198&lt;=AantalBetalingen,1,0)*IF(GeleendBedrag*Rentevoet*Leningjaren*BegindatumLening&gt;0,1,0),-FV(Rentevoet/12,ROW()-ROW(Lening[[#HEADERS],[BET.NR.]])-1,PMT(Rentevoet/12,AantalBetalingen,GeleendBedrag),GeleendBedrag),""),""),"")</f>
        <v/>
      </c>
      <c r="E198" s="49" t="str">
        <f>IFERROR(IF(IF(B198="","",IF($B198&lt;=AantalBetalingen,1,0)*IF(GeleendBedrag*Rentevoet*Leningjaren*BegindatumLening&gt;0,1,0),-PMT(Rentevoet/12,AantalBetalingen,GeleendBedrag),""),""),"")</f>
        <v/>
      </c>
      <c r="F198" s="49" t="str">
        <f>IFERROR(IF(IF($B198&lt;=AantalBetalingen,1,0)*IF(GeleendBedrag*Rentevoet*Leningjaren*BegindatumLening&gt;0,1,0),-PPMT(Rentevoet/12,ROW()-ROW(Lening[[#HEADERS],[BET.NR.]]),AantalBetalingen,GeleendBedrag),""),"")</f>
        <v/>
      </c>
      <c r="G198" s="49" t="str">
        <f>IFERROR(IF(IF($B198&lt;=AantalBetalingen,1,0)*IF(GeleendBedrag*Rentevoet*Leningjaren*BegindatumLening&gt;0,1,0),-IPMT(Rentevoet/12,$B198,AantalBetalingen,GeleendBedrag),""),"")</f>
        <v/>
      </c>
      <c r="H198" s="49" t="str">
        <f>IFERROR(IF(IF(B198="","",IF($B198&lt;=AantalBetalingen,1,0)*IF(GeleendBedrag*Rentevoet*Leningjaren*BegindatumLening&gt;0,1,0),-FV(Rentevoet/12,$B198,PMT(Rentevoet/12,AantalBetalingen,GeleendBedrag),GeleendBedrag),""),""),"")</f>
        <v/>
      </c>
    </row>
    <row r="199" ht="22.5" hidden="1" customHeight="1">
      <c r="A199" s="46">
        <f>ROW()-ROW(Lening[[#HEADERS],[BET.NR.]])</f>
        <v>190</v>
      </c>
      <c r="B199" s="50" t="str">
        <f>IFERROR(IF(IF(ROW()-ROW(Lening!$9:$9)&lt;=AantalBetalingen,1,0)*IF(GeleendBedrag*Rentevoet*$D$5*BegindatumLening&gt;0,1,0),ROW()-ROW(Lening!$9:$9),""),"")</f>
        <v/>
      </c>
      <c r="C199" s="48" t="str">
        <f>IFERROR(IF(B199="","",IF(IF(B199&lt;=AantalBetalingen,1,0)*IF(GeleendBedrag*Rentevoet*Leningjaren*BegindatumLening&gt;0,1,0),TEXT(DATE(YEAR(BegindatumLening),MONTH(BegindatumLening)+B199,DAY(BegindatumLening)),"d-m-yyyy"),""),""),"")</f>
        <v/>
      </c>
      <c r="D199" s="49" t="str">
        <f>IFERROR(IF(IF(B199="","",IF($B199&lt;=AantalBetalingen,1,0)*IF(GeleendBedrag*Rentevoet*Leningjaren*BegindatumLening&gt;0,1,0),-FV(Rentevoet/12,ROW()-ROW(Lening[[#HEADERS],[BET.NR.]])-1,PMT(Rentevoet/12,AantalBetalingen,GeleendBedrag),GeleendBedrag),""),""),"")</f>
        <v/>
      </c>
      <c r="E199" s="49" t="str">
        <f>IFERROR(IF(IF(B199="","",IF($B199&lt;=AantalBetalingen,1,0)*IF(GeleendBedrag*Rentevoet*Leningjaren*BegindatumLening&gt;0,1,0),-PMT(Rentevoet/12,AantalBetalingen,GeleendBedrag),""),""),"")</f>
        <v/>
      </c>
      <c r="F199" s="49" t="str">
        <f>IFERROR(IF(IF($B199&lt;=AantalBetalingen,1,0)*IF(GeleendBedrag*Rentevoet*Leningjaren*BegindatumLening&gt;0,1,0),-PPMT(Rentevoet/12,ROW()-ROW(Lening[[#HEADERS],[BET.NR.]]),AantalBetalingen,GeleendBedrag),""),"")</f>
        <v/>
      </c>
      <c r="G199" s="49" t="str">
        <f>IFERROR(IF(IF($B199&lt;=AantalBetalingen,1,0)*IF(GeleendBedrag*Rentevoet*Leningjaren*BegindatumLening&gt;0,1,0),-IPMT(Rentevoet/12,$B199,AantalBetalingen,GeleendBedrag),""),"")</f>
        <v/>
      </c>
      <c r="H199" s="49" t="str">
        <f>IFERROR(IF(IF(B199="","",IF($B199&lt;=AantalBetalingen,1,0)*IF(GeleendBedrag*Rentevoet*Leningjaren*BegindatumLening&gt;0,1,0),-FV(Rentevoet/12,$B199,PMT(Rentevoet/12,AantalBetalingen,GeleendBedrag),GeleendBedrag),""),""),"")</f>
        <v/>
      </c>
    </row>
    <row r="200" ht="22.5" hidden="1" customHeight="1">
      <c r="A200" s="46">
        <f>ROW()-ROW(Lening[[#HEADERS],[BET.NR.]])</f>
        <v>191</v>
      </c>
      <c r="B200" s="50" t="str">
        <f>IFERROR(IF(IF(ROW()-ROW(Lening!$9:$9)&lt;=AantalBetalingen,1,0)*IF(GeleendBedrag*Rentevoet*$D$5*BegindatumLening&gt;0,1,0),ROW()-ROW(Lening!$9:$9),""),"")</f>
        <v/>
      </c>
      <c r="C200" s="48" t="str">
        <f>IFERROR(IF(B200="","",IF(IF(B200&lt;=AantalBetalingen,1,0)*IF(GeleendBedrag*Rentevoet*Leningjaren*BegindatumLening&gt;0,1,0),TEXT(DATE(YEAR(BegindatumLening),MONTH(BegindatumLening)+B200,DAY(BegindatumLening)),"d-m-yyyy"),""),""),"")</f>
        <v/>
      </c>
      <c r="D200" s="49" t="str">
        <f>IFERROR(IF(IF(B200="","",IF($B200&lt;=AantalBetalingen,1,0)*IF(GeleendBedrag*Rentevoet*Leningjaren*BegindatumLening&gt;0,1,0),-FV(Rentevoet/12,ROW()-ROW(Lening[[#HEADERS],[BET.NR.]])-1,PMT(Rentevoet/12,AantalBetalingen,GeleendBedrag),GeleendBedrag),""),""),"")</f>
        <v/>
      </c>
      <c r="E200" s="49" t="str">
        <f>IFERROR(IF(IF(B200="","",IF($B200&lt;=AantalBetalingen,1,0)*IF(GeleendBedrag*Rentevoet*Leningjaren*BegindatumLening&gt;0,1,0),-PMT(Rentevoet/12,AantalBetalingen,GeleendBedrag),""),""),"")</f>
        <v/>
      </c>
      <c r="F200" s="49" t="str">
        <f>IFERROR(IF(IF($B200&lt;=AantalBetalingen,1,0)*IF(GeleendBedrag*Rentevoet*Leningjaren*BegindatumLening&gt;0,1,0),-PPMT(Rentevoet/12,ROW()-ROW(Lening[[#HEADERS],[BET.NR.]]),AantalBetalingen,GeleendBedrag),""),"")</f>
        <v/>
      </c>
      <c r="G200" s="49" t="str">
        <f>IFERROR(IF(IF($B200&lt;=AantalBetalingen,1,0)*IF(GeleendBedrag*Rentevoet*Leningjaren*BegindatumLening&gt;0,1,0),-IPMT(Rentevoet/12,$B200,AantalBetalingen,GeleendBedrag),""),"")</f>
        <v/>
      </c>
      <c r="H200" s="49" t="str">
        <f>IFERROR(IF(IF(B200="","",IF($B200&lt;=AantalBetalingen,1,0)*IF(GeleendBedrag*Rentevoet*Leningjaren*BegindatumLening&gt;0,1,0),-FV(Rentevoet/12,$B200,PMT(Rentevoet/12,AantalBetalingen,GeleendBedrag),GeleendBedrag),""),""),"")</f>
        <v/>
      </c>
    </row>
    <row r="201" ht="22.5" hidden="1" customHeight="1">
      <c r="A201" s="46">
        <f>ROW()-ROW(Lening[[#HEADERS],[BET.NR.]])</f>
        <v>192</v>
      </c>
      <c r="B201" s="50" t="str">
        <f>IFERROR(IF(IF(ROW()-ROW(Lening!$9:$9)&lt;=AantalBetalingen,1,0)*IF(GeleendBedrag*Rentevoet*$D$5*BegindatumLening&gt;0,1,0),ROW()-ROW(Lening!$9:$9),""),"")</f>
        <v/>
      </c>
      <c r="C201" s="48" t="str">
        <f>IFERROR(IF(B201="","",IF(IF(B201&lt;=AantalBetalingen,1,0)*IF(GeleendBedrag*Rentevoet*Leningjaren*BegindatumLening&gt;0,1,0),TEXT(DATE(YEAR(BegindatumLening),MONTH(BegindatumLening)+B201,DAY(BegindatumLening)),"d-m-yyyy"),""),""),"")</f>
        <v/>
      </c>
      <c r="D201" s="49" t="str">
        <f>IFERROR(IF(IF(B201="","",IF($B201&lt;=AantalBetalingen,1,0)*IF(GeleendBedrag*Rentevoet*Leningjaren*BegindatumLening&gt;0,1,0),-FV(Rentevoet/12,ROW()-ROW(Lening[[#HEADERS],[BET.NR.]])-1,PMT(Rentevoet/12,AantalBetalingen,GeleendBedrag),GeleendBedrag),""),""),"")</f>
        <v/>
      </c>
      <c r="E201" s="49" t="str">
        <f>IFERROR(IF(IF(B201="","",IF($B201&lt;=AantalBetalingen,1,0)*IF(GeleendBedrag*Rentevoet*Leningjaren*BegindatumLening&gt;0,1,0),-PMT(Rentevoet/12,AantalBetalingen,GeleendBedrag),""),""),"")</f>
        <v/>
      </c>
      <c r="F201" s="49" t="str">
        <f>IFERROR(IF(IF($B201&lt;=AantalBetalingen,1,0)*IF(GeleendBedrag*Rentevoet*Leningjaren*BegindatumLening&gt;0,1,0),-PPMT(Rentevoet/12,ROW()-ROW(Lening[[#HEADERS],[BET.NR.]]),AantalBetalingen,GeleendBedrag),""),"")</f>
        <v/>
      </c>
      <c r="G201" s="49" t="str">
        <f>IFERROR(IF(IF($B201&lt;=AantalBetalingen,1,0)*IF(GeleendBedrag*Rentevoet*Leningjaren*BegindatumLening&gt;0,1,0),-IPMT(Rentevoet/12,$B201,AantalBetalingen,GeleendBedrag),""),"")</f>
        <v/>
      </c>
      <c r="H201" s="49" t="str">
        <f>IFERROR(IF(IF(B201="","",IF($B201&lt;=AantalBetalingen,1,0)*IF(GeleendBedrag*Rentevoet*Leningjaren*BegindatumLening&gt;0,1,0),-FV(Rentevoet/12,$B201,PMT(Rentevoet/12,AantalBetalingen,GeleendBedrag),GeleendBedrag),""),""),"")</f>
        <v/>
      </c>
    </row>
    <row r="202" ht="22.5" hidden="1" customHeight="1">
      <c r="A202" s="46">
        <f>ROW()-ROW(Lening[[#HEADERS],[BET.NR.]])</f>
        <v>193</v>
      </c>
      <c r="B202" s="50" t="str">
        <f>IFERROR(IF(IF(ROW()-ROW(Lening!$9:$9)&lt;=AantalBetalingen,1,0)*IF(GeleendBedrag*Rentevoet*$D$5*BegindatumLening&gt;0,1,0),ROW()-ROW(Lening!$9:$9),""),"")</f>
        <v/>
      </c>
      <c r="C202" s="48" t="str">
        <f>IFERROR(IF(B202="","",IF(IF(B202&lt;=AantalBetalingen,1,0)*IF(GeleendBedrag*Rentevoet*Leningjaren*BegindatumLening&gt;0,1,0),TEXT(DATE(YEAR(BegindatumLening),MONTH(BegindatumLening)+B202,DAY(BegindatumLening)),"d-m-yyyy"),""),""),"")</f>
        <v/>
      </c>
      <c r="D202" s="49" t="str">
        <f>IFERROR(IF(IF(B202="","",IF($B202&lt;=AantalBetalingen,1,0)*IF(GeleendBedrag*Rentevoet*Leningjaren*BegindatumLening&gt;0,1,0),-FV(Rentevoet/12,ROW()-ROW(Lening[[#HEADERS],[BET.NR.]])-1,PMT(Rentevoet/12,AantalBetalingen,GeleendBedrag),GeleendBedrag),""),""),"")</f>
        <v/>
      </c>
      <c r="E202" s="49" t="str">
        <f>IFERROR(IF(IF(B202="","",IF($B202&lt;=AantalBetalingen,1,0)*IF(GeleendBedrag*Rentevoet*Leningjaren*BegindatumLening&gt;0,1,0),-PMT(Rentevoet/12,AantalBetalingen,GeleendBedrag),""),""),"")</f>
        <v/>
      </c>
      <c r="F202" s="49" t="str">
        <f>IFERROR(IF(IF($B202&lt;=AantalBetalingen,1,0)*IF(GeleendBedrag*Rentevoet*Leningjaren*BegindatumLening&gt;0,1,0),-PPMT(Rentevoet/12,ROW()-ROW(Lening[[#HEADERS],[BET.NR.]]),AantalBetalingen,GeleendBedrag),""),"")</f>
        <v/>
      </c>
      <c r="G202" s="49" t="str">
        <f>IFERROR(IF(IF($B202&lt;=AantalBetalingen,1,0)*IF(GeleendBedrag*Rentevoet*Leningjaren*BegindatumLening&gt;0,1,0),-IPMT(Rentevoet/12,$B202,AantalBetalingen,GeleendBedrag),""),"")</f>
        <v/>
      </c>
      <c r="H202" s="49" t="str">
        <f>IFERROR(IF(IF(B202="","",IF($B202&lt;=AantalBetalingen,1,0)*IF(GeleendBedrag*Rentevoet*Leningjaren*BegindatumLening&gt;0,1,0),-FV(Rentevoet/12,$B202,PMT(Rentevoet/12,AantalBetalingen,GeleendBedrag),GeleendBedrag),""),""),"")</f>
        <v/>
      </c>
    </row>
    <row r="203" ht="22.5" hidden="1" customHeight="1">
      <c r="A203" s="46">
        <f>ROW()-ROW(Lening[[#HEADERS],[BET.NR.]])</f>
        <v>194</v>
      </c>
      <c r="B203" s="50" t="str">
        <f>IFERROR(IF(IF(ROW()-ROW(Lening!$9:$9)&lt;=AantalBetalingen,1,0)*IF(GeleendBedrag*Rentevoet*$D$5*BegindatumLening&gt;0,1,0),ROW()-ROW(Lening!$9:$9),""),"")</f>
        <v/>
      </c>
      <c r="C203" s="48" t="str">
        <f>IFERROR(IF(B203="","",IF(IF(B203&lt;=AantalBetalingen,1,0)*IF(GeleendBedrag*Rentevoet*Leningjaren*BegindatumLening&gt;0,1,0),TEXT(DATE(YEAR(BegindatumLening),MONTH(BegindatumLening)+B203,DAY(BegindatumLening)),"d-m-yyyy"),""),""),"")</f>
        <v/>
      </c>
      <c r="D203" s="49" t="str">
        <f>IFERROR(IF(IF(B203="","",IF($B203&lt;=AantalBetalingen,1,0)*IF(GeleendBedrag*Rentevoet*Leningjaren*BegindatumLening&gt;0,1,0),-FV(Rentevoet/12,ROW()-ROW(Lening[[#HEADERS],[BET.NR.]])-1,PMT(Rentevoet/12,AantalBetalingen,GeleendBedrag),GeleendBedrag),""),""),"")</f>
        <v/>
      </c>
      <c r="E203" s="49" t="str">
        <f>IFERROR(IF(IF(B203="","",IF($B203&lt;=AantalBetalingen,1,0)*IF(GeleendBedrag*Rentevoet*Leningjaren*BegindatumLening&gt;0,1,0),-PMT(Rentevoet/12,AantalBetalingen,GeleendBedrag),""),""),"")</f>
        <v/>
      </c>
      <c r="F203" s="49" t="str">
        <f>IFERROR(IF(IF($B203&lt;=AantalBetalingen,1,0)*IF(GeleendBedrag*Rentevoet*Leningjaren*BegindatumLening&gt;0,1,0),-PPMT(Rentevoet/12,ROW()-ROW(Lening[[#HEADERS],[BET.NR.]]),AantalBetalingen,GeleendBedrag),""),"")</f>
        <v/>
      </c>
      <c r="G203" s="49" t="str">
        <f>IFERROR(IF(IF($B203&lt;=AantalBetalingen,1,0)*IF(GeleendBedrag*Rentevoet*Leningjaren*BegindatumLening&gt;0,1,0),-IPMT(Rentevoet/12,$B203,AantalBetalingen,GeleendBedrag),""),"")</f>
        <v/>
      </c>
      <c r="H203" s="49" t="str">
        <f>IFERROR(IF(IF(B203="","",IF($B203&lt;=AantalBetalingen,1,0)*IF(GeleendBedrag*Rentevoet*Leningjaren*BegindatumLening&gt;0,1,0),-FV(Rentevoet/12,$B203,PMT(Rentevoet/12,AantalBetalingen,GeleendBedrag),GeleendBedrag),""),""),"")</f>
        <v/>
      </c>
    </row>
    <row r="204" ht="22.5" hidden="1" customHeight="1">
      <c r="A204" s="46">
        <f>ROW()-ROW(Lening[[#HEADERS],[BET.NR.]])</f>
        <v>195</v>
      </c>
      <c r="B204" s="50" t="str">
        <f>IFERROR(IF(IF(ROW()-ROW(Lening!$9:$9)&lt;=AantalBetalingen,1,0)*IF(GeleendBedrag*Rentevoet*$D$5*BegindatumLening&gt;0,1,0),ROW()-ROW(Lening!$9:$9),""),"")</f>
        <v/>
      </c>
      <c r="C204" s="48" t="str">
        <f>IFERROR(IF(B204="","",IF(IF(B204&lt;=AantalBetalingen,1,0)*IF(GeleendBedrag*Rentevoet*Leningjaren*BegindatumLening&gt;0,1,0),TEXT(DATE(YEAR(BegindatumLening),MONTH(BegindatumLening)+B204,DAY(BegindatumLening)),"d-m-yyyy"),""),""),"")</f>
        <v/>
      </c>
      <c r="D204" s="49" t="str">
        <f>IFERROR(IF(IF(B204="","",IF($B204&lt;=AantalBetalingen,1,0)*IF(GeleendBedrag*Rentevoet*Leningjaren*BegindatumLening&gt;0,1,0),-FV(Rentevoet/12,ROW()-ROW(Lening[[#HEADERS],[BET.NR.]])-1,PMT(Rentevoet/12,AantalBetalingen,GeleendBedrag),GeleendBedrag),""),""),"")</f>
        <v/>
      </c>
      <c r="E204" s="49" t="str">
        <f>IFERROR(IF(IF(B204="","",IF($B204&lt;=AantalBetalingen,1,0)*IF(GeleendBedrag*Rentevoet*Leningjaren*BegindatumLening&gt;0,1,0),-PMT(Rentevoet/12,AantalBetalingen,GeleendBedrag),""),""),"")</f>
        <v/>
      </c>
      <c r="F204" s="49" t="str">
        <f>IFERROR(IF(IF($B204&lt;=AantalBetalingen,1,0)*IF(GeleendBedrag*Rentevoet*Leningjaren*BegindatumLening&gt;0,1,0),-PPMT(Rentevoet/12,ROW()-ROW(Lening[[#HEADERS],[BET.NR.]]),AantalBetalingen,GeleendBedrag),""),"")</f>
        <v/>
      </c>
      <c r="G204" s="49" t="str">
        <f>IFERROR(IF(IF($B204&lt;=AantalBetalingen,1,0)*IF(GeleendBedrag*Rentevoet*Leningjaren*BegindatumLening&gt;0,1,0),-IPMT(Rentevoet/12,$B204,AantalBetalingen,GeleendBedrag),""),"")</f>
        <v/>
      </c>
      <c r="H204" s="49" t="str">
        <f>IFERROR(IF(IF(B204="","",IF($B204&lt;=AantalBetalingen,1,0)*IF(GeleendBedrag*Rentevoet*Leningjaren*BegindatumLening&gt;0,1,0),-FV(Rentevoet/12,$B204,PMT(Rentevoet/12,AantalBetalingen,GeleendBedrag),GeleendBedrag),""),""),"")</f>
        <v/>
      </c>
    </row>
    <row r="205" ht="22.5" hidden="1" customHeight="1">
      <c r="A205" s="46">
        <f>ROW()-ROW(Lening[[#HEADERS],[BET.NR.]])</f>
        <v>196</v>
      </c>
      <c r="B205" s="50" t="str">
        <f>IFERROR(IF(IF(ROW()-ROW(Lening!$9:$9)&lt;=AantalBetalingen,1,0)*IF(GeleendBedrag*Rentevoet*$D$5*BegindatumLening&gt;0,1,0),ROW()-ROW(Lening!$9:$9),""),"")</f>
        <v/>
      </c>
      <c r="C205" s="48" t="str">
        <f>IFERROR(IF(B205="","",IF(IF(B205&lt;=AantalBetalingen,1,0)*IF(GeleendBedrag*Rentevoet*Leningjaren*BegindatumLening&gt;0,1,0),TEXT(DATE(YEAR(BegindatumLening),MONTH(BegindatumLening)+B205,DAY(BegindatumLening)),"d-m-yyyy"),""),""),"")</f>
        <v/>
      </c>
      <c r="D205" s="49" t="str">
        <f>IFERROR(IF(IF(B205="","",IF($B205&lt;=AantalBetalingen,1,0)*IF(GeleendBedrag*Rentevoet*Leningjaren*BegindatumLening&gt;0,1,0),-FV(Rentevoet/12,ROW()-ROW(Lening[[#HEADERS],[BET.NR.]])-1,PMT(Rentevoet/12,AantalBetalingen,GeleendBedrag),GeleendBedrag),""),""),"")</f>
        <v/>
      </c>
      <c r="E205" s="49" t="str">
        <f>IFERROR(IF(IF(B205="","",IF($B205&lt;=AantalBetalingen,1,0)*IF(GeleendBedrag*Rentevoet*Leningjaren*BegindatumLening&gt;0,1,0),-PMT(Rentevoet/12,AantalBetalingen,GeleendBedrag),""),""),"")</f>
        <v/>
      </c>
      <c r="F205" s="49" t="str">
        <f>IFERROR(IF(IF($B205&lt;=AantalBetalingen,1,0)*IF(GeleendBedrag*Rentevoet*Leningjaren*BegindatumLening&gt;0,1,0),-PPMT(Rentevoet/12,ROW()-ROW(Lening[[#HEADERS],[BET.NR.]]),AantalBetalingen,GeleendBedrag),""),"")</f>
        <v/>
      </c>
      <c r="G205" s="49" t="str">
        <f>IFERROR(IF(IF($B205&lt;=AantalBetalingen,1,0)*IF(GeleendBedrag*Rentevoet*Leningjaren*BegindatumLening&gt;0,1,0),-IPMT(Rentevoet/12,$B205,AantalBetalingen,GeleendBedrag),""),"")</f>
        <v/>
      </c>
      <c r="H205" s="49" t="str">
        <f>IFERROR(IF(IF(B205="","",IF($B205&lt;=AantalBetalingen,1,0)*IF(GeleendBedrag*Rentevoet*Leningjaren*BegindatumLening&gt;0,1,0),-FV(Rentevoet/12,$B205,PMT(Rentevoet/12,AantalBetalingen,GeleendBedrag),GeleendBedrag),""),""),"")</f>
        <v/>
      </c>
    </row>
    <row r="206" ht="22.5" hidden="1" customHeight="1">
      <c r="A206" s="46">
        <f>ROW()-ROW(Lening[[#HEADERS],[BET.NR.]])</f>
        <v>197</v>
      </c>
      <c r="B206" s="50" t="str">
        <f>IFERROR(IF(IF(ROW()-ROW(Lening!$9:$9)&lt;=AantalBetalingen,1,0)*IF(GeleendBedrag*Rentevoet*$D$5*BegindatumLening&gt;0,1,0),ROW()-ROW(Lening!$9:$9),""),"")</f>
        <v/>
      </c>
      <c r="C206" s="48" t="str">
        <f>IFERROR(IF(B206="","",IF(IF(B206&lt;=AantalBetalingen,1,0)*IF(GeleendBedrag*Rentevoet*Leningjaren*BegindatumLening&gt;0,1,0),TEXT(DATE(YEAR(BegindatumLening),MONTH(BegindatumLening)+B206,DAY(BegindatumLening)),"d-m-yyyy"),""),""),"")</f>
        <v/>
      </c>
      <c r="D206" s="49" t="str">
        <f>IFERROR(IF(IF(B206="","",IF($B206&lt;=AantalBetalingen,1,0)*IF(GeleendBedrag*Rentevoet*Leningjaren*BegindatumLening&gt;0,1,0),-FV(Rentevoet/12,ROW()-ROW(Lening[[#HEADERS],[BET.NR.]])-1,PMT(Rentevoet/12,AantalBetalingen,GeleendBedrag),GeleendBedrag),""),""),"")</f>
        <v/>
      </c>
      <c r="E206" s="49" t="str">
        <f>IFERROR(IF(IF(B206="","",IF($B206&lt;=AantalBetalingen,1,0)*IF(GeleendBedrag*Rentevoet*Leningjaren*BegindatumLening&gt;0,1,0),-PMT(Rentevoet/12,AantalBetalingen,GeleendBedrag),""),""),"")</f>
        <v/>
      </c>
      <c r="F206" s="49" t="str">
        <f>IFERROR(IF(IF($B206&lt;=AantalBetalingen,1,0)*IF(GeleendBedrag*Rentevoet*Leningjaren*BegindatumLening&gt;0,1,0),-PPMT(Rentevoet/12,ROW()-ROW(Lening[[#HEADERS],[BET.NR.]]),AantalBetalingen,GeleendBedrag),""),"")</f>
        <v/>
      </c>
      <c r="G206" s="49" t="str">
        <f>IFERROR(IF(IF($B206&lt;=AantalBetalingen,1,0)*IF(GeleendBedrag*Rentevoet*Leningjaren*BegindatumLening&gt;0,1,0),-IPMT(Rentevoet/12,$B206,AantalBetalingen,GeleendBedrag),""),"")</f>
        <v/>
      </c>
      <c r="H206" s="49" t="str">
        <f>IFERROR(IF(IF(B206="","",IF($B206&lt;=AantalBetalingen,1,0)*IF(GeleendBedrag*Rentevoet*Leningjaren*BegindatumLening&gt;0,1,0),-FV(Rentevoet/12,$B206,PMT(Rentevoet/12,AantalBetalingen,GeleendBedrag),GeleendBedrag),""),""),"")</f>
        <v/>
      </c>
    </row>
    <row r="207" ht="22.5" hidden="1" customHeight="1">
      <c r="A207" s="46">
        <f>ROW()-ROW(Lening[[#HEADERS],[BET.NR.]])</f>
        <v>198</v>
      </c>
      <c r="B207" s="50" t="str">
        <f>IFERROR(IF(IF(ROW()-ROW(Lening!$9:$9)&lt;=AantalBetalingen,1,0)*IF(GeleendBedrag*Rentevoet*$D$5*BegindatumLening&gt;0,1,0),ROW()-ROW(Lening!$9:$9),""),"")</f>
        <v/>
      </c>
      <c r="C207" s="48" t="str">
        <f>IFERROR(IF(B207="","",IF(IF(B207&lt;=AantalBetalingen,1,0)*IF(GeleendBedrag*Rentevoet*Leningjaren*BegindatumLening&gt;0,1,0),TEXT(DATE(YEAR(BegindatumLening),MONTH(BegindatumLening)+B207,DAY(BegindatumLening)),"d-m-yyyy"),""),""),"")</f>
        <v/>
      </c>
      <c r="D207" s="49" t="str">
        <f>IFERROR(IF(IF(B207="","",IF($B207&lt;=AantalBetalingen,1,0)*IF(GeleendBedrag*Rentevoet*Leningjaren*BegindatumLening&gt;0,1,0),-FV(Rentevoet/12,ROW()-ROW(Lening[[#HEADERS],[BET.NR.]])-1,PMT(Rentevoet/12,AantalBetalingen,GeleendBedrag),GeleendBedrag),""),""),"")</f>
        <v/>
      </c>
      <c r="E207" s="49" t="str">
        <f>IFERROR(IF(IF(B207="","",IF($B207&lt;=AantalBetalingen,1,0)*IF(GeleendBedrag*Rentevoet*Leningjaren*BegindatumLening&gt;0,1,0),-PMT(Rentevoet/12,AantalBetalingen,GeleendBedrag),""),""),"")</f>
        <v/>
      </c>
      <c r="F207" s="49" t="str">
        <f>IFERROR(IF(IF($B207&lt;=AantalBetalingen,1,0)*IF(GeleendBedrag*Rentevoet*Leningjaren*BegindatumLening&gt;0,1,0),-PPMT(Rentevoet/12,ROW()-ROW(Lening[[#HEADERS],[BET.NR.]]),AantalBetalingen,GeleendBedrag),""),"")</f>
        <v/>
      </c>
      <c r="G207" s="49" t="str">
        <f>IFERROR(IF(IF($B207&lt;=AantalBetalingen,1,0)*IF(GeleendBedrag*Rentevoet*Leningjaren*BegindatumLening&gt;0,1,0),-IPMT(Rentevoet/12,$B207,AantalBetalingen,GeleendBedrag),""),"")</f>
        <v/>
      </c>
      <c r="H207" s="49" t="str">
        <f>IFERROR(IF(IF(B207="","",IF($B207&lt;=AantalBetalingen,1,0)*IF(GeleendBedrag*Rentevoet*Leningjaren*BegindatumLening&gt;0,1,0),-FV(Rentevoet/12,$B207,PMT(Rentevoet/12,AantalBetalingen,GeleendBedrag),GeleendBedrag),""),""),"")</f>
        <v/>
      </c>
    </row>
    <row r="208" ht="22.5" hidden="1" customHeight="1">
      <c r="A208" s="46">
        <f>ROW()-ROW(Lening[[#HEADERS],[BET.NR.]])</f>
        <v>199</v>
      </c>
      <c r="B208" s="50" t="str">
        <f>IFERROR(IF(IF(ROW()-ROW(Lening!$9:$9)&lt;=AantalBetalingen,1,0)*IF(GeleendBedrag*Rentevoet*$D$5*BegindatumLening&gt;0,1,0),ROW()-ROW(Lening!$9:$9),""),"")</f>
        <v/>
      </c>
      <c r="C208" s="48" t="str">
        <f>IFERROR(IF(B208="","",IF(IF(B208&lt;=AantalBetalingen,1,0)*IF(GeleendBedrag*Rentevoet*Leningjaren*BegindatumLening&gt;0,1,0),TEXT(DATE(YEAR(BegindatumLening),MONTH(BegindatumLening)+B208,DAY(BegindatumLening)),"d-m-yyyy"),""),""),"")</f>
        <v/>
      </c>
      <c r="D208" s="49" t="str">
        <f>IFERROR(IF(IF(B208="","",IF($B208&lt;=AantalBetalingen,1,0)*IF(GeleendBedrag*Rentevoet*Leningjaren*BegindatumLening&gt;0,1,0),-FV(Rentevoet/12,ROW()-ROW(Lening[[#HEADERS],[BET.NR.]])-1,PMT(Rentevoet/12,AantalBetalingen,GeleendBedrag),GeleendBedrag),""),""),"")</f>
        <v/>
      </c>
      <c r="E208" s="49" t="str">
        <f>IFERROR(IF(IF(B208="","",IF($B208&lt;=AantalBetalingen,1,0)*IF(GeleendBedrag*Rentevoet*Leningjaren*BegindatumLening&gt;0,1,0),-PMT(Rentevoet/12,AantalBetalingen,GeleendBedrag),""),""),"")</f>
        <v/>
      </c>
      <c r="F208" s="49" t="str">
        <f>IFERROR(IF(IF($B208&lt;=AantalBetalingen,1,0)*IF(GeleendBedrag*Rentevoet*Leningjaren*BegindatumLening&gt;0,1,0),-PPMT(Rentevoet/12,ROW()-ROW(Lening[[#HEADERS],[BET.NR.]]),AantalBetalingen,GeleendBedrag),""),"")</f>
        <v/>
      </c>
      <c r="G208" s="49" t="str">
        <f>IFERROR(IF(IF($B208&lt;=AantalBetalingen,1,0)*IF(GeleendBedrag*Rentevoet*Leningjaren*BegindatumLening&gt;0,1,0),-IPMT(Rentevoet/12,$B208,AantalBetalingen,GeleendBedrag),""),"")</f>
        <v/>
      </c>
      <c r="H208" s="49" t="str">
        <f>IFERROR(IF(IF(B208="","",IF($B208&lt;=AantalBetalingen,1,0)*IF(GeleendBedrag*Rentevoet*Leningjaren*BegindatumLening&gt;0,1,0),-FV(Rentevoet/12,$B208,PMT(Rentevoet/12,AantalBetalingen,GeleendBedrag),GeleendBedrag),""),""),"")</f>
        <v/>
      </c>
    </row>
    <row r="209" ht="22.5" hidden="1" customHeight="1">
      <c r="A209" s="46">
        <f>ROW()-ROW(Lening[[#HEADERS],[BET.NR.]])</f>
        <v>200</v>
      </c>
      <c r="B209" s="50" t="str">
        <f>IFERROR(IF(IF(ROW()-ROW(Lening!$9:$9)&lt;=AantalBetalingen,1,0)*IF(GeleendBedrag*Rentevoet*$D$5*BegindatumLening&gt;0,1,0),ROW()-ROW(Lening!$9:$9),""),"")</f>
        <v/>
      </c>
      <c r="C209" s="48" t="str">
        <f>IFERROR(IF(B209="","",IF(IF(B209&lt;=AantalBetalingen,1,0)*IF(GeleendBedrag*Rentevoet*Leningjaren*BegindatumLening&gt;0,1,0),TEXT(DATE(YEAR(BegindatumLening),MONTH(BegindatumLening)+B209,DAY(BegindatumLening)),"d-m-yyyy"),""),""),"")</f>
        <v/>
      </c>
      <c r="D209" s="49" t="str">
        <f>IFERROR(IF(IF(B209="","",IF($B209&lt;=AantalBetalingen,1,0)*IF(GeleendBedrag*Rentevoet*Leningjaren*BegindatumLening&gt;0,1,0),-FV(Rentevoet/12,ROW()-ROW(Lening[[#HEADERS],[BET.NR.]])-1,PMT(Rentevoet/12,AantalBetalingen,GeleendBedrag),GeleendBedrag),""),""),"")</f>
        <v/>
      </c>
      <c r="E209" s="49" t="str">
        <f>IFERROR(IF(IF(B209="","",IF($B209&lt;=AantalBetalingen,1,0)*IF(GeleendBedrag*Rentevoet*Leningjaren*BegindatumLening&gt;0,1,0),-PMT(Rentevoet/12,AantalBetalingen,GeleendBedrag),""),""),"")</f>
        <v/>
      </c>
      <c r="F209" s="49" t="str">
        <f>IFERROR(IF(IF($B209&lt;=AantalBetalingen,1,0)*IF(GeleendBedrag*Rentevoet*Leningjaren*BegindatumLening&gt;0,1,0),-PPMT(Rentevoet/12,ROW()-ROW(Lening[[#HEADERS],[BET.NR.]]),AantalBetalingen,GeleendBedrag),""),"")</f>
        <v/>
      </c>
      <c r="G209" s="49" t="str">
        <f>IFERROR(IF(IF($B209&lt;=AantalBetalingen,1,0)*IF(GeleendBedrag*Rentevoet*Leningjaren*BegindatumLening&gt;0,1,0),-IPMT(Rentevoet/12,$B209,AantalBetalingen,GeleendBedrag),""),"")</f>
        <v/>
      </c>
      <c r="H209" s="49" t="str">
        <f>IFERROR(IF(IF(B209="","",IF($B209&lt;=AantalBetalingen,1,0)*IF(GeleendBedrag*Rentevoet*Leningjaren*BegindatumLening&gt;0,1,0),-FV(Rentevoet/12,$B209,PMT(Rentevoet/12,AantalBetalingen,GeleendBedrag),GeleendBedrag),""),""),"")</f>
        <v/>
      </c>
    </row>
    <row r="210" ht="22.5" hidden="1" customHeight="1">
      <c r="A210" s="46">
        <f>ROW()-ROW(Lening[[#HEADERS],[BET.NR.]])</f>
        <v>201</v>
      </c>
      <c r="B210" s="50" t="str">
        <f>IFERROR(IF(IF(ROW()-ROW(Lening!$9:$9)&lt;=AantalBetalingen,1,0)*IF(GeleendBedrag*Rentevoet*$D$5*BegindatumLening&gt;0,1,0),ROW()-ROW(Lening!$9:$9),""),"")</f>
        <v/>
      </c>
      <c r="C210" s="48" t="str">
        <f>IFERROR(IF(B210="","",IF(IF(B210&lt;=AantalBetalingen,1,0)*IF(GeleendBedrag*Rentevoet*Leningjaren*BegindatumLening&gt;0,1,0),TEXT(DATE(YEAR(BegindatumLening),MONTH(BegindatumLening)+B210,DAY(BegindatumLening)),"d-m-yyyy"),""),""),"")</f>
        <v/>
      </c>
      <c r="D210" s="49" t="str">
        <f>IFERROR(IF(IF(B210="","",IF($B210&lt;=AantalBetalingen,1,0)*IF(GeleendBedrag*Rentevoet*Leningjaren*BegindatumLening&gt;0,1,0),-FV(Rentevoet/12,ROW()-ROW(Lening[[#HEADERS],[BET.NR.]])-1,PMT(Rentevoet/12,AantalBetalingen,GeleendBedrag),GeleendBedrag),""),""),"")</f>
        <v/>
      </c>
      <c r="E210" s="49" t="str">
        <f>IFERROR(IF(IF(B210="","",IF($B210&lt;=AantalBetalingen,1,0)*IF(GeleendBedrag*Rentevoet*Leningjaren*BegindatumLening&gt;0,1,0),-PMT(Rentevoet/12,AantalBetalingen,GeleendBedrag),""),""),"")</f>
        <v/>
      </c>
      <c r="F210" s="49" t="str">
        <f>IFERROR(IF(IF($B210&lt;=AantalBetalingen,1,0)*IF(GeleendBedrag*Rentevoet*Leningjaren*BegindatumLening&gt;0,1,0),-PPMT(Rentevoet/12,ROW()-ROW(Lening[[#HEADERS],[BET.NR.]]),AantalBetalingen,GeleendBedrag),""),"")</f>
        <v/>
      </c>
      <c r="G210" s="49" t="str">
        <f>IFERROR(IF(IF($B210&lt;=AantalBetalingen,1,0)*IF(GeleendBedrag*Rentevoet*Leningjaren*BegindatumLening&gt;0,1,0),-IPMT(Rentevoet/12,$B210,AantalBetalingen,GeleendBedrag),""),"")</f>
        <v/>
      </c>
      <c r="H210" s="49" t="str">
        <f>IFERROR(IF(IF(B210="","",IF($B210&lt;=AantalBetalingen,1,0)*IF(GeleendBedrag*Rentevoet*Leningjaren*BegindatumLening&gt;0,1,0),-FV(Rentevoet/12,$B210,PMT(Rentevoet/12,AantalBetalingen,GeleendBedrag),GeleendBedrag),""),""),"")</f>
        <v/>
      </c>
    </row>
    <row r="211" ht="22.5" hidden="1" customHeight="1">
      <c r="A211" s="46">
        <f>ROW()-ROW(Lening[[#HEADERS],[BET.NR.]])</f>
        <v>202</v>
      </c>
      <c r="B211" s="50" t="str">
        <f>IFERROR(IF(IF(ROW()-ROW(Lening!$9:$9)&lt;=AantalBetalingen,1,0)*IF(GeleendBedrag*Rentevoet*$D$5*BegindatumLening&gt;0,1,0),ROW()-ROW(Lening!$9:$9),""),"")</f>
        <v/>
      </c>
      <c r="C211" s="48" t="str">
        <f>IFERROR(IF(B211="","",IF(IF(B211&lt;=AantalBetalingen,1,0)*IF(GeleendBedrag*Rentevoet*Leningjaren*BegindatumLening&gt;0,1,0),TEXT(DATE(YEAR(BegindatumLening),MONTH(BegindatumLening)+B211,DAY(BegindatumLening)),"d-m-yyyy"),""),""),"")</f>
        <v/>
      </c>
      <c r="D211" s="49" t="str">
        <f>IFERROR(IF(IF(B211="","",IF($B211&lt;=AantalBetalingen,1,0)*IF(GeleendBedrag*Rentevoet*Leningjaren*BegindatumLening&gt;0,1,0),-FV(Rentevoet/12,ROW()-ROW(Lening[[#HEADERS],[BET.NR.]])-1,PMT(Rentevoet/12,AantalBetalingen,GeleendBedrag),GeleendBedrag),""),""),"")</f>
        <v/>
      </c>
      <c r="E211" s="49" t="str">
        <f>IFERROR(IF(IF(B211="","",IF($B211&lt;=AantalBetalingen,1,0)*IF(GeleendBedrag*Rentevoet*Leningjaren*BegindatumLening&gt;0,1,0),-PMT(Rentevoet/12,AantalBetalingen,GeleendBedrag),""),""),"")</f>
        <v/>
      </c>
      <c r="F211" s="49" t="str">
        <f>IFERROR(IF(IF($B211&lt;=AantalBetalingen,1,0)*IF(GeleendBedrag*Rentevoet*Leningjaren*BegindatumLening&gt;0,1,0),-PPMT(Rentevoet/12,ROW()-ROW(Lening[[#HEADERS],[BET.NR.]]),AantalBetalingen,GeleendBedrag),""),"")</f>
        <v/>
      </c>
      <c r="G211" s="49" t="str">
        <f>IFERROR(IF(IF($B211&lt;=AantalBetalingen,1,0)*IF(GeleendBedrag*Rentevoet*Leningjaren*BegindatumLening&gt;0,1,0),-IPMT(Rentevoet/12,$B211,AantalBetalingen,GeleendBedrag),""),"")</f>
        <v/>
      </c>
      <c r="H211" s="49" t="str">
        <f>IFERROR(IF(IF(B211="","",IF($B211&lt;=AantalBetalingen,1,0)*IF(GeleendBedrag*Rentevoet*Leningjaren*BegindatumLening&gt;0,1,0),-FV(Rentevoet/12,$B211,PMT(Rentevoet/12,AantalBetalingen,GeleendBedrag),GeleendBedrag),""),""),"")</f>
        <v/>
      </c>
    </row>
    <row r="212" ht="22.5" hidden="1" customHeight="1">
      <c r="A212" s="46">
        <f>ROW()-ROW(Lening[[#HEADERS],[BET.NR.]])</f>
        <v>203</v>
      </c>
      <c r="B212" s="50" t="str">
        <f>IFERROR(IF(IF(ROW()-ROW(Lening!$9:$9)&lt;=AantalBetalingen,1,0)*IF(GeleendBedrag*Rentevoet*$D$5*BegindatumLening&gt;0,1,0),ROW()-ROW(Lening!$9:$9),""),"")</f>
        <v/>
      </c>
      <c r="C212" s="48" t="str">
        <f>IFERROR(IF(B212="","",IF(IF(B212&lt;=AantalBetalingen,1,0)*IF(GeleendBedrag*Rentevoet*Leningjaren*BegindatumLening&gt;0,1,0),TEXT(DATE(YEAR(BegindatumLening),MONTH(BegindatumLening)+B212,DAY(BegindatumLening)),"d-m-yyyy"),""),""),"")</f>
        <v/>
      </c>
      <c r="D212" s="49" t="str">
        <f>IFERROR(IF(IF(B212="","",IF($B212&lt;=AantalBetalingen,1,0)*IF(GeleendBedrag*Rentevoet*Leningjaren*BegindatumLening&gt;0,1,0),-FV(Rentevoet/12,ROW()-ROW(Lening[[#HEADERS],[BET.NR.]])-1,PMT(Rentevoet/12,AantalBetalingen,GeleendBedrag),GeleendBedrag),""),""),"")</f>
        <v/>
      </c>
      <c r="E212" s="49" t="str">
        <f>IFERROR(IF(IF(B212="","",IF($B212&lt;=AantalBetalingen,1,0)*IF(GeleendBedrag*Rentevoet*Leningjaren*BegindatumLening&gt;0,1,0),-PMT(Rentevoet/12,AantalBetalingen,GeleendBedrag),""),""),"")</f>
        <v/>
      </c>
      <c r="F212" s="49" t="str">
        <f>IFERROR(IF(IF($B212&lt;=AantalBetalingen,1,0)*IF(GeleendBedrag*Rentevoet*Leningjaren*BegindatumLening&gt;0,1,0),-PPMT(Rentevoet/12,ROW()-ROW(Lening[[#HEADERS],[BET.NR.]]),AantalBetalingen,GeleendBedrag),""),"")</f>
        <v/>
      </c>
      <c r="G212" s="49" t="str">
        <f>IFERROR(IF(IF($B212&lt;=AantalBetalingen,1,0)*IF(GeleendBedrag*Rentevoet*Leningjaren*BegindatumLening&gt;0,1,0),-IPMT(Rentevoet/12,$B212,AantalBetalingen,GeleendBedrag),""),"")</f>
        <v/>
      </c>
      <c r="H212" s="49" t="str">
        <f>IFERROR(IF(IF(B212="","",IF($B212&lt;=AantalBetalingen,1,0)*IF(GeleendBedrag*Rentevoet*Leningjaren*BegindatumLening&gt;0,1,0),-FV(Rentevoet/12,$B212,PMT(Rentevoet/12,AantalBetalingen,GeleendBedrag),GeleendBedrag),""),""),"")</f>
        <v/>
      </c>
    </row>
    <row r="213" ht="22.5" hidden="1" customHeight="1">
      <c r="A213" s="46">
        <f>ROW()-ROW(Lening[[#HEADERS],[BET.NR.]])</f>
        <v>204</v>
      </c>
      <c r="B213" s="50" t="str">
        <f>IFERROR(IF(IF(ROW()-ROW(Lening!$9:$9)&lt;=AantalBetalingen,1,0)*IF(GeleendBedrag*Rentevoet*$D$5*BegindatumLening&gt;0,1,0),ROW()-ROW(Lening!$9:$9),""),"")</f>
        <v/>
      </c>
      <c r="C213" s="48" t="str">
        <f>IFERROR(IF(B213="","",IF(IF(B213&lt;=AantalBetalingen,1,0)*IF(GeleendBedrag*Rentevoet*Leningjaren*BegindatumLening&gt;0,1,0),TEXT(DATE(YEAR(BegindatumLening),MONTH(BegindatumLening)+B213,DAY(BegindatumLening)),"d-m-yyyy"),""),""),"")</f>
        <v/>
      </c>
      <c r="D213" s="49" t="str">
        <f>IFERROR(IF(IF(B213="","",IF($B213&lt;=AantalBetalingen,1,0)*IF(GeleendBedrag*Rentevoet*Leningjaren*BegindatumLening&gt;0,1,0),-FV(Rentevoet/12,ROW()-ROW(Lening[[#HEADERS],[BET.NR.]])-1,PMT(Rentevoet/12,AantalBetalingen,GeleendBedrag),GeleendBedrag),""),""),"")</f>
        <v/>
      </c>
      <c r="E213" s="49" t="str">
        <f>IFERROR(IF(IF(B213="","",IF($B213&lt;=AantalBetalingen,1,0)*IF(GeleendBedrag*Rentevoet*Leningjaren*BegindatumLening&gt;0,1,0),-PMT(Rentevoet/12,AantalBetalingen,GeleendBedrag),""),""),"")</f>
        <v/>
      </c>
      <c r="F213" s="49" t="str">
        <f>IFERROR(IF(IF($B213&lt;=AantalBetalingen,1,0)*IF(GeleendBedrag*Rentevoet*Leningjaren*BegindatumLening&gt;0,1,0),-PPMT(Rentevoet/12,ROW()-ROW(Lening[[#HEADERS],[BET.NR.]]),AantalBetalingen,GeleendBedrag),""),"")</f>
        <v/>
      </c>
      <c r="G213" s="49" t="str">
        <f>IFERROR(IF(IF($B213&lt;=AantalBetalingen,1,0)*IF(GeleendBedrag*Rentevoet*Leningjaren*BegindatumLening&gt;0,1,0),-IPMT(Rentevoet/12,$B213,AantalBetalingen,GeleendBedrag),""),"")</f>
        <v/>
      </c>
      <c r="H213" s="49" t="str">
        <f>IFERROR(IF(IF(B213="","",IF($B213&lt;=AantalBetalingen,1,0)*IF(GeleendBedrag*Rentevoet*Leningjaren*BegindatumLening&gt;0,1,0),-FV(Rentevoet/12,$B213,PMT(Rentevoet/12,AantalBetalingen,GeleendBedrag),GeleendBedrag),""),""),"")</f>
        <v/>
      </c>
    </row>
    <row r="214" ht="22.5" hidden="1" customHeight="1">
      <c r="A214" s="46">
        <f>ROW()-ROW(Lening[[#HEADERS],[BET.NR.]])</f>
        <v>205</v>
      </c>
      <c r="B214" s="50" t="str">
        <f>IFERROR(IF(IF(ROW()-ROW(Lening!$9:$9)&lt;=AantalBetalingen,1,0)*IF(GeleendBedrag*Rentevoet*$D$5*BegindatumLening&gt;0,1,0),ROW()-ROW(Lening!$9:$9),""),"")</f>
        <v/>
      </c>
      <c r="C214" s="48" t="str">
        <f>IFERROR(IF(B214="","",IF(IF(B214&lt;=AantalBetalingen,1,0)*IF(GeleendBedrag*Rentevoet*Leningjaren*BegindatumLening&gt;0,1,0),TEXT(DATE(YEAR(BegindatumLening),MONTH(BegindatumLening)+B214,DAY(BegindatumLening)),"d-m-yyyy"),""),""),"")</f>
        <v/>
      </c>
      <c r="D214" s="49" t="str">
        <f>IFERROR(IF(IF(B214="","",IF($B214&lt;=AantalBetalingen,1,0)*IF(GeleendBedrag*Rentevoet*Leningjaren*BegindatumLening&gt;0,1,0),-FV(Rentevoet/12,ROW()-ROW(Lening[[#HEADERS],[BET.NR.]])-1,PMT(Rentevoet/12,AantalBetalingen,GeleendBedrag),GeleendBedrag),""),""),"")</f>
        <v/>
      </c>
      <c r="E214" s="49" t="str">
        <f>IFERROR(IF(IF(B214="","",IF($B214&lt;=AantalBetalingen,1,0)*IF(GeleendBedrag*Rentevoet*Leningjaren*BegindatumLening&gt;0,1,0),-PMT(Rentevoet/12,AantalBetalingen,GeleendBedrag),""),""),"")</f>
        <v/>
      </c>
      <c r="F214" s="49" t="str">
        <f>IFERROR(IF(IF($B214&lt;=AantalBetalingen,1,0)*IF(GeleendBedrag*Rentevoet*Leningjaren*BegindatumLening&gt;0,1,0),-PPMT(Rentevoet/12,ROW()-ROW(Lening[[#HEADERS],[BET.NR.]]),AantalBetalingen,GeleendBedrag),""),"")</f>
        <v/>
      </c>
      <c r="G214" s="49" t="str">
        <f>IFERROR(IF(IF($B214&lt;=AantalBetalingen,1,0)*IF(GeleendBedrag*Rentevoet*Leningjaren*BegindatumLening&gt;0,1,0),-IPMT(Rentevoet/12,$B214,AantalBetalingen,GeleendBedrag),""),"")</f>
        <v/>
      </c>
      <c r="H214" s="49" t="str">
        <f>IFERROR(IF(IF(B214="","",IF($B214&lt;=AantalBetalingen,1,0)*IF(GeleendBedrag*Rentevoet*Leningjaren*BegindatumLening&gt;0,1,0),-FV(Rentevoet/12,$B214,PMT(Rentevoet/12,AantalBetalingen,GeleendBedrag),GeleendBedrag),""),""),"")</f>
        <v/>
      </c>
    </row>
    <row r="215" ht="22.5" hidden="1" customHeight="1">
      <c r="A215" s="46">
        <f>ROW()-ROW(Lening[[#HEADERS],[BET.NR.]])</f>
        <v>206</v>
      </c>
      <c r="B215" s="50" t="str">
        <f>IFERROR(IF(IF(ROW()-ROW(Lening!$9:$9)&lt;=AantalBetalingen,1,0)*IF(GeleendBedrag*Rentevoet*$D$5*BegindatumLening&gt;0,1,0),ROW()-ROW(Lening!$9:$9),""),"")</f>
        <v/>
      </c>
      <c r="C215" s="48" t="str">
        <f>IFERROR(IF(B215="","",IF(IF(B215&lt;=AantalBetalingen,1,0)*IF(GeleendBedrag*Rentevoet*Leningjaren*BegindatumLening&gt;0,1,0),TEXT(DATE(YEAR(BegindatumLening),MONTH(BegindatumLening)+B215,DAY(BegindatumLening)),"d-m-yyyy"),""),""),"")</f>
        <v/>
      </c>
      <c r="D215" s="49" t="str">
        <f>IFERROR(IF(IF(B215="","",IF($B215&lt;=AantalBetalingen,1,0)*IF(GeleendBedrag*Rentevoet*Leningjaren*BegindatumLening&gt;0,1,0),-FV(Rentevoet/12,ROW()-ROW(Lening[[#HEADERS],[BET.NR.]])-1,PMT(Rentevoet/12,AantalBetalingen,GeleendBedrag),GeleendBedrag),""),""),"")</f>
        <v/>
      </c>
      <c r="E215" s="49" t="str">
        <f>IFERROR(IF(IF(B215="","",IF($B215&lt;=AantalBetalingen,1,0)*IF(GeleendBedrag*Rentevoet*Leningjaren*BegindatumLening&gt;0,1,0),-PMT(Rentevoet/12,AantalBetalingen,GeleendBedrag),""),""),"")</f>
        <v/>
      </c>
      <c r="F215" s="49" t="str">
        <f>IFERROR(IF(IF($B215&lt;=AantalBetalingen,1,0)*IF(GeleendBedrag*Rentevoet*Leningjaren*BegindatumLening&gt;0,1,0),-PPMT(Rentevoet/12,ROW()-ROW(Lening[[#HEADERS],[BET.NR.]]),AantalBetalingen,GeleendBedrag),""),"")</f>
        <v/>
      </c>
      <c r="G215" s="49" t="str">
        <f>IFERROR(IF(IF($B215&lt;=AantalBetalingen,1,0)*IF(GeleendBedrag*Rentevoet*Leningjaren*BegindatumLening&gt;0,1,0),-IPMT(Rentevoet/12,$B215,AantalBetalingen,GeleendBedrag),""),"")</f>
        <v/>
      </c>
      <c r="H215" s="49" t="str">
        <f>IFERROR(IF(IF(B215="","",IF($B215&lt;=AantalBetalingen,1,0)*IF(GeleendBedrag*Rentevoet*Leningjaren*BegindatumLening&gt;0,1,0),-FV(Rentevoet/12,$B215,PMT(Rentevoet/12,AantalBetalingen,GeleendBedrag),GeleendBedrag),""),""),"")</f>
        <v/>
      </c>
    </row>
    <row r="216" ht="22.5" hidden="1" customHeight="1">
      <c r="A216" s="46">
        <f>ROW()-ROW(Lening[[#HEADERS],[BET.NR.]])</f>
        <v>207</v>
      </c>
      <c r="B216" s="50" t="str">
        <f>IFERROR(IF(IF(ROW()-ROW(Lening!$9:$9)&lt;=AantalBetalingen,1,0)*IF(GeleendBedrag*Rentevoet*$D$5*BegindatumLening&gt;0,1,0),ROW()-ROW(Lening!$9:$9),""),"")</f>
        <v/>
      </c>
      <c r="C216" s="48" t="str">
        <f>IFERROR(IF(B216="","",IF(IF(B216&lt;=AantalBetalingen,1,0)*IF(GeleendBedrag*Rentevoet*Leningjaren*BegindatumLening&gt;0,1,0),TEXT(DATE(YEAR(BegindatumLening),MONTH(BegindatumLening)+B216,DAY(BegindatumLening)),"d-m-yyyy"),""),""),"")</f>
        <v/>
      </c>
      <c r="D216" s="49" t="str">
        <f>IFERROR(IF(IF(B216="","",IF($B216&lt;=AantalBetalingen,1,0)*IF(GeleendBedrag*Rentevoet*Leningjaren*BegindatumLening&gt;0,1,0),-FV(Rentevoet/12,ROW()-ROW(Lening[[#HEADERS],[BET.NR.]])-1,PMT(Rentevoet/12,AantalBetalingen,GeleendBedrag),GeleendBedrag),""),""),"")</f>
        <v/>
      </c>
      <c r="E216" s="49" t="str">
        <f>IFERROR(IF(IF(B216="","",IF($B216&lt;=AantalBetalingen,1,0)*IF(GeleendBedrag*Rentevoet*Leningjaren*BegindatumLening&gt;0,1,0),-PMT(Rentevoet/12,AantalBetalingen,GeleendBedrag),""),""),"")</f>
        <v/>
      </c>
      <c r="F216" s="49" t="str">
        <f>IFERROR(IF(IF($B216&lt;=AantalBetalingen,1,0)*IF(GeleendBedrag*Rentevoet*Leningjaren*BegindatumLening&gt;0,1,0),-PPMT(Rentevoet/12,ROW()-ROW(Lening[[#HEADERS],[BET.NR.]]),AantalBetalingen,GeleendBedrag),""),"")</f>
        <v/>
      </c>
      <c r="G216" s="49" t="str">
        <f>IFERROR(IF(IF($B216&lt;=AantalBetalingen,1,0)*IF(GeleendBedrag*Rentevoet*Leningjaren*BegindatumLening&gt;0,1,0),-IPMT(Rentevoet/12,$B216,AantalBetalingen,GeleendBedrag),""),"")</f>
        <v/>
      </c>
      <c r="H216" s="49" t="str">
        <f>IFERROR(IF(IF(B216="","",IF($B216&lt;=AantalBetalingen,1,0)*IF(GeleendBedrag*Rentevoet*Leningjaren*BegindatumLening&gt;0,1,0),-FV(Rentevoet/12,$B216,PMT(Rentevoet/12,AantalBetalingen,GeleendBedrag),GeleendBedrag),""),""),"")</f>
        <v/>
      </c>
    </row>
    <row r="217" ht="22.5" hidden="1" customHeight="1">
      <c r="A217" s="46">
        <f>ROW()-ROW(Lening[[#HEADERS],[BET.NR.]])</f>
        <v>208</v>
      </c>
      <c r="B217" s="50" t="str">
        <f>IFERROR(IF(IF(ROW()-ROW(Lening!$9:$9)&lt;=AantalBetalingen,1,0)*IF(GeleendBedrag*Rentevoet*$D$5*BegindatumLening&gt;0,1,0),ROW()-ROW(Lening!$9:$9),""),"")</f>
        <v/>
      </c>
      <c r="C217" s="48" t="str">
        <f>IFERROR(IF(B217="","",IF(IF(B217&lt;=AantalBetalingen,1,0)*IF(GeleendBedrag*Rentevoet*Leningjaren*BegindatumLening&gt;0,1,0),TEXT(DATE(YEAR(BegindatumLening),MONTH(BegindatumLening)+B217,DAY(BegindatumLening)),"d-m-yyyy"),""),""),"")</f>
        <v/>
      </c>
      <c r="D217" s="49" t="str">
        <f>IFERROR(IF(IF(B217="","",IF($B217&lt;=AantalBetalingen,1,0)*IF(GeleendBedrag*Rentevoet*Leningjaren*BegindatumLening&gt;0,1,0),-FV(Rentevoet/12,ROW()-ROW(Lening[[#HEADERS],[BET.NR.]])-1,PMT(Rentevoet/12,AantalBetalingen,GeleendBedrag),GeleendBedrag),""),""),"")</f>
        <v/>
      </c>
      <c r="E217" s="49" t="str">
        <f>IFERROR(IF(IF(B217="","",IF($B217&lt;=AantalBetalingen,1,0)*IF(GeleendBedrag*Rentevoet*Leningjaren*BegindatumLening&gt;0,1,0),-PMT(Rentevoet/12,AantalBetalingen,GeleendBedrag),""),""),"")</f>
        <v/>
      </c>
      <c r="F217" s="49" t="str">
        <f>IFERROR(IF(IF($B217&lt;=AantalBetalingen,1,0)*IF(GeleendBedrag*Rentevoet*Leningjaren*BegindatumLening&gt;0,1,0),-PPMT(Rentevoet/12,ROW()-ROW(Lening[[#HEADERS],[BET.NR.]]),AantalBetalingen,GeleendBedrag),""),"")</f>
        <v/>
      </c>
      <c r="G217" s="49" t="str">
        <f>IFERROR(IF(IF($B217&lt;=AantalBetalingen,1,0)*IF(GeleendBedrag*Rentevoet*Leningjaren*BegindatumLening&gt;0,1,0),-IPMT(Rentevoet/12,$B217,AantalBetalingen,GeleendBedrag),""),"")</f>
        <v/>
      </c>
      <c r="H217" s="49" t="str">
        <f>IFERROR(IF(IF(B217="","",IF($B217&lt;=AantalBetalingen,1,0)*IF(GeleendBedrag*Rentevoet*Leningjaren*BegindatumLening&gt;0,1,0),-FV(Rentevoet/12,$B217,PMT(Rentevoet/12,AantalBetalingen,GeleendBedrag),GeleendBedrag),""),""),"")</f>
        <v/>
      </c>
    </row>
    <row r="218" ht="22.5" hidden="1" customHeight="1">
      <c r="A218" s="46">
        <f>ROW()-ROW(Lening[[#HEADERS],[BET.NR.]])</f>
        <v>209</v>
      </c>
      <c r="B218" s="50" t="str">
        <f>IFERROR(IF(IF(ROW()-ROW(Lening!$9:$9)&lt;=AantalBetalingen,1,0)*IF(GeleendBedrag*Rentevoet*$D$5*BegindatumLening&gt;0,1,0),ROW()-ROW(Lening!$9:$9),""),"")</f>
        <v/>
      </c>
      <c r="C218" s="48" t="str">
        <f>IFERROR(IF(B218="","",IF(IF(B218&lt;=AantalBetalingen,1,0)*IF(GeleendBedrag*Rentevoet*Leningjaren*BegindatumLening&gt;0,1,0),TEXT(DATE(YEAR(BegindatumLening),MONTH(BegindatumLening)+B218,DAY(BegindatumLening)),"d-m-yyyy"),""),""),"")</f>
        <v/>
      </c>
      <c r="D218" s="49" t="str">
        <f>IFERROR(IF(IF(B218="","",IF($B218&lt;=AantalBetalingen,1,0)*IF(GeleendBedrag*Rentevoet*Leningjaren*BegindatumLening&gt;0,1,0),-FV(Rentevoet/12,ROW()-ROW(Lening[[#HEADERS],[BET.NR.]])-1,PMT(Rentevoet/12,AantalBetalingen,GeleendBedrag),GeleendBedrag),""),""),"")</f>
        <v/>
      </c>
      <c r="E218" s="49" t="str">
        <f>IFERROR(IF(IF(B218="","",IF($B218&lt;=AantalBetalingen,1,0)*IF(GeleendBedrag*Rentevoet*Leningjaren*BegindatumLening&gt;0,1,0),-PMT(Rentevoet/12,AantalBetalingen,GeleendBedrag),""),""),"")</f>
        <v/>
      </c>
      <c r="F218" s="49" t="str">
        <f>IFERROR(IF(IF($B218&lt;=AantalBetalingen,1,0)*IF(GeleendBedrag*Rentevoet*Leningjaren*BegindatumLening&gt;0,1,0),-PPMT(Rentevoet/12,ROW()-ROW(Lening[[#HEADERS],[BET.NR.]]),AantalBetalingen,GeleendBedrag),""),"")</f>
        <v/>
      </c>
      <c r="G218" s="49" t="str">
        <f>IFERROR(IF(IF($B218&lt;=AantalBetalingen,1,0)*IF(GeleendBedrag*Rentevoet*Leningjaren*BegindatumLening&gt;0,1,0),-IPMT(Rentevoet/12,$B218,AantalBetalingen,GeleendBedrag),""),"")</f>
        <v/>
      </c>
      <c r="H218" s="49" t="str">
        <f>IFERROR(IF(IF(B218="","",IF($B218&lt;=AantalBetalingen,1,0)*IF(GeleendBedrag*Rentevoet*Leningjaren*BegindatumLening&gt;0,1,0),-FV(Rentevoet/12,$B218,PMT(Rentevoet/12,AantalBetalingen,GeleendBedrag),GeleendBedrag),""),""),"")</f>
        <v/>
      </c>
    </row>
    <row r="219" ht="22.5" hidden="1" customHeight="1">
      <c r="A219" s="46">
        <f>ROW()-ROW(Lening[[#HEADERS],[BET.NR.]])</f>
        <v>210</v>
      </c>
      <c r="B219" s="50" t="str">
        <f>IFERROR(IF(IF(ROW()-ROW(Lening!$9:$9)&lt;=AantalBetalingen,1,0)*IF(GeleendBedrag*Rentevoet*$D$5*BegindatumLening&gt;0,1,0),ROW()-ROW(Lening!$9:$9),""),"")</f>
        <v/>
      </c>
      <c r="C219" s="48" t="str">
        <f>IFERROR(IF(B219="","",IF(IF(B219&lt;=AantalBetalingen,1,0)*IF(GeleendBedrag*Rentevoet*Leningjaren*BegindatumLening&gt;0,1,0),TEXT(DATE(YEAR(BegindatumLening),MONTH(BegindatumLening)+B219,DAY(BegindatumLening)),"d-m-yyyy"),""),""),"")</f>
        <v/>
      </c>
      <c r="D219" s="49" t="str">
        <f>IFERROR(IF(IF(B219="","",IF($B219&lt;=AantalBetalingen,1,0)*IF(GeleendBedrag*Rentevoet*Leningjaren*BegindatumLening&gt;0,1,0),-FV(Rentevoet/12,ROW()-ROW(Lening[[#HEADERS],[BET.NR.]])-1,PMT(Rentevoet/12,AantalBetalingen,GeleendBedrag),GeleendBedrag),""),""),"")</f>
        <v/>
      </c>
      <c r="E219" s="49" t="str">
        <f>IFERROR(IF(IF(B219="","",IF($B219&lt;=AantalBetalingen,1,0)*IF(GeleendBedrag*Rentevoet*Leningjaren*BegindatumLening&gt;0,1,0),-PMT(Rentevoet/12,AantalBetalingen,GeleendBedrag),""),""),"")</f>
        <v/>
      </c>
      <c r="F219" s="49" t="str">
        <f>IFERROR(IF(IF($B219&lt;=AantalBetalingen,1,0)*IF(GeleendBedrag*Rentevoet*Leningjaren*BegindatumLening&gt;0,1,0),-PPMT(Rentevoet/12,ROW()-ROW(Lening[[#HEADERS],[BET.NR.]]),AantalBetalingen,GeleendBedrag),""),"")</f>
        <v/>
      </c>
      <c r="G219" s="49" t="str">
        <f>IFERROR(IF(IF($B219&lt;=AantalBetalingen,1,0)*IF(GeleendBedrag*Rentevoet*Leningjaren*BegindatumLening&gt;0,1,0),-IPMT(Rentevoet/12,$B219,AantalBetalingen,GeleendBedrag),""),"")</f>
        <v/>
      </c>
      <c r="H219" s="49" t="str">
        <f>IFERROR(IF(IF(B219="","",IF($B219&lt;=AantalBetalingen,1,0)*IF(GeleendBedrag*Rentevoet*Leningjaren*BegindatumLening&gt;0,1,0),-FV(Rentevoet/12,$B219,PMT(Rentevoet/12,AantalBetalingen,GeleendBedrag),GeleendBedrag),""),""),"")</f>
        <v/>
      </c>
    </row>
    <row r="220" ht="22.5" hidden="1" customHeight="1">
      <c r="A220" s="46">
        <f>ROW()-ROW(Lening[[#HEADERS],[BET.NR.]])</f>
        <v>211</v>
      </c>
      <c r="B220" s="50" t="str">
        <f>IFERROR(IF(IF(ROW()-ROW(Lening!$9:$9)&lt;=AantalBetalingen,1,0)*IF(GeleendBedrag*Rentevoet*$D$5*BegindatumLening&gt;0,1,0),ROW()-ROW(Lening!$9:$9),""),"")</f>
        <v/>
      </c>
      <c r="C220" s="48" t="str">
        <f>IFERROR(IF(B220="","",IF(IF(B220&lt;=AantalBetalingen,1,0)*IF(GeleendBedrag*Rentevoet*Leningjaren*BegindatumLening&gt;0,1,0),TEXT(DATE(YEAR(BegindatumLening),MONTH(BegindatumLening)+B220,DAY(BegindatumLening)),"d-m-yyyy"),""),""),"")</f>
        <v/>
      </c>
      <c r="D220" s="49" t="str">
        <f>IFERROR(IF(IF(B220="","",IF($B220&lt;=AantalBetalingen,1,0)*IF(GeleendBedrag*Rentevoet*Leningjaren*BegindatumLening&gt;0,1,0),-FV(Rentevoet/12,ROW()-ROW(Lening[[#HEADERS],[BET.NR.]])-1,PMT(Rentevoet/12,AantalBetalingen,GeleendBedrag),GeleendBedrag),""),""),"")</f>
        <v/>
      </c>
      <c r="E220" s="49" t="str">
        <f>IFERROR(IF(IF(B220="","",IF($B220&lt;=AantalBetalingen,1,0)*IF(GeleendBedrag*Rentevoet*Leningjaren*BegindatumLening&gt;0,1,0),-PMT(Rentevoet/12,AantalBetalingen,GeleendBedrag),""),""),"")</f>
        <v/>
      </c>
      <c r="F220" s="49" t="str">
        <f>IFERROR(IF(IF($B220&lt;=AantalBetalingen,1,0)*IF(GeleendBedrag*Rentevoet*Leningjaren*BegindatumLening&gt;0,1,0),-PPMT(Rentevoet/12,ROW()-ROW(Lening[[#HEADERS],[BET.NR.]]),AantalBetalingen,GeleendBedrag),""),"")</f>
        <v/>
      </c>
      <c r="G220" s="49" t="str">
        <f>IFERROR(IF(IF($B220&lt;=AantalBetalingen,1,0)*IF(GeleendBedrag*Rentevoet*Leningjaren*BegindatumLening&gt;0,1,0),-IPMT(Rentevoet/12,$B220,AantalBetalingen,GeleendBedrag),""),"")</f>
        <v/>
      </c>
      <c r="H220" s="49" t="str">
        <f>IFERROR(IF(IF(B220="","",IF($B220&lt;=AantalBetalingen,1,0)*IF(GeleendBedrag*Rentevoet*Leningjaren*BegindatumLening&gt;0,1,0),-FV(Rentevoet/12,$B220,PMT(Rentevoet/12,AantalBetalingen,GeleendBedrag),GeleendBedrag),""),""),"")</f>
        <v/>
      </c>
    </row>
    <row r="221" ht="22.5" hidden="1" customHeight="1">
      <c r="A221" s="46">
        <f>ROW()-ROW(Lening[[#HEADERS],[BET.NR.]])</f>
        <v>212</v>
      </c>
      <c r="B221" s="50" t="str">
        <f>IFERROR(IF(IF(ROW()-ROW(Lening!$9:$9)&lt;=AantalBetalingen,1,0)*IF(GeleendBedrag*Rentevoet*$D$5*BegindatumLening&gt;0,1,0),ROW()-ROW(Lening!$9:$9),""),"")</f>
        <v/>
      </c>
      <c r="C221" s="48" t="str">
        <f>IFERROR(IF(B221="","",IF(IF(B221&lt;=AantalBetalingen,1,0)*IF(GeleendBedrag*Rentevoet*Leningjaren*BegindatumLening&gt;0,1,0),TEXT(DATE(YEAR(BegindatumLening),MONTH(BegindatumLening)+B221,DAY(BegindatumLening)),"d-m-yyyy"),""),""),"")</f>
        <v/>
      </c>
      <c r="D221" s="49" t="str">
        <f>IFERROR(IF(IF(B221="","",IF($B221&lt;=AantalBetalingen,1,0)*IF(GeleendBedrag*Rentevoet*Leningjaren*BegindatumLening&gt;0,1,0),-FV(Rentevoet/12,ROW()-ROW(Lening[[#HEADERS],[BET.NR.]])-1,PMT(Rentevoet/12,AantalBetalingen,GeleendBedrag),GeleendBedrag),""),""),"")</f>
        <v/>
      </c>
      <c r="E221" s="49" t="str">
        <f>IFERROR(IF(IF(B221="","",IF($B221&lt;=AantalBetalingen,1,0)*IF(GeleendBedrag*Rentevoet*Leningjaren*BegindatumLening&gt;0,1,0),-PMT(Rentevoet/12,AantalBetalingen,GeleendBedrag),""),""),"")</f>
        <v/>
      </c>
      <c r="F221" s="49" t="str">
        <f>IFERROR(IF(IF($B221&lt;=AantalBetalingen,1,0)*IF(GeleendBedrag*Rentevoet*Leningjaren*BegindatumLening&gt;0,1,0),-PPMT(Rentevoet/12,ROW()-ROW(Lening[[#HEADERS],[BET.NR.]]),AantalBetalingen,GeleendBedrag),""),"")</f>
        <v/>
      </c>
      <c r="G221" s="49" t="str">
        <f>IFERROR(IF(IF($B221&lt;=AantalBetalingen,1,0)*IF(GeleendBedrag*Rentevoet*Leningjaren*BegindatumLening&gt;0,1,0),-IPMT(Rentevoet/12,$B221,AantalBetalingen,GeleendBedrag),""),"")</f>
        <v/>
      </c>
      <c r="H221" s="49" t="str">
        <f>IFERROR(IF(IF(B221="","",IF($B221&lt;=AantalBetalingen,1,0)*IF(GeleendBedrag*Rentevoet*Leningjaren*BegindatumLening&gt;0,1,0),-FV(Rentevoet/12,$B221,PMT(Rentevoet/12,AantalBetalingen,GeleendBedrag),GeleendBedrag),""),""),"")</f>
        <v/>
      </c>
    </row>
    <row r="222" ht="22.5" hidden="1" customHeight="1">
      <c r="A222" s="46">
        <f>ROW()-ROW(Lening[[#HEADERS],[BET.NR.]])</f>
        <v>213</v>
      </c>
      <c r="B222" s="50" t="str">
        <f>IFERROR(IF(IF(ROW()-ROW(Lening!$9:$9)&lt;=AantalBetalingen,1,0)*IF(GeleendBedrag*Rentevoet*$D$5*BegindatumLening&gt;0,1,0),ROW()-ROW(Lening!$9:$9),""),"")</f>
        <v/>
      </c>
      <c r="C222" s="48" t="str">
        <f>IFERROR(IF(B222="","",IF(IF(B222&lt;=AantalBetalingen,1,0)*IF(GeleendBedrag*Rentevoet*Leningjaren*BegindatumLening&gt;0,1,0),TEXT(DATE(YEAR(BegindatumLening),MONTH(BegindatumLening)+B222,DAY(BegindatumLening)),"d-m-yyyy"),""),""),"")</f>
        <v/>
      </c>
      <c r="D222" s="49" t="str">
        <f>IFERROR(IF(IF(B222="","",IF($B222&lt;=AantalBetalingen,1,0)*IF(GeleendBedrag*Rentevoet*Leningjaren*BegindatumLening&gt;0,1,0),-FV(Rentevoet/12,ROW()-ROW(Lening[[#HEADERS],[BET.NR.]])-1,PMT(Rentevoet/12,AantalBetalingen,GeleendBedrag),GeleendBedrag),""),""),"")</f>
        <v/>
      </c>
      <c r="E222" s="49" t="str">
        <f>IFERROR(IF(IF(B222="","",IF($B222&lt;=AantalBetalingen,1,0)*IF(GeleendBedrag*Rentevoet*Leningjaren*BegindatumLening&gt;0,1,0),-PMT(Rentevoet/12,AantalBetalingen,GeleendBedrag),""),""),"")</f>
        <v/>
      </c>
      <c r="F222" s="49" t="str">
        <f>IFERROR(IF(IF($B222&lt;=AantalBetalingen,1,0)*IF(GeleendBedrag*Rentevoet*Leningjaren*BegindatumLening&gt;0,1,0),-PPMT(Rentevoet/12,ROW()-ROW(Lening[[#HEADERS],[BET.NR.]]),AantalBetalingen,GeleendBedrag),""),"")</f>
        <v/>
      </c>
      <c r="G222" s="49" t="str">
        <f>IFERROR(IF(IF($B222&lt;=AantalBetalingen,1,0)*IF(GeleendBedrag*Rentevoet*Leningjaren*BegindatumLening&gt;0,1,0),-IPMT(Rentevoet/12,$B222,AantalBetalingen,GeleendBedrag),""),"")</f>
        <v/>
      </c>
      <c r="H222" s="49" t="str">
        <f>IFERROR(IF(IF(B222="","",IF($B222&lt;=AantalBetalingen,1,0)*IF(GeleendBedrag*Rentevoet*Leningjaren*BegindatumLening&gt;0,1,0),-FV(Rentevoet/12,$B222,PMT(Rentevoet/12,AantalBetalingen,GeleendBedrag),GeleendBedrag),""),""),"")</f>
        <v/>
      </c>
    </row>
    <row r="223" ht="22.5" hidden="1" customHeight="1">
      <c r="A223" s="46">
        <f>ROW()-ROW(Lening[[#HEADERS],[BET.NR.]])</f>
        <v>214</v>
      </c>
      <c r="B223" s="50" t="str">
        <f>IFERROR(IF(IF(ROW()-ROW(Lening!$9:$9)&lt;=AantalBetalingen,1,0)*IF(GeleendBedrag*Rentevoet*$D$5*BegindatumLening&gt;0,1,0),ROW()-ROW(Lening!$9:$9),""),"")</f>
        <v/>
      </c>
      <c r="C223" s="48" t="str">
        <f>IFERROR(IF(B223="","",IF(IF(B223&lt;=AantalBetalingen,1,0)*IF(GeleendBedrag*Rentevoet*Leningjaren*BegindatumLening&gt;0,1,0),TEXT(DATE(YEAR(BegindatumLening),MONTH(BegindatumLening)+B223,DAY(BegindatumLening)),"d-m-yyyy"),""),""),"")</f>
        <v/>
      </c>
      <c r="D223" s="49" t="str">
        <f>IFERROR(IF(IF(B223="","",IF($B223&lt;=AantalBetalingen,1,0)*IF(GeleendBedrag*Rentevoet*Leningjaren*BegindatumLening&gt;0,1,0),-FV(Rentevoet/12,ROW()-ROW(Lening[[#HEADERS],[BET.NR.]])-1,PMT(Rentevoet/12,AantalBetalingen,GeleendBedrag),GeleendBedrag),""),""),"")</f>
        <v/>
      </c>
      <c r="E223" s="49" t="str">
        <f>IFERROR(IF(IF(B223="","",IF($B223&lt;=AantalBetalingen,1,0)*IF(GeleendBedrag*Rentevoet*Leningjaren*BegindatumLening&gt;0,1,0),-PMT(Rentevoet/12,AantalBetalingen,GeleendBedrag),""),""),"")</f>
        <v/>
      </c>
      <c r="F223" s="49" t="str">
        <f>IFERROR(IF(IF($B223&lt;=AantalBetalingen,1,0)*IF(GeleendBedrag*Rentevoet*Leningjaren*BegindatumLening&gt;0,1,0),-PPMT(Rentevoet/12,ROW()-ROW(Lening[[#HEADERS],[BET.NR.]]),AantalBetalingen,GeleendBedrag),""),"")</f>
        <v/>
      </c>
      <c r="G223" s="49" t="str">
        <f>IFERROR(IF(IF($B223&lt;=AantalBetalingen,1,0)*IF(GeleendBedrag*Rentevoet*Leningjaren*BegindatumLening&gt;0,1,0),-IPMT(Rentevoet/12,$B223,AantalBetalingen,GeleendBedrag),""),"")</f>
        <v/>
      </c>
      <c r="H223" s="49" t="str">
        <f>IFERROR(IF(IF(B223="","",IF($B223&lt;=AantalBetalingen,1,0)*IF(GeleendBedrag*Rentevoet*Leningjaren*BegindatumLening&gt;0,1,0),-FV(Rentevoet/12,$B223,PMT(Rentevoet/12,AantalBetalingen,GeleendBedrag),GeleendBedrag),""),""),"")</f>
        <v/>
      </c>
    </row>
    <row r="224" ht="22.5" hidden="1" customHeight="1">
      <c r="A224" s="46">
        <f>ROW()-ROW(Lening[[#HEADERS],[BET.NR.]])</f>
        <v>215</v>
      </c>
      <c r="B224" s="50" t="str">
        <f>IFERROR(IF(IF(ROW()-ROW(Lening!$9:$9)&lt;=AantalBetalingen,1,0)*IF(GeleendBedrag*Rentevoet*$D$5*BegindatumLening&gt;0,1,0),ROW()-ROW(Lening!$9:$9),""),"")</f>
        <v/>
      </c>
      <c r="C224" s="48" t="str">
        <f>IFERROR(IF(B224="","",IF(IF(B224&lt;=AantalBetalingen,1,0)*IF(GeleendBedrag*Rentevoet*Leningjaren*BegindatumLening&gt;0,1,0),TEXT(DATE(YEAR(BegindatumLening),MONTH(BegindatumLening)+B224,DAY(BegindatumLening)),"d-m-yyyy"),""),""),"")</f>
        <v/>
      </c>
      <c r="D224" s="49" t="str">
        <f>IFERROR(IF(IF(B224="","",IF($B224&lt;=AantalBetalingen,1,0)*IF(GeleendBedrag*Rentevoet*Leningjaren*BegindatumLening&gt;0,1,0),-FV(Rentevoet/12,ROW()-ROW(Lening[[#HEADERS],[BET.NR.]])-1,PMT(Rentevoet/12,AantalBetalingen,GeleendBedrag),GeleendBedrag),""),""),"")</f>
        <v/>
      </c>
      <c r="E224" s="49" t="str">
        <f>IFERROR(IF(IF(B224="","",IF($B224&lt;=AantalBetalingen,1,0)*IF(GeleendBedrag*Rentevoet*Leningjaren*BegindatumLening&gt;0,1,0),-PMT(Rentevoet/12,AantalBetalingen,GeleendBedrag),""),""),"")</f>
        <v/>
      </c>
      <c r="F224" s="49" t="str">
        <f>IFERROR(IF(IF($B224&lt;=AantalBetalingen,1,0)*IF(GeleendBedrag*Rentevoet*Leningjaren*BegindatumLening&gt;0,1,0),-PPMT(Rentevoet/12,ROW()-ROW(Lening[[#HEADERS],[BET.NR.]]),AantalBetalingen,GeleendBedrag),""),"")</f>
        <v/>
      </c>
      <c r="G224" s="49" t="str">
        <f>IFERROR(IF(IF($B224&lt;=AantalBetalingen,1,0)*IF(GeleendBedrag*Rentevoet*Leningjaren*BegindatumLening&gt;0,1,0),-IPMT(Rentevoet/12,$B224,AantalBetalingen,GeleendBedrag),""),"")</f>
        <v/>
      </c>
      <c r="H224" s="49" t="str">
        <f>IFERROR(IF(IF(B224="","",IF($B224&lt;=AantalBetalingen,1,0)*IF(GeleendBedrag*Rentevoet*Leningjaren*BegindatumLening&gt;0,1,0),-FV(Rentevoet/12,$B224,PMT(Rentevoet/12,AantalBetalingen,GeleendBedrag),GeleendBedrag),""),""),"")</f>
        <v/>
      </c>
    </row>
    <row r="225" ht="22.5" hidden="1" customHeight="1">
      <c r="A225" s="46">
        <f>ROW()-ROW(Lening[[#HEADERS],[BET.NR.]])</f>
        <v>216</v>
      </c>
      <c r="B225" s="50" t="str">
        <f>IFERROR(IF(IF(ROW()-ROW(Lening!$9:$9)&lt;=AantalBetalingen,1,0)*IF(GeleendBedrag*Rentevoet*$D$5*BegindatumLening&gt;0,1,0),ROW()-ROW(Lening!$9:$9),""),"")</f>
        <v/>
      </c>
      <c r="C225" s="48" t="str">
        <f>IFERROR(IF(B225="","",IF(IF(B225&lt;=AantalBetalingen,1,0)*IF(GeleendBedrag*Rentevoet*Leningjaren*BegindatumLening&gt;0,1,0),TEXT(DATE(YEAR(BegindatumLening),MONTH(BegindatumLening)+B225,DAY(BegindatumLening)),"d-m-yyyy"),""),""),"")</f>
        <v/>
      </c>
      <c r="D225" s="49" t="str">
        <f>IFERROR(IF(IF(B225="","",IF($B225&lt;=AantalBetalingen,1,0)*IF(GeleendBedrag*Rentevoet*Leningjaren*BegindatumLening&gt;0,1,0),-FV(Rentevoet/12,ROW()-ROW(Lening[[#HEADERS],[BET.NR.]])-1,PMT(Rentevoet/12,AantalBetalingen,GeleendBedrag),GeleendBedrag),""),""),"")</f>
        <v/>
      </c>
      <c r="E225" s="49" t="str">
        <f>IFERROR(IF(IF(B225="","",IF($B225&lt;=AantalBetalingen,1,0)*IF(GeleendBedrag*Rentevoet*Leningjaren*BegindatumLening&gt;0,1,0),-PMT(Rentevoet/12,AantalBetalingen,GeleendBedrag),""),""),"")</f>
        <v/>
      </c>
      <c r="F225" s="49" t="str">
        <f>IFERROR(IF(IF($B225&lt;=AantalBetalingen,1,0)*IF(GeleendBedrag*Rentevoet*Leningjaren*BegindatumLening&gt;0,1,0),-PPMT(Rentevoet/12,ROW()-ROW(Lening[[#HEADERS],[BET.NR.]]),AantalBetalingen,GeleendBedrag),""),"")</f>
        <v/>
      </c>
      <c r="G225" s="49" t="str">
        <f>IFERROR(IF(IF($B225&lt;=AantalBetalingen,1,0)*IF(GeleendBedrag*Rentevoet*Leningjaren*BegindatumLening&gt;0,1,0),-IPMT(Rentevoet/12,$B225,AantalBetalingen,GeleendBedrag),""),"")</f>
        <v/>
      </c>
      <c r="H225" s="49" t="str">
        <f>IFERROR(IF(IF(B225="","",IF($B225&lt;=AantalBetalingen,1,0)*IF(GeleendBedrag*Rentevoet*Leningjaren*BegindatumLening&gt;0,1,0),-FV(Rentevoet/12,$B225,PMT(Rentevoet/12,AantalBetalingen,GeleendBedrag),GeleendBedrag),""),""),"")</f>
        <v/>
      </c>
    </row>
    <row r="226" ht="22.5" hidden="1" customHeight="1">
      <c r="A226" s="46">
        <f>ROW()-ROW(Lening[[#HEADERS],[BET.NR.]])</f>
        <v>217</v>
      </c>
      <c r="B226" s="50" t="str">
        <f>IFERROR(IF(IF(ROW()-ROW(Lening!$9:$9)&lt;=AantalBetalingen,1,0)*IF(GeleendBedrag*Rentevoet*$D$5*BegindatumLening&gt;0,1,0),ROW()-ROW(Lening!$9:$9),""),"")</f>
        <v/>
      </c>
      <c r="C226" s="48" t="str">
        <f>IFERROR(IF(B226="","",IF(IF(B226&lt;=AantalBetalingen,1,0)*IF(GeleendBedrag*Rentevoet*Leningjaren*BegindatumLening&gt;0,1,0),TEXT(DATE(YEAR(BegindatumLening),MONTH(BegindatumLening)+B226,DAY(BegindatumLening)),"d-m-yyyy"),""),""),"")</f>
        <v/>
      </c>
      <c r="D226" s="49" t="str">
        <f>IFERROR(IF(IF(B226="","",IF($B226&lt;=AantalBetalingen,1,0)*IF(GeleendBedrag*Rentevoet*Leningjaren*BegindatumLening&gt;0,1,0),-FV(Rentevoet/12,ROW()-ROW(Lening[[#HEADERS],[BET.NR.]])-1,PMT(Rentevoet/12,AantalBetalingen,GeleendBedrag),GeleendBedrag),""),""),"")</f>
        <v/>
      </c>
      <c r="E226" s="49" t="str">
        <f>IFERROR(IF(IF(B226="","",IF($B226&lt;=AantalBetalingen,1,0)*IF(GeleendBedrag*Rentevoet*Leningjaren*BegindatumLening&gt;0,1,0),-PMT(Rentevoet/12,AantalBetalingen,GeleendBedrag),""),""),"")</f>
        <v/>
      </c>
      <c r="F226" s="49" t="str">
        <f>IFERROR(IF(IF($B226&lt;=AantalBetalingen,1,0)*IF(GeleendBedrag*Rentevoet*Leningjaren*BegindatumLening&gt;0,1,0),-PPMT(Rentevoet/12,ROW()-ROW(Lening[[#HEADERS],[BET.NR.]]),AantalBetalingen,GeleendBedrag),""),"")</f>
        <v/>
      </c>
      <c r="G226" s="49" t="str">
        <f>IFERROR(IF(IF($B226&lt;=AantalBetalingen,1,0)*IF(GeleendBedrag*Rentevoet*Leningjaren*BegindatumLening&gt;0,1,0),-IPMT(Rentevoet/12,$B226,AantalBetalingen,GeleendBedrag),""),"")</f>
        <v/>
      </c>
      <c r="H226" s="49" t="str">
        <f>IFERROR(IF(IF(B226="","",IF($B226&lt;=AantalBetalingen,1,0)*IF(GeleendBedrag*Rentevoet*Leningjaren*BegindatumLening&gt;0,1,0),-FV(Rentevoet/12,$B226,PMT(Rentevoet/12,AantalBetalingen,GeleendBedrag),GeleendBedrag),""),""),"")</f>
        <v/>
      </c>
    </row>
    <row r="227" ht="22.5" hidden="1" customHeight="1">
      <c r="A227" s="46">
        <f>ROW()-ROW(Lening[[#HEADERS],[BET.NR.]])</f>
        <v>218</v>
      </c>
      <c r="B227" s="50" t="str">
        <f>IFERROR(IF(IF(ROW()-ROW(Lening!$9:$9)&lt;=AantalBetalingen,1,0)*IF(GeleendBedrag*Rentevoet*$D$5*BegindatumLening&gt;0,1,0),ROW()-ROW(Lening!$9:$9),""),"")</f>
        <v/>
      </c>
      <c r="C227" s="48" t="str">
        <f>IFERROR(IF(B227="","",IF(IF(B227&lt;=AantalBetalingen,1,0)*IF(GeleendBedrag*Rentevoet*Leningjaren*BegindatumLening&gt;0,1,0),TEXT(DATE(YEAR(BegindatumLening),MONTH(BegindatumLening)+B227,DAY(BegindatumLening)),"d-m-yyyy"),""),""),"")</f>
        <v/>
      </c>
      <c r="D227" s="49" t="str">
        <f>IFERROR(IF(IF(B227="","",IF($B227&lt;=AantalBetalingen,1,0)*IF(GeleendBedrag*Rentevoet*Leningjaren*BegindatumLening&gt;0,1,0),-FV(Rentevoet/12,ROW()-ROW(Lening[[#HEADERS],[BET.NR.]])-1,PMT(Rentevoet/12,AantalBetalingen,GeleendBedrag),GeleendBedrag),""),""),"")</f>
        <v/>
      </c>
      <c r="E227" s="49" t="str">
        <f>IFERROR(IF(IF(B227="","",IF($B227&lt;=AantalBetalingen,1,0)*IF(GeleendBedrag*Rentevoet*Leningjaren*BegindatumLening&gt;0,1,0),-PMT(Rentevoet/12,AantalBetalingen,GeleendBedrag),""),""),"")</f>
        <v/>
      </c>
      <c r="F227" s="49" t="str">
        <f>IFERROR(IF(IF($B227&lt;=AantalBetalingen,1,0)*IF(GeleendBedrag*Rentevoet*Leningjaren*BegindatumLening&gt;0,1,0),-PPMT(Rentevoet/12,ROW()-ROW(Lening[[#HEADERS],[BET.NR.]]),AantalBetalingen,GeleendBedrag),""),"")</f>
        <v/>
      </c>
      <c r="G227" s="49" t="str">
        <f>IFERROR(IF(IF($B227&lt;=AantalBetalingen,1,0)*IF(GeleendBedrag*Rentevoet*Leningjaren*BegindatumLening&gt;0,1,0),-IPMT(Rentevoet/12,$B227,AantalBetalingen,GeleendBedrag),""),"")</f>
        <v/>
      </c>
      <c r="H227" s="49" t="str">
        <f>IFERROR(IF(IF(B227="","",IF($B227&lt;=AantalBetalingen,1,0)*IF(GeleendBedrag*Rentevoet*Leningjaren*BegindatumLening&gt;0,1,0),-FV(Rentevoet/12,$B227,PMT(Rentevoet/12,AantalBetalingen,GeleendBedrag),GeleendBedrag),""),""),"")</f>
        <v/>
      </c>
    </row>
    <row r="228" ht="22.5" hidden="1" customHeight="1">
      <c r="A228" s="46">
        <f>ROW()-ROW(Lening[[#HEADERS],[BET.NR.]])</f>
        <v>219</v>
      </c>
      <c r="B228" s="50" t="str">
        <f>IFERROR(IF(IF(ROW()-ROW(Lening!$9:$9)&lt;=AantalBetalingen,1,0)*IF(GeleendBedrag*Rentevoet*$D$5*BegindatumLening&gt;0,1,0),ROW()-ROW(Lening!$9:$9),""),"")</f>
        <v/>
      </c>
      <c r="C228" s="48" t="str">
        <f>IFERROR(IF(B228="","",IF(IF(B228&lt;=AantalBetalingen,1,0)*IF(GeleendBedrag*Rentevoet*Leningjaren*BegindatumLening&gt;0,1,0),TEXT(DATE(YEAR(BegindatumLening),MONTH(BegindatumLening)+B228,DAY(BegindatumLening)),"d-m-yyyy"),""),""),"")</f>
        <v/>
      </c>
      <c r="D228" s="49" t="str">
        <f>IFERROR(IF(IF(B228="","",IF($B228&lt;=AantalBetalingen,1,0)*IF(GeleendBedrag*Rentevoet*Leningjaren*BegindatumLening&gt;0,1,0),-FV(Rentevoet/12,ROW()-ROW(Lening[[#HEADERS],[BET.NR.]])-1,PMT(Rentevoet/12,AantalBetalingen,GeleendBedrag),GeleendBedrag),""),""),"")</f>
        <v/>
      </c>
      <c r="E228" s="49" t="str">
        <f>IFERROR(IF(IF(B228="","",IF($B228&lt;=AantalBetalingen,1,0)*IF(GeleendBedrag*Rentevoet*Leningjaren*BegindatumLening&gt;0,1,0),-PMT(Rentevoet/12,AantalBetalingen,GeleendBedrag),""),""),"")</f>
        <v/>
      </c>
      <c r="F228" s="49" t="str">
        <f>IFERROR(IF(IF($B228&lt;=AantalBetalingen,1,0)*IF(GeleendBedrag*Rentevoet*Leningjaren*BegindatumLening&gt;0,1,0),-PPMT(Rentevoet/12,ROW()-ROW(Lening[[#HEADERS],[BET.NR.]]),AantalBetalingen,GeleendBedrag),""),"")</f>
        <v/>
      </c>
      <c r="G228" s="49" t="str">
        <f>IFERROR(IF(IF($B228&lt;=AantalBetalingen,1,0)*IF(GeleendBedrag*Rentevoet*Leningjaren*BegindatumLening&gt;0,1,0),-IPMT(Rentevoet/12,$B228,AantalBetalingen,GeleendBedrag),""),"")</f>
        <v/>
      </c>
      <c r="H228" s="49" t="str">
        <f>IFERROR(IF(IF(B228="","",IF($B228&lt;=AantalBetalingen,1,0)*IF(GeleendBedrag*Rentevoet*Leningjaren*BegindatumLening&gt;0,1,0),-FV(Rentevoet/12,$B228,PMT(Rentevoet/12,AantalBetalingen,GeleendBedrag),GeleendBedrag),""),""),"")</f>
        <v/>
      </c>
    </row>
    <row r="229" ht="22.5" hidden="1" customHeight="1">
      <c r="A229" s="46">
        <f>ROW()-ROW(Lening[[#HEADERS],[BET.NR.]])</f>
        <v>220</v>
      </c>
      <c r="B229" s="50" t="str">
        <f>IFERROR(IF(IF(ROW()-ROW(Lening!$9:$9)&lt;=AantalBetalingen,1,0)*IF(GeleendBedrag*Rentevoet*$D$5*BegindatumLening&gt;0,1,0),ROW()-ROW(Lening!$9:$9),""),"")</f>
        <v/>
      </c>
      <c r="C229" s="48" t="str">
        <f>IFERROR(IF(B229="","",IF(IF(B229&lt;=AantalBetalingen,1,0)*IF(GeleendBedrag*Rentevoet*Leningjaren*BegindatumLening&gt;0,1,0),TEXT(DATE(YEAR(BegindatumLening),MONTH(BegindatumLening)+B229,DAY(BegindatumLening)),"d-m-yyyy"),""),""),"")</f>
        <v/>
      </c>
      <c r="D229" s="49" t="str">
        <f>IFERROR(IF(IF(B229="","",IF($B229&lt;=AantalBetalingen,1,0)*IF(GeleendBedrag*Rentevoet*Leningjaren*BegindatumLening&gt;0,1,0),-FV(Rentevoet/12,ROW()-ROW(Lening[[#HEADERS],[BET.NR.]])-1,PMT(Rentevoet/12,AantalBetalingen,GeleendBedrag),GeleendBedrag),""),""),"")</f>
        <v/>
      </c>
      <c r="E229" s="49" t="str">
        <f>IFERROR(IF(IF(B229="","",IF($B229&lt;=AantalBetalingen,1,0)*IF(GeleendBedrag*Rentevoet*Leningjaren*BegindatumLening&gt;0,1,0),-PMT(Rentevoet/12,AantalBetalingen,GeleendBedrag),""),""),"")</f>
        <v/>
      </c>
      <c r="F229" s="49" t="str">
        <f>IFERROR(IF(IF($B229&lt;=AantalBetalingen,1,0)*IF(GeleendBedrag*Rentevoet*Leningjaren*BegindatumLening&gt;0,1,0),-PPMT(Rentevoet/12,ROW()-ROW(Lening[[#HEADERS],[BET.NR.]]),AantalBetalingen,GeleendBedrag),""),"")</f>
        <v/>
      </c>
      <c r="G229" s="49" t="str">
        <f>IFERROR(IF(IF($B229&lt;=AantalBetalingen,1,0)*IF(GeleendBedrag*Rentevoet*Leningjaren*BegindatumLening&gt;0,1,0),-IPMT(Rentevoet/12,$B229,AantalBetalingen,GeleendBedrag),""),"")</f>
        <v/>
      </c>
      <c r="H229" s="49" t="str">
        <f>IFERROR(IF(IF(B229="","",IF($B229&lt;=AantalBetalingen,1,0)*IF(GeleendBedrag*Rentevoet*Leningjaren*BegindatumLening&gt;0,1,0),-FV(Rentevoet/12,$B229,PMT(Rentevoet/12,AantalBetalingen,GeleendBedrag),GeleendBedrag),""),""),"")</f>
        <v/>
      </c>
    </row>
    <row r="230" ht="22.5" hidden="1" customHeight="1">
      <c r="A230" s="46">
        <f>ROW()-ROW(Lening[[#HEADERS],[BET.NR.]])</f>
        <v>221</v>
      </c>
      <c r="B230" s="50" t="str">
        <f>IFERROR(IF(IF(ROW()-ROW(Lening!$9:$9)&lt;=AantalBetalingen,1,0)*IF(GeleendBedrag*Rentevoet*$D$5*BegindatumLening&gt;0,1,0),ROW()-ROW(Lening!$9:$9),""),"")</f>
        <v/>
      </c>
      <c r="C230" s="48" t="str">
        <f>IFERROR(IF(B230="","",IF(IF(B230&lt;=AantalBetalingen,1,0)*IF(GeleendBedrag*Rentevoet*Leningjaren*BegindatumLening&gt;0,1,0),TEXT(DATE(YEAR(BegindatumLening),MONTH(BegindatumLening)+B230,DAY(BegindatumLening)),"d-m-yyyy"),""),""),"")</f>
        <v/>
      </c>
      <c r="D230" s="49" t="str">
        <f>IFERROR(IF(IF(B230="","",IF($B230&lt;=AantalBetalingen,1,0)*IF(GeleendBedrag*Rentevoet*Leningjaren*BegindatumLening&gt;0,1,0),-FV(Rentevoet/12,ROW()-ROW(Lening[[#HEADERS],[BET.NR.]])-1,PMT(Rentevoet/12,AantalBetalingen,GeleendBedrag),GeleendBedrag),""),""),"")</f>
        <v/>
      </c>
      <c r="E230" s="49" t="str">
        <f>IFERROR(IF(IF(B230="","",IF($B230&lt;=AantalBetalingen,1,0)*IF(GeleendBedrag*Rentevoet*Leningjaren*BegindatumLening&gt;0,1,0),-PMT(Rentevoet/12,AantalBetalingen,GeleendBedrag),""),""),"")</f>
        <v/>
      </c>
      <c r="F230" s="49" t="str">
        <f>IFERROR(IF(IF($B230&lt;=AantalBetalingen,1,0)*IF(GeleendBedrag*Rentevoet*Leningjaren*BegindatumLening&gt;0,1,0),-PPMT(Rentevoet/12,ROW()-ROW(Lening[[#HEADERS],[BET.NR.]]),AantalBetalingen,GeleendBedrag),""),"")</f>
        <v/>
      </c>
      <c r="G230" s="49" t="str">
        <f>IFERROR(IF(IF($B230&lt;=AantalBetalingen,1,0)*IF(GeleendBedrag*Rentevoet*Leningjaren*BegindatumLening&gt;0,1,0),-IPMT(Rentevoet/12,$B230,AantalBetalingen,GeleendBedrag),""),"")</f>
        <v/>
      </c>
      <c r="H230" s="49" t="str">
        <f>IFERROR(IF(IF(B230="","",IF($B230&lt;=AantalBetalingen,1,0)*IF(GeleendBedrag*Rentevoet*Leningjaren*BegindatumLening&gt;0,1,0),-FV(Rentevoet/12,$B230,PMT(Rentevoet/12,AantalBetalingen,GeleendBedrag),GeleendBedrag),""),""),"")</f>
        <v/>
      </c>
    </row>
    <row r="231" ht="22.5" hidden="1" customHeight="1">
      <c r="A231" s="46">
        <f>ROW()-ROW(Lening[[#HEADERS],[BET.NR.]])</f>
        <v>222</v>
      </c>
      <c r="B231" s="50" t="str">
        <f>IFERROR(IF(IF(ROW()-ROW(Lening!$9:$9)&lt;=AantalBetalingen,1,0)*IF(GeleendBedrag*Rentevoet*$D$5*BegindatumLening&gt;0,1,0),ROW()-ROW(Lening!$9:$9),""),"")</f>
        <v/>
      </c>
      <c r="C231" s="48" t="str">
        <f>IFERROR(IF(B231="","",IF(IF(B231&lt;=AantalBetalingen,1,0)*IF(GeleendBedrag*Rentevoet*Leningjaren*BegindatumLening&gt;0,1,0),TEXT(DATE(YEAR(BegindatumLening),MONTH(BegindatumLening)+B231,DAY(BegindatumLening)),"d-m-yyyy"),""),""),"")</f>
        <v/>
      </c>
      <c r="D231" s="49" t="str">
        <f>IFERROR(IF(IF(B231="","",IF($B231&lt;=AantalBetalingen,1,0)*IF(GeleendBedrag*Rentevoet*Leningjaren*BegindatumLening&gt;0,1,0),-FV(Rentevoet/12,ROW()-ROW(Lening[[#HEADERS],[BET.NR.]])-1,PMT(Rentevoet/12,AantalBetalingen,GeleendBedrag),GeleendBedrag),""),""),"")</f>
        <v/>
      </c>
      <c r="E231" s="49" t="str">
        <f>IFERROR(IF(IF(B231="","",IF($B231&lt;=AantalBetalingen,1,0)*IF(GeleendBedrag*Rentevoet*Leningjaren*BegindatumLening&gt;0,1,0),-PMT(Rentevoet/12,AantalBetalingen,GeleendBedrag),""),""),"")</f>
        <v/>
      </c>
      <c r="F231" s="49" t="str">
        <f>IFERROR(IF(IF($B231&lt;=AantalBetalingen,1,0)*IF(GeleendBedrag*Rentevoet*Leningjaren*BegindatumLening&gt;0,1,0),-PPMT(Rentevoet/12,ROW()-ROW(Lening[[#HEADERS],[BET.NR.]]),AantalBetalingen,GeleendBedrag),""),"")</f>
        <v/>
      </c>
      <c r="G231" s="49" t="str">
        <f>IFERROR(IF(IF($B231&lt;=AantalBetalingen,1,0)*IF(GeleendBedrag*Rentevoet*Leningjaren*BegindatumLening&gt;0,1,0),-IPMT(Rentevoet/12,$B231,AantalBetalingen,GeleendBedrag),""),"")</f>
        <v/>
      </c>
      <c r="H231" s="49" t="str">
        <f>IFERROR(IF(IF(B231="","",IF($B231&lt;=AantalBetalingen,1,0)*IF(GeleendBedrag*Rentevoet*Leningjaren*BegindatumLening&gt;0,1,0),-FV(Rentevoet/12,$B231,PMT(Rentevoet/12,AantalBetalingen,GeleendBedrag),GeleendBedrag),""),""),"")</f>
        <v/>
      </c>
    </row>
    <row r="232" ht="22.5" hidden="1" customHeight="1">
      <c r="A232" s="46">
        <f>ROW()-ROW(Lening[[#HEADERS],[BET.NR.]])</f>
        <v>223</v>
      </c>
      <c r="B232" s="50" t="str">
        <f>IFERROR(IF(IF(ROW()-ROW(Lening!$9:$9)&lt;=AantalBetalingen,1,0)*IF(GeleendBedrag*Rentevoet*$D$5*BegindatumLening&gt;0,1,0),ROW()-ROW(Lening!$9:$9),""),"")</f>
        <v/>
      </c>
      <c r="C232" s="48" t="str">
        <f>IFERROR(IF(B232="","",IF(IF(B232&lt;=AantalBetalingen,1,0)*IF(GeleendBedrag*Rentevoet*Leningjaren*BegindatumLening&gt;0,1,0),TEXT(DATE(YEAR(BegindatumLening),MONTH(BegindatumLening)+B232,DAY(BegindatumLening)),"d-m-yyyy"),""),""),"")</f>
        <v/>
      </c>
      <c r="D232" s="49" t="str">
        <f>IFERROR(IF(IF(B232="","",IF($B232&lt;=AantalBetalingen,1,0)*IF(GeleendBedrag*Rentevoet*Leningjaren*BegindatumLening&gt;0,1,0),-FV(Rentevoet/12,ROW()-ROW(Lening[[#HEADERS],[BET.NR.]])-1,PMT(Rentevoet/12,AantalBetalingen,GeleendBedrag),GeleendBedrag),""),""),"")</f>
        <v/>
      </c>
      <c r="E232" s="49" t="str">
        <f>IFERROR(IF(IF(B232="","",IF($B232&lt;=AantalBetalingen,1,0)*IF(GeleendBedrag*Rentevoet*Leningjaren*BegindatumLening&gt;0,1,0),-PMT(Rentevoet/12,AantalBetalingen,GeleendBedrag),""),""),"")</f>
        <v/>
      </c>
      <c r="F232" s="49" t="str">
        <f>IFERROR(IF(IF($B232&lt;=AantalBetalingen,1,0)*IF(GeleendBedrag*Rentevoet*Leningjaren*BegindatumLening&gt;0,1,0),-PPMT(Rentevoet/12,ROW()-ROW(Lening[[#HEADERS],[BET.NR.]]),AantalBetalingen,GeleendBedrag),""),"")</f>
        <v/>
      </c>
      <c r="G232" s="49" t="str">
        <f>IFERROR(IF(IF($B232&lt;=AantalBetalingen,1,0)*IF(GeleendBedrag*Rentevoet*Leningjaren*BegindatumLening&gt;0,1,0),-IPMT(Rentevoet/12,$B232,AantalBetalingen,GeleendBedrag),""),"")</f>
        <v/>
      </c>
      <c r="H232" s="49" t="str">
        <f>IFERROR(IF(IF(B232="","",IF($B232&lt;=AantalBetalingen,1,0)*IF(GeleendBedrag*Rentevoet*Leningjaren*BegindatumLening&gt;0,1,0),-FV(Rentevoet/12,$B232,PMT(Rentevoet/12,AantalBetalingen,GeleendBedrag),GeleendBedrag),""),""),"")</f>
        <v/>
      </c>
    </row>
    <row r="233" ht="22.5" hidden="1" customHeight="1">
      <c r="A233" s="46">
        <f>ROW()-ROW(Lening[[#HEADERS],[BET.NR.]])</f>
        <v>224</v>
      </c>
      <c r="B233" s="50" t="str">
        <f>IFERROR(IF(IF(ROW()-ROW(Lening!$9:$9)&lt;=AantalBetalingen,1,0)*IF(GeleendBedrag*Rentevoet*$D$5*BegindatumLening&gt;0,1,0),ROW()-ROW(Lening!$9:$9),""),"")</f>
        <v/>
      </c>
      <c r="C233" s="48" t="str">
        <f>IFERROR(IF(B233="","",IF(IF(B233&lt;=AantalBetalingen,1,0)*IF(GeleendBedrag*Rentevoet*Leningjaren*BegindatumLening&gt;0,1,0),TEXT(DATE(YEAR(BegindatumLening),MONTH(BegindatumLening)+B233,DAY(BegindatumLening)),"d-m-yyyy"),""),""),"")</f>
        <v/>
      </c>
      <c r="D233" s="49" t="str">
        <f>IFERROR(IF(IF(B233="","",IF($B233&lt;=AantalBetalingen,1,0)*IF(GeleendBedrag*Rentevoet*Leningjaren*BegindatumLening&gt;0,1,0),-FV(Rentevoet/12,ROW()-ROW(Lening[[#HEADERS],[BET.NR.]])-1,PMT(Rentevoet/12,AantalBetalingen,GeleendBedrag),GeleendBedrag),""),""),"")</f>
        <v/>
      </c>
      <c r="E233" s="49" t="str">
        <f>IFERROR(IF(IF(B233="","",IF($B233&lt;=AantalBetalingen,1,0)*IF(GeleendBedrag*Rentevoet*Leningjaren*BegindatumLening&gt;0,1,0),-PMT(Rentevoet/12,AantalBetalingen,GeleendBedrag),""),""),"")</f>
        <v/>
      </c>
      <c r="F233" s="49" t="str">
        <f>IFERROR(IF(IF($B233&lt;=AantalBetalingen,1,0)*IF(GeleendBedrag*Rentevoet*Leningjaren*BegindatumLening&gt;0,1,0),-PPMT(Rentevoet/12,ROW()-ROW(Lening[[#HEADERS],[BET.NR.]]),AantalBetalingen,GeleendBedrag),""),"")</f>
        <v/>
      </c>
      <c r="G233" s="49" t="str">
        <f>IFERROR(IF(IF($B233&lt;=AantalBetalingen,1,0)*IF(GeleendBedrag*Rentevoet*Leningjaren*BegindatumLening&gt;0,1,0),-IPMT(Rentevoet/12,$B233,AantalBetalingen,GeleendBedrag),""),"")</f>
        <v/>
      </c>
      <c r="H233" s="49" t="str">
        <f>IFERROR(IF(IF(B233="","",IF($B233&lt;=AantalBetalingen,1,0)*IF(GeleendBedrag*Rentevoet*Leningjaren*BegindatumLening&gt;0,1,0),-FV(Rentevoet/12,$B233,PMT(Rentevoet/12,AantalBetalingen,GeleendBedrag),GeleendBedrag),""),""),"")</f>
        <v/>
      </c>
    </row>
    <row r="234" ht="22.5" hidden="1" customHeight="1">
      <c r="A234" s="46">
        <f>ROW()-ROW(Lening[[#HEADERS],[BET.NR.]])</f>
        <v>225</v>
      </c>
      <c r="B234" s="50" t="str">
        <f>IFERROR(IF(IF(ROW()-ROW(Lening!$9:$9)&lt;=AantalBetalingen,1,0)*IF(GeleendBedrag*Rentevoet*$D$5*BegindatumLening&gt;0,1,0),ROW()-ROW(Lening!$9:$9),""),"")</f>
        <v/>
      </c>
      <c r="C234" s="48" t="str">
        <f>IFERROR(IF(B234="","",IF(IF(B234&lt;=AantalBetalingen,1,0)*IF(GeleendBedrag*Rentevoet*Leningjaren*BegindatumLening&gt;0,1,0),TEXT(DATE(YEAR(BegindatumLening),MONTH(BegindatumLening)+B234,DAY(BegindatumLening)),"d-m-yyyy"),""),""),"")</f>
        <v/>
      </c>
      <c r="D234" s="49" t="str">
        <f>IFERROR(IF(IF(B234="","",IF($B234&lt;=AantalBetalingen,1,0)*IF(GeleendBedrag*Rentevoet*Leningjaren*BegindatumLening&gt;0,1,0),-FV(Rentevoet/12,ROW()-ROW(Lening[[#HEADERS],[BET.NR.]])-1,PMT(Rentevoet/12,AantalBetalingen,GeleendBedrag),GeleendBedrag),""),""),"")</f>
        <v/>
      </c>
      <c r="E234" s="49" t="str">
        <f>IFERROR(IF(IF(B234="","",IF($B234&lt;=AantalBetalingen,1,0)*IF(GeleendBedrag*Rentevoet*Leningjaren*BegindatumLening&gt;0,1,0),-PMT(Rentevoet/12,AantalBetalingen,GeleendBedrag),""),""),"")</f>
        <v/>
      </c>
      <c r="F234" s="49" t="str">
        <f>IFERROR(IF(IF($B234&lt;=AantalBetalingen,1,0)*IF(GeleendBedrag*Rentevoet*Leningjaren*BegindatumLening&gt;0,1,0),-PPMT(Rentevoet/12,ROW()-ROW(Lening[[#HEADERS],[BET.NR.]]),AantalBetalingen,GeleendBedrag),""),"")</f>
        <v/>
      </c>
      <c r="G234" s="49" t="str">
        <f>IFERROR(IF(IF($B234&lt;=AantalBetalingen,1,0)*IF(GeleendBedrag*Rentevoet*Leningjaren*BegindatumLening&gt;0,1,0),-IPMT(Rentevoet/12,$B234,AantalBetalingen,GeleendBedrag),""),"")</f>
        <v/>
      </c>
      <c r="H234" s="49" t="str">
        <f>IFERROR(IF(IF(B234="","",IF($B234&lt;=AantalBetalingen,1,0)*IF(GeleendBedrag*Rentevoet*Leningjaren*BegindatumLening&gt;0,1,0),-FV(Rentevoet/12,$B234,PMT(Rentevoet/12,AantalBetalingen,GeleendBedrag),GeleendBedrag),""),""),"")</f>
        <v/>
      </c>
    </row>
    <row r="235" ht="22.5" hidden="1" customHeight="1">
      <c r="A235" s="46">
        <f>ROW()-ROW(Lening[[#HEADERS],[BET.NR.]])</f>
        <v>226</v>
      </c>
      <c r="B235" s="50" t="str">
        <f>IFERROR(IF(IF(ROW()-ROW(Lening!$9:$9)&lt;=AantalBetalingen,1,0)*IF(GeleendBedrag*Rentevoet*$D$5*BegindatumLening&gt;0,1,0),ROW()-ROW(Lening!$9:$9),""),"")</f>
        <v/>
      </c>
      <c r="C235" s="48" t="str">
        <f>IFERROR(IF(B235="","",IF(IF(B235&lt;=AantalBetalingen,1,0)*IF(GeleendBedrag*Rentevoet*Leningjaren*BegindatumLening&gt;0,1,0),TEXT(DATE(YEAR(BegindatumLening),MONTH(BegindatumLening)+B235,DAY(BegindatumLening)),"d-m-yyyy"),""),""),"")</f>
        <v/>
      </c>
      <c r="D235" s="49" t="str">
        <f>IFERROR(IF(IF(B235="","",IF($B235&lt;=AantalBetalingen,1,0)*IF(GeleendBedrag*Rentevoet*Leningjaren*BegindatumLening&gt;0,1,0),-FV(Rentevoet/12,ROW()-ROW(Lening[[#HEADERS],[BET.NR.]])-1,PMT(Rentevoet/12,AantalBetalingen,GeleendBedrag),GeleendBedrag),""),""),"")</f>
        <v/>
      </c>
      <c r="E235" s="49" t="str">
        <f>IFERROR(IF(IF(B235="","",IF($B235&lt;=AantalBetalingen,1,0)*IF(GeleendBedrag*Rentevoet*Leningjaren*BegindatumLening&gt;0,1,0),-PMT(Rentevoet/12,AantalBetalingen,GeleendBedrag),""),""),"")</f>
        <v/>
      </c>
      <c r="F235" s="49" t="str">
        <f>IFERROR(IF(IF($B235&lt;=AantalBetalingen,1,0)*IF(GeleendBedrag*Rentevoet*Leningjaren*BegindatumLening&gt;0,1,0),-PPMT(Rentevoet/12,ROW()-ROW(Lening[[#HEADERS],[BET.NR.]]),AantalBetalingen,GeleendBedrag),""),"")</f>
        <v/>
      </c>
      <c r="G235" s="49" t="str">
        <f>IFERROR(IF(IF($B235&lt;=AantalBetalingen,1,0)*IF(GeleendBedrag*Rentevoet*Leningjaren*BegindatumLening&gt;0,1,0),-IPMT(Rentevoet/12,$B235,AantalBetalingen,GeleendBedrag),""),"")</f>
        <v/>
      </c>
      <c r="H235" s="49" t="str">
        <f>IFERROR(IF(IF(B235="","",IF($B235&lt;=AantalBetalingen,1,0)*IF(GeleendBedrag*Rentevoet*Leningjaren*BegindatumLening&gt;0,1,0),-FV(Rentevoet/12,$B235,PMT(Rentevoet/12,AantalBetalingen,GeleendBedrag),GeleendBedrag),""),""),"")</f>
        <v/>
      </c>
    </row>
    <row r="236" ht="22.5" hidden="1" customHeight="1">
      <c r="A236" s="46">
        <f>ROW()-ROW(Lening[[#HEADERS],[BET.NR.]])</f>
        <v>227</v>
      </c>
      <c r="B236" s="50" t="str">
        <f>IFERROR(IF(IF(ROW()-ROW(Lening!$9:$9)&lt;=AantalBetalingen,1,0)*IF(GeleendBedrag*Rentevoet*$D$5*BegindatumLening&gt;0,1,0),ROW()-ROW(Lening!$9:$9),""),"")</f>
        <v/>
      </c>
      <c r="C236" s="48" t="str">
        <f>IFERROR(IF(B236="","",IF(IF(B236&lt;=AantalBetalingen,1,0)*IF(GeleendBedrag*Rentevoet*Leningjaren*BegindatumLening&gt;0,1,0),TEXT(DATE(YEAR(BegindatumLening),MONTH(BegindatumLening)+B236,DAY(BegindatumLening)),"d-m-yyyy"),""),""),"")</f>
        <v/>
      </c>
      <c r="D236" s="49" t="str">
        <f>IFERROR(IF(IF(B236="","",IF($B236&lt;=AantalBetalingen,1,0)*IF(GeleendBedrag*Rentevoet*Leningjaren*BegindatumLening&gt;0,1,0),-FV(Rentevoet/12,ROW()-ROW(Lening[[#HEADERS],[BET.NR.]])-1,PMT(Rentevoet/12,AantalBetalingen,GeleendBedrag),GeleendBedrag),""),""),"")</f>
        <v/>
      </c>
      <c r="E236" s="49" t="str">
        <f>IFERROR(IF(IF(B236="","",IF($B236&lt;=AantalBetalingen,1,0)*IF(GeleendBedrag*Rentevoet*Leningjaren*BegindatumLening&gt;0,1,0),-PMT(Rentevoet/12,AantalBetalingen,GeleendBedrag),""),""),"")</f>
        <v/>
      </c>
      <c r="F236" s="49" t="str">
        <f>IFERROR(IF(IF($B236&lt;=AantalBetalingen,1,0)*IF(GeleendBedrag*Rentevoet*Leningjaren*BegindatumLening&gt;0,1,0),-PPMT(Rentevoet/12,ROW()-ROW(Lening[[#HEADERS],[BET.NR.]]),AantalBetalingen,GeleendBedrag),""),"")</f>
        <v/>
      </c>
      <c r="G236" s="49" t="str">
        <f>IFERROR(IF(IF($B236&lt;=AantalBetalingen,1,0)*IF(GeleendBedrag*Rentevoet*Leningjaren*BegindatumLening&gt;0,1,0),-IPMT(Rentevoet/12,$B236,AantalBetalingen,GeleendBedrag),""),"")</f>
        <v/>
      </c>
      <c r="H236" s="49" t="str">
        <f>IFERROR(IF(IF(B236="","",IF($B236&lt;=AantalBetalingen,1,0)*IF(GeleendBedrag*Rentevoet*Leningjaren*BegindatumLening&gt;0,1,0),-FV(Rentevoet/12,$B236,PMT(Rentevoet/12,AantalBetalingen,GeleendBedrag),GeleendBedrag),""),""),"")</f>
        <v/>
      </c>
    </row>
    <row r="237" ht="22.5" hidden="1" customHeight="1">
      <c r="A237" s="46">
        <f>ROW()-ROW(Lening[[#HEADERS],[BET.NR.]])</f>
        <v>228</v>
      </c>
      <c r="B237" s="50" t="str">
        <f>IFERROR(IF(IF(ROW()-ROW(Lening!$9:$9)&lt;=AantalBetalingen,1,0)*IF(GeleendBedrag*Rentevoet*$D$5*BegindatumLening&gt;0,1,0),ROW()-ROW(Lening!$9:$9),""),"")</f>
        <v/>
      </c>
      <c r="C237" s="48" t="str">
        <f>IFERROR(IF(B237="","",IF(IF(B237&lt;=AantalBetalingen,1,0)*IF(GeleendBedrag*Rentevoet*Leningjaren*BegindatumLening&gt;0,1,0),TEXT(DATE(YEAR(BegindatumLening),MONTH(BegindatumLening)+B237,DAY(BegindatumLening)),"d-m-yyyy"),""),""),"")</f>
        <v/>
      </c>
      <c r="D237" s="49" t="str">
        <f>IFERROR(IF(IF(B237="","",IF($B237&lt;=AantalBetalingen,1,0)*IF(GeleendBedrag*Rentevoet*Leningjaren*BegindatumLening&gt;0,1,0),-FV(Rentevoet/12,ROW()-ROW(Lening[[#HEADERS],[BET.NR.]])-1,PMT(Rentevoet/12,AantalBetalingen,GeleendBedrag),GeleendBedrag),""),""),"")</f>
        <v/>
      </c>
      <c r="E237" s="49" t="str">
        <f>IFERROR(IF(IF(B237="","",IF($B237&lt;=AantalBetalingen,1,0)*IF(GeleendBedrag*Rentevoet*Leningjaren*BegindatumLening&gt;0,1,0),-PMT(Rentevoet/12,AantalBetalingen,GeleendBedrag),""),""),"")</f>
        <v/>
      </c>
      <c r="F237" s="49" t="str">
        <f>IFERROR(IF(IF($B237&lt;=AantalBetalingen,1,0)*IF(GeleendBedrag*Rentevoet*Leningjaren*BegindatumLening&gt;0,1,0),-PPMT(Rentevoet/12,ROW()-ROW(Lening[[#HEADERS],[BET.NR.]]),AantalBetalingen,GeleendBedrag),""),"")</f>
        <v/>
      </c>
      <c r="G237" s="49" t="str">
        <f>IFERROR(IF(IF($B237&lt;=AantalBetalingen,1,0)*IF(GeleendBedrag*Rentevoet*Leningjaren*BegindatumLening&gt;0,1,0),-IPMT(Rentevoet/12,$B237,AantalBetalingen,GeleendBedrag),""),"")</f>
        <v/>
      </c>
      <c r="H237" s="49" t="str">
        <f>IFERROR(IF(IF(B237="","",IF($B237&lt;=AantalBetalingen,1,0)*IF(GeleendBedrag*Rentevoet*Leningjaren*BegindatumLening&gt;0,1,0),-FV(Rentevoet/12,$B237,PMT(Rentevoet/12,AantalBetalingen,GeleendBedrag),GeleendBedrag),""),""),"")</f>
        <v/>
      </c>
    </row>
    <row r="238" ht="22.5" hidden="1" customHeight="1">
      <c r="A238" s="46">
        <f>ROW()-ROW(Lening[[#HEADERS],[BET.NR.]])</f>
        <v>229</v>
      </c>
      <c r="B238" s="50" t="str">
        <f>IFERROR(IF(IF(ROW()-ROW(Lening!$9:$9)&lt;=AantalBetalingen,1,0)*IF(GeleendBedrag*Rentevoet*$D$5*BegindatumLening&gt;0,1,0),ROW()-ROW(Lening!$9:$9),""),"")</f>
        <v/>
      </c>
      <c r="C238" s="48" t="str">
        <f>IFERROR(IF(B238="","",IF(IF(B238&lt;=AantalBetalingen,1,0)*IF(GeleendBedrag*Rentevoet*Leningjaren*BegindatumLening&gt;0,1,0),TEXT(DATE(YEAR(BegindatumLening),MONTH(BegindatumLening)+B238,DAY(BegindatumLening)),"d-m-yyyy"),""),""),"")</f>
        <v/>
      </c>
      <c r="D238" s="49" t="str">
        <f>IFERROR(IF(IF(B238="","",IF($B238&lt;=AantalBetalingen,1,0)*IF(GeleendBedrag*Rentevoet*Leningjaren*BegindatumLening&gt;0,1,0),-FV(Rentevoet/12,ROW()-ROW(Lening[[#HEADERS],[BET.NR.]])-1,PMT(Rentevoet/12,AantalBetalingen,GeleendBedrag),GeleendBedrag),""),""),"")</f>
        <v/>
      </c>
      <c r="E238" s="49" t="str">
        <f>IFERROR(IF(IF(B238="","",IF($B238&lt;=AantalBetalingen,1,0)*IF(GeleendBedrag*Rentevoet*Leningjaren*BegindatumLening&gt;0,1,0),-PMT(Rentevoet/12,AantalBetalingen,GeleendBedrag),""),""),"")</f>
        <v/>
      </c>
      <c r="F238" s="49" t="str">
        <f>IFERROR(IF(IF($B238&lt;=AantalBetalingen,1,0)*IF(GeleendBedrag*Rentevoet*Leningjaren*BegindatumLening&gt;0,1,0),-PPMT(Rentevoet/12,ROW()-ROW(Lening[[#HEADERS],[BET.NR.]]),AantalBetalingen,GeleendBedrag),""),"")</f>
        <v/>
      </c>
      <c r="G238" s="49" t="str">
        <f>IFERROR(IF(IF($B238&lt;=AantalBetalingen,1,0)*IF(GeleendBedrag*Rentevoet*Leningjaren*BegindatumLening&gt;0,1,0),-IPMT(Rentevoet/12,$B238,AantalBetalingen,GeleendBedrag),""),"")</f>
        <v/>
      </c>
      <c r="H238" s="49" t="str">
        <f>IFERROR(IF(IF(B238="","",IF($B238&lt;=AantalBetalingen,1,0)*IF(GeleendBedrag*Rentevoet*Leningjaren*BegindatumLening&gt;0,1,0),-FV(Rentevoet/12,$B238,PMT(Rentevoet/12,AantalBetalingen,GeleendBedrag),GeleendBedrag),""),""),"")</f>
        <v/>
      </c>
    </row>
    <row r="239" ht="22.5" hidden="1" customHeight="1">
      <c r="A239" s="46">
        <f>ROW()-ROW(Lening[[#HEADERS],[BET.NR.]])</f>
        <v>230</v>
      </c>
      <c r="B239" s="50" t="str">
        <f>IFERROR(IF(IF(ROW()-ROW(Lening!$9:$9)&lt;=AantalBetalingen,1,0)*IF(GeleendBedrag*Rentevoet*$D$5*BegindatumLening&gt;0,1,0),ROW()-ROW(Lening!$9:$9),""),"")</f>
        <v/>
      </c>
      <c r="C239" s="48" t="str">
        <f>IFERROR(IF(B239="","",IF(IF(B239&lt;=AantalBetalingen,1,0)*IF(GeleendBedrag*Rentevoet*Leningjaren*BegindatumLening&gt;0,1,0),TEXT(DATE(YEAR(BegindatumLening),MONTH(BegindatumLening)+B239,DAY(BegindatumLening)),"d-m-yyyy"),""),""),"")</f>
        <v/>
      </c>
      <c r="D239" s="49" t="str">
        <f>IFERROR(IF(IF(B239="","",IF($B239&lt;=AantalBetalingen,1,0)*IF(GeleendBedrag*Rentevoet*Leningjaren*BegindatumLening&gt;0,1,0),-FV(Rentevoet/12,ROW()-ROW(Lening[[#HEADERS],[BET.NR.]])-1,PMT(Rentevoet/12,AantalBetalingen,GeleendBedrag),GeleendBedrag),""),""),"")</f>
        <v/>
      </c>
      <c r="E239" s="49" t="str">
        <f>IFERROR(IF(IF(B239="","",IF($B239&lt;=AantalBetalingen,1,0)*IF(GeleendBedrag*Rentevoet*Leningjaren*BegindatumLening&gt;0,1,0),-PMT(Rentevoet/12,AantalBetalingen,GeleendBedrag),""),""),"")</f>
        <v/>
      </c>
      <c r="F239" s="49" t="str">
        <f>IFERROR(IF(IF($B239&lt;=AantalBetalingen,1,0)*IF(GeleendBedrag*Rentevoet*Leningjaren*BegindatumLening&gt;0,1,0),-PPMT(Rentevoet/12,ROW()-ROW(Lening[[#HEADERS],[BET.NR.]]),AantalBetalingen,GeleendBedrag),""),"")</f>
        <v/>
      </c>
      <c r="G239" s="49" t="str">
        <f>IFERROR(IF(IF($B239&lt;=AantalBetalingen,1,0)*IF(GeleendBedrag*Rentevoet*Leningjaren*BegindatumLening&gt;0,1,0),-IPMT(Rentevoet/12,$B239,AantalBetalingen,GeleendBedrag),""),"")</f>
        <v/>
      </c>
      <c r="H239" s="49" t="str">
        <f>IFERROR(IF(IF(B239="","",IF($B239&lt;=AantalBetalingen,1,0)*IF(GeleendBedrag*Rentevoet*Leningjaren*BegindatumLening&gt;0,1,0),-FV(Rentevoet/12,$B239,PMT(Rentevoet/12,AantalBetalingen,GeleendBedrag),GeleendBedrag),""),""),"")</f>
        <v/>
      </c>
    </row>
    <row r="240" ht="22.5" hidden="1" customHeight="1">
      <c r="A240" s="46">
        <f>ROW()-ROW(Lening[[#HEADERS],[BET.NR.]])</f>
        <v>231</v>
      </c>
      <c r="B240" s="50" t="str">
        <f>IFERROR(IF(IF(ROW()-ROW(Lening!$9:$9)&lt;=AantalBetalingen,1,0)*IF(GeleendBedrag*Rentevoet*$D$5*BegindatumLening&gt;0,1,0),ROW()-ROW(Lening!$9:$9),""),"")</f>
        <v/>
      </c>
      <c r="C240" s="48" t="str">
        <f>IFERROR(IF(B240="","",IF(IF(B240&lt;=AantalBetalingen,1,0)*IF(GeleendBedrag*Rentevoet*Leningjaren*BegindatumLening&gt;0,1,0),TEXT(DATE(YEAR(BegindatumLening),MONTH(BegindatumLening)+B240,DAY(BegindatumLening)),"d-m-yyyy"),""),""),"")</f>
        <v/>
      </c>
      <c r="D240" s="49" t="str">
        <f>IFERROR(IF(IF(B240="","",IF($B240&lt;=AantalBetalingen,1,0)*IF(GeleendBedrag*Rentevoet*Leningjaren*BegindatumLening&gt;0,1,0),-FV(Rentevoet/12,ROW()-ROW(Lening[[#HEADERS],[BET.NR.]])-1,PMT(Rentevoet/12,AantalBetalingen,GeleendBedrag),GeleendBedrag),""),""),"")</f>
        <v/>
      </c>
      <c r="E240" s="49" t="str">
        <f>IFERROR(IF(IF(B240="","",IF($B240&lt;=AantalBetalingen,1,0)*IF(GeleendBedrag*Rentevoet*Leningjaren*BegindatumLening&gt;0,1,0),-PMT(Rentevoet/12,AantalBetalingen,GeleendBedrag),""),""),"")</f>
        <v/>
      </c>
      <c r="F240" s="49" t="str">
        <f>IFERROR(IF(IF($B240&lt;=AantalBetalingen,1,0)*IF(GeleendBedrag*Rentevoet*Leningjaren*BegindatumLening&gt;0,1,0),-PPMT(Rentevoet/12,ROW()-ROW(Lening[[#HEADERS],[BET.NR.]]),AantalBetalingen,GeleendBedrag),""),"")</f>
        <v/>
      </c>
      <c r="G240" s="49" t="str">
        <f>IFERROR(IF(IF($B240&lt;=AantalBetalingen,1,0)*IF(GeleendBedrag*Rentevoet*Leningjaren*BegindatumLening&gt;0,1,0),-IPMT(Rentevoet/12,$B240,AantalBetalingen,GeleendBedrag),""),"")</f>
        <v/>
      </c>
      <c r="H240" s="49" t="str">
        <f>IFERROR(IF(IF(B240="","",IF($B240&lt;=AantalBetalingen,1,0)*IF(GeleendBedrag*Rentevoet*Leningjaren*BegindatumLening&gt;0,1,0),-FV(Rentevoet/12,$B240,PMT(Rentevoet/12,AantalBetalingen,GeleendBedrag),GeleendBedrag),""),""),"")</f>
        <v/>
      </c>
    </row>
    <row r="241" ht="22.5" hidden="1" customHeight="1">
      <c r="A241" s="46">
        <f>ROW()-ROW(Lening[[#HEADERS],[BET.NR.]])</f>
        <v>232</v>
      </c>
      <c r="B241" s="50" t="str">
        <f>IFERROR(IF(IF(ROW()-ROW(Lening!$9:$9)&lt;=AantalBetalingen,1,0)*IF(GeleendBedrag*Rentevoet*$D$5*BegindatumLening&gt;0,1,0),ROW()-ROW(Lening!$9:$9),""),"")</f>
        <v/>
      </c>
      <c r="C241" s="48" t="str">
        <f>IFERROR(IF(B241="","",IF(IF(B241&lt;=AantalBetalingen,1,0)*IF(GeleendBedrag*Rentevoet*Leningjaren*BegindatumLening&gt;0,1,0),TEXT(DATE(YEAR(BegindatumLening),MONTH(BegindatumLening)+B241,DAY(BegindatumLening)),"d-m-yyyy"),""),""),"")</f>
        <v/>
      </c>
      <c r="D241" s="49" t="str">
        <f>IFERROR(IF(IF(B241="","",IF($B241&lt;=AantalBetalingen,1,0)*IF(GeleendBedrag*Rentevoet*Leningjaren*BegindatumLening&gt;0,1,0),-FV(Rentevoet/12,ROW()-ROW(Lening[[#HEADERS],[BET.NR.]])-1,PMT(Rentevoet/12,AantalBetalingen,GeleendBedrag),GeleendBedrag),""),""),"")</f>
        <v/>
      </c>
      <c r="E241" s="49" t="str">
        <f>IFERROR(IF(IF(B241="","",IF($B241&lt;=AantalBetalingen,1,0)*IF(GeleendBedrag*Rentevoet*Leningjaren*BegindatumLening&gt;0,1,0),-PMT(Rentevoet/12,AantalBetalingen,GeleendBedrag),""),""),"")</f>
        <v/>
      </c>
      <c r="F241" s="49" t="str">
        <f>IFERROR(IF(IF($B241&lt;=AantalBetalingen,1,0)*IF(GeleendBedrag*Rentevoet*Leningjaren*BegindatumLening&gt;0,1,0),-PPMT(Rentevoet/12,ROW()-ROW(Lening[[#HEADERS],[BET.NR.]]),AantalBetalingen,GeleendBedrag),""),"")</f>
        <v/>
      </c>
      <c r="G241" s="49" t="str">
        <f>IFERROR(IF(IF($B241&lt;=AantalBetalingen,1,0)*IF(GeleendBedrag*Rentevoet*Leningjaren*BegindatumLening&gt;0,1,0),-IPMT(Rentevoet/12,$B241,AantalBetalingen,GeleendBedrag),""),"")</f>
        <v/>
      </c>
      <c r="H241" s="49" t="str">
        <f>IFERROR(IF(IF(B241="","",IF($B241&lt;=AantalBetalingen,1,0)*IF(GeleendBedrag*Rentevoet*Leningjaren*BegindatumLening&gt;0,1,0),-FV(Rentevoet/12,$B241,PMT(Rentevoet/12,AantalBetalingen,GeleendBedrag),GeleendBedrag),""),""),"")</f>
        <v/>
      </c>
    </row>
    <row r="242" ht="22.5" hidden="1" customHeight="1">
      <c r="A242" s="46">
        <f>ROW()-ROW(Lening[[#HEADERS],[BET.NR.]])</f>
        <v>233</v>
      </c>
      <c r="B242" s="50" t="str">
        <f>IFERROR(IF(IF(ROW()-ROW(Lening!$9:$9)&lt;=AantalBetalingen,1,0)*IF(GeleendBedrag*Rentevoet*$D$5*BegindatumLening&gt;0,1,0),ROW()-ROW(Lening!$9:$9),""),"")</f>
        <v/>
      </c>
      <c r="C242" s="48" t="str">
        <f>IFERROR(IF(B242="","",IF(IF(B242&lt;=AantalBetalingen,1,0)*IF(GeleendBedrag*Rentevoet*Leningjaren*BegindatumLening&gt;0,1,0),TEXT(DATE(YEAR(BegindatumLening),MONTH(BegindatumLening)+B242,DAY(BegindatumLening)),"d-m-yyyy"),""),""),"")</f>
        <v/>
      </c>
      <c r="D242" s="49" t="str">
        <f>IFERROR(IF(IF(B242="","",IF($B242&lt;=AantalBetalingen,1,0)*IF(GeleendBedrag*Rentevoet*Leningjaren*BegindatumLening&gt;0,1,0),-FV(Rentevoet/12,ROW()-ROW(Lening[[#HEADERS],[BET.NR.]])-1,PMT(Rentevoet/12,AantalBetalingen,GeleendBedrag),GeleendBedrag),""),""),"")</f>
        <v/>
      </c>
      <c r="E242" s="49" t="str">
        <f>IFERROR(IF(IF(B242="","",IF($B242&lt;=AantalBetalingen,1,0)*IF(GeleendBedrag*Rentevoet*Leningjaren*BegindatumLening&gt;0,1,0),-PMT(Rentevoet/12,AantalBetalingen,GeleendBedrag),""),""),"")</f>
        <v/>
      </c>
      <c r="F242" s="49" t="str">
        <f>IFERROR(IF(IF($B242&lt;=AantalBetalingen,1,0)*IF(GeleendBedrag*Rentevoet*Leningjaren*BegindatumLening&gt;0,1,0),-PPMT(Rentevoet/12,ROW()-ROW(Lening[[#HEADERS],[BET.NR.]]),AantalBetalingen,GeleendBedrag),""),"")</f>
        <v/>
      </c>
      <c r="G242" s="49" t="str">
        <f>IFERROR(IF(IF($B242&lt;=AantalBetalingen,1,0)*IF(GeleendBedrag*Rentevoet*Leningjaren*BegindatumLening&gt;0,1,0),-IPMT(Rentevoet/12,$B242,AantalBetalingen,GeleendBedrag),""),"")</f>
        <v/>
      </c>
      <c r="H242" s="49" t="str">
        <f>IFERROR(IF(IF(B242="","",IF($B242&lt;=AantalBetalingen,1,0)*IF(GeleendBedrag*Rentevoet*Leningjaren*BegindatumLening&gt;0,1,0),-FV(Rentevoet/12,$B242,PMT(Rentevoet/12,AantalBetalingen,GeleendBedrag),GeleendBedrag),""),""),"")</f>
        <v/>
      </c>
    </row>
    <row r="243" ht="22.5" hidden="1" customHeight="1">
      <c r="A243" s="46">
        <f>ROW()-ROW(Lening[[#HEADERS],[BET.NR.]])</f>
        <v>234</v>
      </c>
      <c r="B243" s="50" t="str">
        <f>IFERROR(IF(IF(ROW()-ROW(Lening!$9:$9)&lt;=AantalBetalingen,1,0)*IF(GeleendBedrag*Rentevoet*$D$5*BegindatumLening&gt;0,1,0),ROW()-ROW(Lening!$9:$9),""),"")</f>
        <v/>
      </c>
      <c r="C243" s="48" t="str">
        <f>IFERROR(IF(B243="","",IF(IF(B243&lt;=AantalBetalingen,1,0)*IF(GeleendBedrag*Rentevoet*Leningjaren*BegindatumLening&gt;0,1,0),TEXT(DATE(YEAR(BegindatumLening),MONTH(BegindatumLening)+B243,DAY(BegindatumLening)),"d-m-yyyy"),""),""),"")</f>
        <v/>
      </c>
      <c r="D243" s="49" t="str">
        <f>IFERROR(IF(IF(B243="","",IF($B243&lt;=AantalBetalingen,1,0)*IF(GeleendBedrag*Rentevoet*Leningjaren*BegindatumLening&gt;0,1,0),-FV(Rentevoet/12,ROW()-ROW(Lening[[#HEADERS],[BET.NR.]])-1,PMT(Rentevoet/12,AantalBetalingen,GeleendBedrag),GeleendBedrag),""),""),"")</f>
        <v/>
      </c>
      <c r="E243" s="49" t="str">
        <f>IFERROR(IF(IF(B243="","",IF($B243&lt;=AantalBetalingen,1,0)*IF(GeleendBedrag*Rentevoet*Leningjaren*BegindatumLening&gt;0,1,0),-PMT(Rentevoet/12,AantalBetalingen,GeleendBedrag),""),""),"")</f>
        <v/>
      </c>
      <c r="F243" s="49" t="str">
        <f>IFERROR(IF(IF($B243&lt;=AantalBetalingen,1,0)*IF(GeleendBedrag*Rentevoet*Leningjaren*BegindatumLening&gt;0,1,0),-PPMT(Rentevoet/12,ROW()-ROW(Lening[[#HEADERS],[BET.NR.]]),AantalBetalingen,GeleendBedrag),""),"")</f>
        <v/>
      </c>
      <c r="G243" s="49" t="str">
        <f>IFERROR(IF(IF($B243&lt;=AantalBetalingen,1,0)*IF(GeleendBedrag*Rentevoet*Leningjaren*BegindatumLening&gt;0,1,0),-IPMT(Rentevoet/12,$B243,AantalBetalingen,GeleendBedrag),""),"")</f>
        <v/>
      </c>
      <c r="H243" s="49" t="str">
        <f>IFERROR(IF(IF(B243="","",IF($B243&lt;=AantalBetalingen,1,0)*IF(GeleendBedrag*Rentevoet*Leningjaren*BegindatumLening&gt;0,1,0),-FV(Rentevoet/12,$B243,PMT(Rentevoet/12,AantalBetalingen,GeleendBedrag),GeleendBedrag),""),""),"")</f>
        <v/>
      </c>
    </row>
    <row r="244" ht="22.5" hidden="1" customHeight="1">
      <c r="A244" s="46">
        <f>ROW()-ROW(Lening[[#HEADERS],[BET.NR.]])</f>
        <v>235</v>
      </c>
      <c r="B244" s="50" t="str">
        <f>IFERROR(IF(IF(ROW()-ROW(Lening!$9:$9)&lt;=AantalBetalingen,1,0)*IF(GeleendBedrag*Rentevoet*$D$5*BegindatumLening&gt;0,1,0),ROW()-ROW(Lening!$9:$9),""),"")</f>
        <v/>
      </c>
      <c r="C244" s="48" t="str">
        <f>IFERROR(IF(B244="","",IF(IF(B244&lt;=AantalBetalingen,1,0)*IF(GeleendBedrag*Rentevoet*Leningjaren*BegindatumLening&gt;0,1,0),TEXT(DATE(YEAR(BegindatumLening),MONTH(BegindatumLening)+B244,DAY(BegindatumLening)),"d-m-yyyy"),""),""),"")</f>
        <v/>
      </c>
      <c r="D244" s="49" t="str">
        <f>IFERROR(IF(IF(B244="","",IF($B244&lt;=AantalBetalingen,1,0)*IF(GeleendBedrag*Rentevoet*Leningjaren*BegindatumLening&gt;0,1,0),-FV(Rentevoet/12,ROW()-ROW(Lening[[#HEADERS],[BET.NR.]])-1,PMT(Rentevoet/12,AantalBetalingen,GeleendBedrag),GeleendBedrag),""),""),"")</f>
        <v/>
      </c>
      <c r="E244" s="49" t="str">
        <f>IFERROR(IF(IF(B244="","",IF($B244&lt;=AantalBetalingen,1,0)*IF(GeleendBedrag*Rentevoet*Leningjaren*BegindatumLening&gt;0,1,0),-PMT(Rentevoet/12,AantalBetalingen,GeleendBedrag),""),""),"")</f>
        <v/>
      </c>
      <c r="F244" s="49" t="str">
        <f>IFERROR(IF(IF($B244&lt;=AantalBetalingen,1,0)*IF(GeleendBedrag*Rentevoet*Leningjaren*BegindatumLening&gt;0,1,0),-PPMT(Rentevoet/12,ROW()-ROW(Lening[[#HEADERS],[BET.NR.]]),AantalBetalingen,GeleendBedrag),""),"")</f>
        <v/>
      </c>
      <c r="G244" s="49" t="str">
        <f>IFERROR(IF(IF($B244&lt;=AantalBetalingen,1,0)*IF(GeleendBedrag*Rentevoet*Leningjaren*BegindatumLening&gt;0,1,0),-IPMT(Rentevoet/12,$B244,AantalBetalingen,GeleendBedrag),""),"")</f>
        <v/>
      </c>
      <c r="H244" s="49" t="str">
        <f>IFERROR(IF(IF(B244="","",IF($B244&lt;=AantalBetalingen,1,0)*IF(GeleendBedrag*Rentevoet*Leningjaren*BegindatumLening&gt;0,1,0),-FV(Rentevoet/12,$B244,PMT(Rentevoet/12,AantalBetalingen,GeleendBedrag),GeleendBedrag),""),""),"")</f>
        <v/>
      </c>
    </row>
    <row r="245" ht="22.5" hidden="1" customHeight="1">
      <c r="A245" s="46">
        <f>ROW()-ROW(Lening[[#HEADERS],[BET.NR.]])</f>
        <v>236</v>
      </c>
      <c r="B245" s="50" t="str">
        <f>IFERROR(IF(IF(ROW()-ROW(Lening!$9:$9)&lt;=AantalBetalingen,1,0)*IF(GeleendBedrag*Rentevoet*$D$5*BegindatumLening&gt;0,1,0),ROW()-ROW(Lening!$9:$9),""),"")</f>
        <v/>
      </c>
      <c r="C245" s="48" t="str">
        <f>IFERROR(IF(B245="","",IF(IF(B245&lt;=AantalBetalingen,1,0)*IF(GeleendBedrag*Rentevoet*Leningjaren*BegindatumLening&gt;0,1,0),TEXT(DATE(YEAR(BegindatumLening),MONTH(BegindatumLening)+B245,DAY(BegindatumLening)),"d-m-yyyy"),""),""),"")</f>
        <v/>
      </c>
      <c r="D245" s="49" t="str">
        <f>IFERROR(IF(IF(B245="","",IF($B245&lt;=AantalBetalingen,1,0)*IF(GeleendBedrag*Rentevoet*Leningjaren*BegindatumLening&gt;0,1,0),-FV(Rentevoet/12,ROW()-ROW(Lening[[#HEADERS],[BET.NR.]])-1,PMT(Rentevoet/12,AantalBetalingen,GeleendBedrag),GeleendBedrag),""),""),"")</f>
        <v/>
      </c>
      <c r="E245" s="49" t="str">
        <f>IFERROR(IF(IF(B245="","",IF($B245&lt;=AantalBetalingen,1,0)*IF(GeleendBedrag*Rentevoet*Leningjaren*BegindatumLening&gt;0,1,0),-PMT(Rentevoet/12,AantalBetalingen,GeleendBedrag),""),""),"")</f>
        <v/>
      </c>
      <c r="F245" s="49" t="str">
        <f>IFERROR(IF(IF($B245&lt;=AantalBetalingen,1,0)*IF(GeleendBedrag*Rentevoet*Leningjaren*BegindatumLening&gt;0,1,0),-PPMT(Rentevoet/12,ROW()-ROW(Lening[[#HEADERS],[BET.NR.]]),AantalBetalingen,GeleendBedrag),""),"")</f>
        <v/>
      </c>
      <c r="G245" s="49" t="str">
        <f>IFERROR(IF(IF($B245&lt;=AantalBetalingen,1,0)*IF(GeleendBedrag*Rentevoet*Leningjaren*BegindatumLening&gt;0,1,0),-IPMT(Rentevoet/12,$B245,AantalBetalingen,GeleendBedrag),""),"")</f>
        <v/>
      </c>
      <c r="H245" s="49" t="str">
        <f>IFERROR(IF(IF(B245="","",IF($B245&lt;=AantalBetalingen,1,0)*IF(GeleendBedrag*Rentevoet*Leningjaren*BegindatumLening&gt;0,1,0),-FV(Rentevoet/12,$B245,PMT(Rentevoet/12,AantalBetalingen,GeleendBedrag),GeleendBedrag),""),""),"")</f>
        <v/>
      </c>
    </row>
    <row r="246" ht="22.5" hidden="1" customHeight="1">
      <c r="A246" s="46">
        <f>ROW()-ROW(Lening[[#HEADERS],[BET.NR.]])</f>
        <v>237</v>
      </c>
      <c r="B246" s="50" t="str">
        <f>IFERROR(IF(IF(ROW()-ROW(Lening!$9:$9)&lt;=AantalBetalingen,1,0)*IF(GeleendBedrag*Rentevoet*$D$5*BegindatumLening&gt;0,1,0),ROW()-ROW(Lening!$9:$9),""),"")</f>
        <v/>
      </c>
      <c r="C246" s="48" t="str">
        <f>IFERROR(IF(B246="","",IF(IF(B246&lt;=AantalBetalingen,1,0)*IF(GeleendBedrag*Rentevoet*Leningjaren*BegindatumLening&gt;0,1,0),TEXT(DATE(YEAR(BegindatumLening),MONTH(BegindatumLening)+B246,DAY(BegindatumLening)),"d-m-yyyy"),""),""),"")</f>
        <v/>
      </c>
      <c r="D246" s="49" t="str">
        <f>IFERROR(IF(IF(B246="","",IF($B246&lt;=AantalBetalingen,1,0)*IF(GeleendBedrag*Rentevoet*Leningjaren*BegindatumLening&gt;0,1,0),-FV(Rentevoet/12,ROW()-ROW(Lening[[#HEADERS],[BET.NR.]])-1,PMT(Rentevoet/12,AantalBetalingen,GeleendBedrag),GeleendBedrag),""),""),"")</f>
        <v/>
      </c>
      <c r="E246" s="49" t="str">
        <f>IFERROR(IF(IF(B246="","",IF($B246&lt;=AantalBetalingen,1,0)*IF(GeleendBedrag*Rentevoet*Leningjaren*BegindatumLening&gt;0,1,0),-PMT(Rentevoet/12,AantalBetalingen,GeleendBedrag),""),""),"")</f>
        <v/>
      </c>
      <c r="F246" s="49" t="str">
        <f>IFERROR(IF(IF($B246&lt;=AantalBetalingen,1,0)*IF(GeleendBedrag*Rentevoet*Leningjaren*BegindatumLening&gt;0,1,0),-PPMT(Rentevoet/12,ROW()-ROW(Lening[[#HEADERS],[BET.NR.]]),AantalBetalingen,GeleendBedrag),""),"")</f>
        <v/>
      </c>
      <c r="G246" s="49" t="str">
        <f>IFERROR(IF(IF($B246&lt;=AantalBetalingen,1,0)*IF(GeleendBedrag*Rentevoet*Leningjaren*BegindatumLening&gt;0,1,0),-IPMT(Rentevoet/12,$B246,AantalBetalingen,GeleendBedrag),""),"")</f>
        <v/>
      </c>
      <c r="H246" s="49" t="str">
        <f>IFERROR(IF(IF(B246="","",IF($B246&lt;=AantalBetalingen,1,0)*IF(GeleendBedrag*Rentevoet*Leningjaren*BegindatumLening&gt;0,1,0),-FV(Rentevoet/12,$B246,PMT(Rentevoet/12,AantalBetalingen,GeleendBedrag),GeleendBedrag),""),""),"")</f>
        <v/>
      </c>
    </row>
    <row r="247" ht="22.5" hidden="1" customHeight="1">
      <c r="A247" s="46">
        <f>ROW()-ROW(Lening[[#HEADERS],[BET.NR.]])</f>
        <v>238</v>
      </c>
      <c r="B247" s="50" t="str">
        <f>IFERROR(IF(IF(ROW()-ROW(Lening!$9:$9)&lt;=AantalBetalingen,1,0)*IF(GeleendBedrag*Rentevoet*$D$5*BegindatumLening&gt;0,1,0),ROW()-ROW(Lening!$9:$9),""),"")</f>
        <v/>
      </c>
      <c r="C247" s="48" t="str">
        <f>IFERROR(IF(B247="","",IF(IF(B247&lt;=AantalBetalingen,1,0)*IF(GeleendBedrag*Rentevoet*Leningjaren*BegindatumLening&gt;0,1,0),TEXT(DATE(YEAR(BegindatumLening),MONTH(BegindatumLening)+B247,DAY(BegindatumLening)),"d-m-yyyy"),""),""),"")</f>
        <v/>
      </c>
      <c r="D247" s="49" t="str">
        <f>IFERROR(IF(IF(B247="","",IF($B247&lt;=AantalBetalingen,1,0)*IF(GeleendBedrag*Rentevoet*Leningjaren*BegindatumLening&gt;0,1,0),-FV(Rentevoet/12,ROW()-ROW(Lening[[#HEADERS],[BET.NR.]])-1,PMT(Rentevoet/12,AantalBetalingen,GeleendBedrag),GeleendBedrag),""),""),"")</f>
        <v/>
      </c>
      <c r="E247" s="49" t="str">
        <f>IFERROR(IF(IF(B247="","",IF($B247&lt;=AantalBetalingen,1,0)*IF(GeleendBedrag*Rentevoet*Leningjaren*BegindatumLening&gt;0,1,0),-PMT(Rentevoet/12,AantalBetalingen,GeleendBedrag),""),""),"")</f>
        <v/>
      </c>
      <c r="F247" s="49" t="str">
        <f>IFERROR(IF(IF($B247&lt;=AantalBetalingen,1,0)*IF(GeleendBedrag*Rentevoet*Leningjaren*BegindatumLening&gt;0,1,0),-PPMT(Rentevoet/12,ROW()-ROW(Lening[[#HEADERS],[BET.NR.]]),AantalBetalingen,GeleendBedrag),""),"")</f>
        <v/>
      </c>
      <c r="G247" s="49" t="str">
        <f>IFERROR(IF(IF($B247&lt;=AantalBetalingen,1,0)*IF(GeleendBedrag*Rentevoet*Leningjaren*BegindatumLening&gt;0,1,0),-IPMT(Rentevoet/12,$B247,AantalBetalingen,GeleendBedrag),""),"")</f>
        <v/>
      </c>
      <c r="H247" s="49" t="str">
        <f>IFERROR(IF(IF(B247="","",IF($B247&lt;=AantalBetalingen,1,0)*IF(GeleendBedrag*Rentevoet*Leningjaren*BegindatumLening&gt;0,1,0),-FV(Rentevoet/12,$B247,PMT(Rentevoet/12,AantalBetalingen,GeleendBedrag),GeleendBedrag),""),""),"")</f>
        <v/>
      </c>
    </row>
    <row r="248" ht="22.5" hidden="1" customHeight="1">
      <c r="A248" s="46">
        <f>ROW()-ROW(Lening[[#HEADERS],[BET.NR.]])</f>
        <v>239</v>
      </c>
      <c r="B248" s="50" t="str">
        <f>IFERROR(IF(IF(ROW()-ROW(Lening!$9:$9)&lt;=AantalBetalingen,1,0)*IF(GeleendBedrag*Rentevoet*$D$5*BegindatumLening&gt;0,1,0),ROW()-ROW(Lening!$9:$9),""),"")</f>
        <v/>
      </c>
      <c r="C248" s="48" t="str">
        <f>IFERROR(IF(B248="","",IF(IF(B248&lt;=AantalBetalingen,1,0)*IF(GeleendBedrag*Rentevoet*Leningjaren*BegindatumLening&gt;0,1,0),TEXT(DATE(YEAR(BegindatumLening),MONTH(BegindatumLening)+B248,DAY(BegindatumLening)),"d-m-yyyy"),""),""),"")</f>
        <v/>
      </c>
      <c r="D248" s="49" t="str">
        <f>IFERROR(IF(IF(B248="","",IF($B248&lt;=AantalBetalingen,1,0)*IF(GeleendBedrag*Rentevoet*Leningjaren*BegindatumLening&gt;0,1,0),-FV(Rentevoet/12,ROW()-ROW(Lening[[#HEADERS],[BET.NR.]])-1,PMT(Rentevoet/12,AantalBetalingen,GeleendBedrag),GeleendBedrag),""),""),"")</f>
        <v/>
      </c>
      <c r="E248" s="49" t="str">
        <f>IFERROR(IF(IF(B248="","",IF($B248&lt;=AantalBetalingen,1,0)*IF(GeleendBedrag*Rentevoet*Leningjaren*BegindatumLening&gt;0,1,0),-PMT(Rentevoet/12,AantalBetalingen,GeleendBedrag),""),""),"")</f>
        <v/>
      </c>
      <c r="F248" s="49" t="str">
        <f>IFERROR(IF(IF($B248&lt;=AantalBetalingen,1,0)*IF(GeleendBedrag*Rentevoet*Leningjaren*BegindatumLening&gt;0,1,0),-PPMT(Rentevoet/12,ROW()-ROW(Lening[[#HEADERS],[BET.NR.]]),AantalBetalingen,GeleendBedrag),""),"")</f>
        <v/>
      </c>
      <c r="G248" s="49" t="str">
        <f>IFERROR(IF(IF($B248&lt;=AantalBetalingen,1,0)*IF(GeleendBedrag*Rentevoet*Leningjaren*BegindatumLening&gt;0,1,0),-IPMT(Rentevoet/12,$B248,AantalBetalingen,GeleendBedrag),""),"")</f>
        <v/>
      </c>
      <c r="H248" s="49" t="str">
        <f>IFERROR(IF(IF(B248="","",IF($B248&lt;=AantalBetalingen,1,0)*IF(GeleendBedrag*Rentevoet*Leningjaren*BegindatumLening&gt;0,1,0),-FV(Rentevoet/12,$B248,PMT(Rentevoet/12,AantalBetalingen,GeleendBedrag),GeleendBedrag),""),""),"")</f>
        <v/>
      </c>
    </row>
    <row r="249" ht="22.5" hidden="1" customHeight="1">
      <c r="A249" s="46">
        <f>ROW()-ROW(Lening[[#HEADERS],[BET.NR.]])</f>
        <v>240</v>
      </c>
      <c r="B249" s="50" t="str">
        <f>IFERROR(IF(IF(ROW()-ROW(Lening!$9:$9)&lt;=AantalBetalingen,1,0)*IF(GeleendBedrag*Rentevoet*$D$5*BegindatumLening&gt;0,1,0),ROW()-ROW(Lening!$9:$9),""),"")</f>
        <v/>
      </c>
      <c r="C249" s="48" t="str">
        <f>IFERROR(IF(B249="","",IF(IF(B249&lt;=AantalBetalingen,1,0)*IF(GeleendBedrag*Rentevoet*Leningjaren*BegindatumLening&gt;0,1,0),TEXT(DATE(YEAR(BegindatumLening),MONTH(BegindatumLening)+B249,DAY(BegindatumLening)),"d-m-yyyy"),""),""),"")</f>
        <v/>
      </c>
      <c r="D249" s="49" t="str">
        <f>IFERROR(IF(IF(B249="","",IF($B249&lt;=AantalBetalingen,1,0)*IF(GeleendBedrag*Rentevoet*Leningjaren*BegindatumLening&gt;0,1,0),-FV(Rentevoet/12,ROW()-ROW(Lening[[#HEADERS],[BET.NR.]])-1,PMT(Rentevoet/12,AantalBetalingen,GeleendBedrag),GeleendBedrag),""),""),"")</f>
        <v/>
      </c>
      <c r="E249" s="49" t="str">
        <f>IFERROR(IF(IF(B249="","",IF($B249&lt;=AantalBetalingen,1,0)*IF(GeleendBedrag*Rentevoet*Leningjaren*BegindatumLening&gt;0,1,0),-PMT(Rentevoet/12,AantalBetalingen,GeleendBedrag),""),""),"")</f>
        <v/>
      </c>
      <c r="F249" s="49" t="str">
        <f>IFERROR(IF(IF($B249&lt;=AantalBetalingen,1,0)*IF(GeleendBedrag*Rentevoet*Leningjaren*BegindatumLening&gt;0,1,0),-PPMT(Rentevoet/12,ROW()-ROW(Lening[[#HEADERS],[BET.NR.]]),AantalBetalingen,GeleendBedrag),""),"")</f>
        <v/>
      </c>
      <c r="G249" s="49" t="str">
        <f>IFERROR(IF(IF($B249&lt;=AantalBetalingen,1,0)*IF(GeleendBedrag*Rentevoet*Leningjaren*BegindatumLening&gt;0,1,0),-IPMT(Rentevoet/12,$B249,AantalBetalingen,GeleendBedrag),""),"")</f>
        <v/>
      </c>
      <c r="H249" s="49" t="str">
        <f>IFERROR(IF(IF(B249="","",IF($B249&lt;=AantalBetalingen,1,0)*IF(GeleendBedrag*Rentevoet*Leningjaren*BegindatumLening&gt;0,1,0),-FV(Rentevoet/12,$B249,PMT(Rentevoet/12,AantalBetalingen,GeleendBedrag),GeleendBedrag),""),""),"")</f>
        <v/>
      </c>
    </row>
    <row r="250" ht="22.5" hidden="1" customHeight="1">
      <c r="A250" s="46">
        <f>ROW()-ROW(Lening[[#HEADERS],[BET.NR.]])</f>
        <v>241</v>
      </c>
      <c r="B250" s="50" t="str">
        <f>IFERROR(IF(IF(ROW()-ROW(Lening!$9:$9)&lt;=AantalBetalingen,1,0)*IF(GeleendBedrag*Rentevoet*$D$5*BegindatumLening&gt;0,1,0),ROW()-ROW(Lening!$9:$9),""),"")</f>
        <v/>
      </c>
      <c r="C250" s="48" t="str">
        <f>IFERROR(IF(B250="","",IF(IF(B250&lt;=AantalBetalingen,1,0)*IF(GeleendBedrag*Rentevoet*Leningjaren*BegindatumLening&gt;0,1,0),TEXT(DATE(YEAR(BegindatumLening),MONTH(BegindatumLening)+B250,DAY(BegindatumLening)),"d-m-yyyy"),""),""),"")</f>
        <v/>
      </c>
      <c r="D250" s="49" t="str">
        <f>IFERROR(IF(IF(B250="","",IF($B250&lt;=AantalBetalingen,1,0)*IF(GeleendBedrag*Rentevoet*Leningjaren*BegindatumLening&gt;0,1,0),-FV(Rentevoet/12,ROW()-ROW(Lening[[#HEADERS],[BET.NR.]])-1,PMT(Rentevoet/12,AantalBetalingen,GeleendBedrag),GeleendBedrag),""),""),"")</f>
        <v/>
      </c>
      <c r="E250" s="49" t="str">
        <f>IFERROR(IF(IF(B250="","",IF($B250&lt;=AantalBetalingen,1,0)*IF(GeleendBedrag*Rentevoet*Leningjaren*BegindatumLening&gt;0,1,0),-PMT(Rentevoet/12,AantalBetalingen,GeleendBedrag),""),""),"")</f>
        <v/>
      </c>
      <c r="F250" s="49" t="str">
        <f>IFERROR(IF(IF($B250&lt;=AantalBetalingen,1,0)*IF(GeleendBedrag*Rentevoet*Leningjaren*BegindatumLening&gt;0,1,0),-PPMT(Rentevoet/12,ROW()-ROW(Lening[[#HEADERS],[BET.NR.]]),AantalBetalingen,GeleendBedrag),""),"")</f>
        <v/>
      </c>
      <c r="G250" s="49" t="str">
        <f>IFERROR(IF(IF($B250&lt;=AantalBetalingen,1,0)*IF(GeleendBedrag*Rentevoet*Leningjaren*BegindatumLening&gt;0,1,0),-IPMT(Rentevoet/12,$B250,AantalBetalingen,GeleendBedrag),""),"")</f>
        <v/>
      </c>
      <c r="H250" s="49" t="str">
        <f>IFERROR(IF(IF(B250="","",IF($B250&lt;=AantalBetalingen,1,0)*IF(GeleendBedrag*Rentevoet*Leningjaren*BegindatumLening&gt;0,1,0),-FV(Rentevoet/12,$B250,PMT(Rentevoet/12,AantalBetalingen,GeleendBedrag),GeleendBedrag),""),""),"")</f>
        <v/>
      </c>
    </row>
    <row r="251" ht="22.5" hidden="1" customHeight="1">
      <c r="A251" s="46">
        <f>ROW()-ROW(Lening[[#HEADERS],[BET.NR.]])</f>
        <v>242</v>
      </c>
      <c r="B251" s="50" t="str">
        <f>IFERROR(IF(IF(ROW()-ROW(Lening!$9:$9)&lt;=AantalBetalingen,1,0)*IF(GeleendBedrag*Rentevoet*$D$5*BegindatumLening&gt;0,1,0),ROW()-ROW(Lening!$9:$9),""),"")</f>
        <v/>
      </c>
      <c r="C251" s="48" t="str">
        <f>IFERROR(IF(B251="","",IF(IF(B251&lt;=AantalBetalingen,1,0)*IF(GeleendBedrag*Rentevoet*Leningjaren*BegindatumLening&gt;0,1,0),TEXT(DATE(YEAR(BegindatumLening),MONTH(BegindatumLening)+B251,DAY(BegindatumLening)),"d-m-yyyy"),""),""),"")</f>
        <v/>
      </c>
      <c r="D251" s="49" t="str">
        <f>IFERROR(IF(IF(B251="","",IF($B251&lt;=AantalBetalingen,1,0)*IF(GeleendBedrag*Rentevoet*Leningjaren*BegindatumLening&gt;0,1,0),-FV(Rentevoet/12,ROW()-ROW(Lening[[#HEADERS],[BET.NR.]])-1,PMT(Rentevoet/12,AantalBetalingen,GeleendBedrag),GeleendBedrag),""),""),"")</f>
        <v/>
      </c>
      <c r="E251" s="49" t="str">
        <f>IFERROR(IF(IF(B251="","",IF($B251&lt;=AantalBetalingen,1,0)*IF(GeleendBedrag*Rentevoet*Leningjaren*BegindatumLening&gt;0,1,0),-PMT(Rentevoet/12,AantalBetalingen,GeleendBedrag),""),""),"")</f>
        <v/>
      </c>
      <c r="F251" s="49" t="str">
        <f>IFERROR(IF(IF($B251&lt;=AantalBetalingen,1,0)*IF(GeleendBedrag*Rentevoet*Leningjaren*BegindatumLening&gt;0,1,0),-PPMT(Rentevoet/12,ROW()-ROW(Lening[[#HEADERS],[BET.NR.]]),AantalBetalingen,GeleendBedrag),""),"")</f>
        <v/>
      </c>
      <c r="G251" s="49" t="str">
        <f>IFERROR(IF(IF($B251&lt;=AantalBetalingen,1,0)*IF(GeleendBedrag*Rentevoet*Leningjaren*BegindatumLening&gt;0,1,0),-IPMT(Rentevoet/12,$B251,AantalBetalingen,GeleendBedrag),""),"")</f>
        <v/>
      </c>
      <c r="H251" s="49" t="str">
        <f>IFERROR(IF(IF(B251="","",IF($B251&lt;=AantalBetalingen,1,0)*IF(GeleendBedrag*Rentevoet*Leningjaren*BegindatumLening&gt;0,1,0),-FV(Rentevoet/12,$B251,PMT(Rentevoet/12,AantalBetalingen,GeleendBedrag),GeleendBedrag),""),""),"")</f>
        <v/>
      </c>
    </row>
    <row r="252" ht="22.5" hidden="1" customHeight="1">
      <c r="A252" s="46">
        <f>ROW()-ROW(Lening[[#HEADERS],[BET.NR.]])</f>
        <v>243</v>
      </c>
      <c r="B252" s="50" t="str">
        <f>IFERROR(IF(IF(ROW()-ROW(Lening!$9:$9)&lt;=AantalBetalingen,1,0)*IF(GeleendBedrag*Rentevoet*$D$5*BegindatumLening&gt;0,1,0),ROW()-ROW(Lening!$9:$9),""),"")</f>
        <v/>
      </c>
      <c r="C252" s="48" t="str">
        <f>IFERROR(IF(B252="","",IF(IF(B252&lt;=AantalBetalingen,1,0)*IF(GeleendBedrag*Rentevoet*Leningjaren*BegindatumLening&gt;0,1,0),TEXT(DATE(YEAR(BegindatumLening),MONTH(BegindatumLening)+B252,DAY(BegindatumLening)),"d-m-yyyy"),""),""),"")</f>
        <v/>
      </c>
      <c r="D252" s="49" t="str">
        <f>IFERROR(IF(IF(B252="","",IF($B252&lt;=AantalBetalingen,1,0)*IF(GeleendBedrag*Rentevoet*Leningjaren*BegindatumLening&gt;0,1,0),-FV(Rentevoet/12,ROW()-ROW(Lening[[#HEADERS],[BET.NR.]])-1,PMT(Rentevoet/12,AantalBetalingen,GeleendBedrag),GeleendBedrag),""),""),"")</f>
        <v/>
      </c>
      <c r="E252" s="49" t="str">
        <f>IFERROR(IF(IF(B252="","",IF($B252&lt;=AantalBetalingen,1,0)*IF(GeleendBedrag*Rentevoet*Leningjaren*BegindatumLening&gt;0,1,0),-PMT(Rentevoet/12,AantalBetalingen,GeleendBedrag),""),""),"")</f>
        <v/>
      </c>
      <c r="F252" s="49" t="str">
        <f>IFERROR(IF(IF($B252&lt;=AantalBetalingen,1,0)*IF(GeleendBedrag*Rentevoet*Leningjaren*BegindatumLening&gt;0,1,0),-PPMT(Rentevoet/12,ROW()-ROW(Lening[[#HEADERS],[BET.NR.]]),AantalBetalingen,GeleendBedrag),""),"")</f>
        <v/>
      </c>
      <c r="G252" s="49" t="str">
        <f>IFERROR(IF(IF($B252&lt;=AantalBetalingen,1,0)*IF(GeleendBedrag*Rentevoet*Leningjaren*BegindatumLening&gt;0,1,0),-IPMT(Rentevoet/12,$B252,AantalBetalingen,GeleendBedrag),""),"")</f>
        <v/>
      </c>
      <c r="H252" s="49" t="str">
        <f>IFERROR(IF(IF(B252="","",IF($B252&lt;=AantalBetalingen,1,0)*IF(GeleendBedrag*Rentevoet*Leningjaren*BegindatumLening&gt;0,1,0),-FV(Rentevoet/12,$B252,PMT(Rentevoet/12,AantalBetalingen,GeleendBedrag),GeleendBedrag),""),""),"")</f>
        <v/>
      </c>
    </row>
    <row r="253" ht="22.5" hidden="1" customHeight="1">
      <c r="A253" s="46">
        <f>ROW()-ROW(Lening[[#HEADERS],[BET.NR.]])</f>
        <v>244</v>
      </c>
      <c r="B253" s="50" t="str">
        <f>IFERROR(IF(IF(ROW()-ROW(Lening!$9:$9)&lt;=AantalBetalingen,1,0)*IF(GeleendBedrag*Rentevoet*$D$5*BegindatumLening&gt;0,1,0),ROW()-ROW(Lening!$9:$9),""),"")</f>
        <v/>
      </c>
      <c r="C253" s="48" t="str">
        <f>IFERROR(IF(B253="","",IF(IF(B253&lt;=AantalBetalingen,1,0)*IF(GeleendBedrag*Rentevoet*Leningjaren*BegindatumLening&gt;0,1,0),TEXT(DATE(YEAR(BegindatumLening),MONTH(BegindatumLening)+B253,DAY(BegindatumLening)),"d-m-yyyy"),""),""),"")</f>
        <v/>
      </c>
      <c r="D253" s="49" t="str">
        <f>IFERROR(IF(IF(B253="","",IF($B253&lt;=AantalBetalingen,1,0)*IF(GeleendBedrag*Rentevoet*Leningjaren*BegindatumLening&gt;0,1,0),-FV(Rentevoet/12,ROW()-ROW(Lening[[#HEADERS],[BET.NR.]])-1,PMT(Rentevoet/12,AantalBetalingen,GeleendBedrag),GeleendBedrag),""),""),"")</f>
        <v/>
      </c>
      <c r="E253" s="49" t="str">
        <f>IFERROR(IF(IF(B253="","",IF($B253&lt;=AantalBetalingen,1,0)*IF(GeleendBedrag*Rentevoet*Leningjaren*BegindatumLening&gt;0,1,0),-PMT(Rentevoet/12,AantalBetalingen,GeleendBedrag),""),""),"")</f>
        <v/>
      </c>
      <c r="F253" s="49" t="str">
        <f>IFERROR(IF(IF($B253&lt;=AantalBetalingen,1,0)*IF(GeleendBedrag*Rentevoet*Leningjaren*BegindatumLening&gt;0,1,0),-PPMT(Rentevoet/12,ROW()-ROW(Lening[[#HEADERS],[BET.NR.]]),AantalBetalingen,GeleendBedrag),""),"")</f>
        <v/>
      </c>
      <c r="G253" s="49" t="str">
        <f>IFERROR(IF(IF($B253&lt;=AantalBetalingen,1,0)*IF(GeleendBedrag*Rentevoet*Leningjaren*BegindatumLening&gt;0,1,0),-IPMT(Rentevoet/12,$B253,AantalBetalingen,GeleendBedrag),""),"")</f>
        <v/>
      </c>
      <c r="H253" s="49" t="str">
        <f>IFERROR(IF(IF(B253="","",IF($B253&lt;=AantalBetalingen,1,0)*IF(GeleendBedrag*Rentevoet*Leningjaren*BegindatumLening&gt;0,1,0),-FV(Rentevoet/12,$B253,PMT(Rentevoet/12,AantalBetalingen,GeleendBedrag),GeleendBedrag),""),""),"")</f>
        <v/>
      </c>
    </row>
    <row r="254" ht="22.5" hidden="1" customHeight="1">
      <c r="A254" s="46">
        <f>ROW()-ROW(Lening[[#HEADERS],[BET.NR.]])</f>
        <v>245</v>
      </c>
      <c r="B254" s="50" t="str">
        <f>IFERROR(IF(IF(ROW()-ROW(Lening!$9:$9)&lt;=AantalBetalingen,1,0)*IF(GeleendBedrag*Rentevoet*$D$5*BegindatumLening&gt;0,1,0),ROW()-ROW(Lening!$9:$9),""),"")</f>
        <v/>
      </c>
      <c r="C254" s="48" t="str">
        <f>IFERROR(IF(B254="","",IF(IF(B254&lt;=AantalBetalingen,1,0)*IF(GeleendBedrag*Rentevoet*Leningjaren*BegindatumLening&gt;0,1,0),TEXT(DATE(YEAR(BegindatumLening),MONTH(BegindatumLening)+B254,DAY(BegindatumLening)),"d-m-yyyy"),""),""),"")</f>
        <v/>
      </c>
      <c r="D254" s="49" t="str">
        <f>IFERROR(IF(IF(B254="","",IF($B254&lt;=AantalBetalingen,1,0)*IF(GeleendBedrag*Rentevoet*Leningjaren*BegindatumLening&gt;0,1,0),-FV(Rentevoet/12,ROW()-ROW(Lening[[#HEADERS],[BET.NR.]])-1,PMT(Rentevoet/12,AantalBetalingen,GeleendBedrag),GeleendBedrag),""),""),"")</f>
        <v/>
      </c>
      <c r="E254" s="49" t="str">
        <f>IFERROR(IF(IF(B254="","",IF($B254&lt;=AantalBetalingen,1,0)*IF(GeleendBedrag*Rentevoet*Leningjaren*BegindatumLening&gt;0,1,0),-PMT(Rentevoet/12,AantalBetalingen,GeleendBedrag),""),""),"")</f>
        <v/>
      </c>
      <c r="F254" s="49" t="str">
        <f>IFERROR(IF(IF($B254&lt;=AantalBetalingen,1,0)*IF(GeleendBedrag*Rentevoet*Leningjaren*BegindatumLening&gt;0,1,0),-PPMT(Rentevoet/12,ROW()-ROW(Lening[[#HEADERS],[BET.NR.]]),AantalBetalingen,GeleendBedrag),""),"")</f>
        <v/>
      </c>
      <c r="G254" s="49" t="str">
        <f>IFERROR(IF(IF($B254&lt;=AantalBetalingen,1,0)*IF(GeleendBedrag*Rentevoet*Leningjaren*BegindatumLening&gt;0,1,0),-IPMT(Rentevoet/12,$B254,AantalBetalingen,GeleendBedrag),""),"")</f>
        <v/>
      </c>
      <c r="H254" s="49" t="str">
        <f>IFERROR(IF(IF(B254="","",IF($B254&lt;=AantalBetalingen,1,0)*IF(GeleendBedrag*Rentevoet*Leningjaren*BegindatumLening&gt;0,1,0),-FV(Rentevoet/12,$B254,PMT(Rentevoet/12,AantalBetalingen,GeleendBedrag),GeleendBedrag),""),""),"")</f>
        <v/>
      </c>
    </row>
    <row r="255" ht="22.5" hidden="1" customHeight="1">
      <c r="A255" s="46">
        <f>ROW()-ROW(Lening[[#HEADERS],[BET.NR.]])</f>
        <v>246</v>
      </c>
      <c r="B255" s="50" t="str">
        <f>IFERROR(IF(IF(ROW()-ROW(Lening!$9:$9)&lt;=AantalBetalingen,1,0)*IF(GeleendBedrag*Rentevoet*$D$5*BegindatumLening&gt;0,1,0),ROW()-ROW(Lening!$9:$9),""),"")</f>
        <v/>
      </c>
      <c r="C255" s="48" t="str">
        <f>IFERROR(IF(B255="","",IF(IF(B255&lt;=AantalBetalingen,1,0)*IF(GeleendBedrag*Rentevoet*Leningjaren*BegindatumLening&gt;0,1,0),TEXT(DATE(YEAR(BegindatumLening),MONTH(BegindatumLening)+B255,DAY(BegindatumLening)),"d-m-yyyy"),""),""),"")</f>
        <v/>
      </c>
      <c r="D255" s="49" t="str">
        <f>IFERROR(IF(IF(B255="","",IF($B255&lt;=AantalBetalingen,1,0)*IF(GeleendBedrag*Rentevoet*Leningjaren*BegindatumLening&gt;0,1,0),-FV(Rentevoet/12,ROW()-ROW(Lening[[#HEADERS],[BET.NR.]])-1,PMT(Rentevoet/12,AantalBetalingen,GeleendBedrag),GeleendBedrag),""),""),"")</f>
        <v/>
      </c>
      <c r="E255" s="49" t="str">
        <f>IFERROR(IF(IF(B255="","",IF($B255&lt;=AantalBetalingen,1,0)*IF(GeleendBedrag*Rentevoet*Leningjaren*BegindatumLening&gt;0,1,0),-PMT(Rentevoet/12,AantalBetalingen,GeleendBedrag),""),""),"")</f>
        <v/>
      </c>
      <c r="F255" s="49" t="str">
        <f>IFERROR(IF(IF($B255&lt;=AantalBetalingen,1,0)*IF(GeleendBedrag*Rentevoet*Leningjaren*BegindatumLening&gt;0,1,0),-PPMT(Rentevoet/12,ROW()-ROW(Lening[[#HEADERS],[BET.NR.]]),AantalBetalingen,GeleendBedrag),""),"")</f>
        <v/>
      </c>
      <c r="G255" s="49" t="str">
        <f>IFERROR(IF(IF($B255&lt;=AantalBetalingen,1,0)*IF(GeleendBedrag*Rentevoet*Leningjaren*BegindatumLening&gt;0,1,0),-IPMT(Rentevoet/12,$B255,AantalBetalingen,GeleendBedrag),""),"")</f>
        <v/>
      </c>
      <c r="H255" s="49" t="str">
        <f>IFERROR(IF(IF(B255="","",IF($B255&lt;=AantalBetalingen,1,0)*IF(GeleendBedrag*Rentevoet*Leningjaren*BegindatumLening&gt;0,1,0),-FV(Rentevoet/12,$B255,PMT(Rentevoet/12,AantalBetalingen,GeleendBedrag),GeleendBedrag),""),""),"")</f>
        <v/>
      </c>
    </row>
    <row r="256" ht="22.5" hidden="1" customHeight="1">
      <c r="A256" s="46">
        <f>ROW()-ROW(Lening[[#HEADERS],[BET.NR.]])</f>
        <v>247</v>
      </c>
      <c r="B256" s="50" t="str">
        <f>IFERROR(IF(IF(ROW()-ROW(Lening!$9:$9)&lt;=AantalBetalingen,1,0)*IF(GeleendBedrag*Rentevoet*$D$5*BegindatumLening&gt;0,1,0),ROW()-ROW(Lening!$9:$9),""),"")</f>
        <v/>
      </c>
      <c r="C256" s="48" t="str">
        <f>IFERROR(IF(B256="","",IF(IF(B256&lt;=AantalBetalingen,1,0)*IF(GeleendBedrag*Rentevoet*Leningjaren*BegindatumLening&gt;0,1,0),TEXT(DATE(YEAR(BegindatumLening),MONTH(BegindatumLening)+B256,DAY(BegindatumLening)),"d-m-yyyy"),""),""),"")</f>
        <v/>
      </c>
      <c r="D256" s="49" t="str">
        <f>IFERROR(IF(IF(B256="","",IF($B256&lt;=AantalBetalingen,1,0)*IF(GeleendBedrag*Rentevoet*Leningjaren*BegindatumLening&gt;0,1,0),-FV(Rentevoet/12,ROW()-ROW(Lening[[#HEADERS],[BET.NR.]])-1,PMT(Rentevoet/12,AantalBetalingen,GeleendBedrag),GeleendBedrag),""),""),"")</f>
        <v/>
      </c>
      <c r="E256" s="49" t="str">
        <f>IFERROR(IF(IF(B256="","",IF($B256&lt;=AantalBetalingen,1,0)*IF(GeleendBedrag*Rentevoet*Leningjaren*BegindatumLening&gt;0,1,0),-PMT(Rentevoet/12,AantalBetalingen,GeleendBedrag),""),""),"")</f>
        <v/>
      </c>
      <c r="F256" s="49" t="str">
        <f>IFERROR(IF(IF($B256&lt;=AantalBetalingen,1,0)*IF(GeleendBedrag*Rentevoet*Leningjaren*BegindatumLening&gt;0,1,0),-PPMT(Rentevoet/12,ROW()-ROW(Lening[[#HEADERS],[BET.NR.]]),AantalBetalingen,GeleendBedrag),""),"")</f>
        <v/>
      </c>
      <c r="G256" s="49" t="str">
        <f>IFERROR(IF(IF($B256&lt;=AantalBetalingen,1,0)*IF(GeleendBedrag*Rentevoet*Leningjaren*BegindatumLening&gt;0,1,0),-IPMT(Rentevoet/12,$B256,AantalBetalingen,GeleendBedrag),""),"")</f>
        <v/>
      </c>
      <c r="H256" s="49" t="str">
        <f>IFERROR(IF(IF(B256="","",IF($B256&lt;=AantalBetalingen,1,0)*IF(GeleendBedrag*Rentevoet*Leningjaren*BegindatumLening&gt;0,1,0),-FV(Rentevoet/12,$B256,PMT(Rentevoet/12,AantalBetalingen,GeleendBedrag),GeleendBedrag),""),""),"")</f>
        <v/>
      </c>
    </row>
    <row r="257" ht="22.5" hidden="1" customHeight="1">
      <c r="A257" s="46">
        <f>ROW()-ROW(Lening[[#HEADERS],[BET.NR.]])</f>
        <v>248</v>
      </c>
      <c r="B257" s="50" t="str">
        <f>IFERROR(IF(IF(ROW()-ROW(Lening!$9:$9)&lt;=AantalBetalingen,1,0)*IF(GeleendBedrag*Rentevoet*$D$5*BegindatumLening&gt;0,1,0),ROW()-ROW(Lening!$9:$9),""),"")</f>
        <v/>
      </c>
      <c r="C257" s="48" t="str">
        <f>IFERROR(IF(B257="","",IF(IF(B257&lt;=AantalBetalingen,1,0)*IF(GeleendBedrag*Rentevoet*Leningjaren*BegindatumLening&gt;0,1,0),TEXT(DATE(YEAR(BegindatumLening),MONTH(BegindatumLening)+B257,DAY(BegindatumLening)),"d-m-yyyy"),""),""),"")</f>
        <v/>
      </c>
      <c r="D257" s="49" t="str">
        <f>IFERROR(IF(IF(B257="","",IF($B257&lt;=AantalBetalingen,1,0)*IF(GeleendBedrag*Rentevoet*Leningjaren*BegindatumLening&gt;0,1,0),-FV(Rentevoet/12,ROW()-ROW(Lening[[#HEADERS],[BET.NR.]])-1,PMT(Rentevoet/12,AantalBetalingen,GeleendBedrag),GeleendBedrag),""),""),"")</f>
        <v/>
      </c>
      <c r="E257" s="49" t="str">
        <f>IFERROR(IF(IF(B257="","",IF($B257&lt;=AantalBetalingen,1,0)*IF(GeleendBedrag*Rentevoet*Leningjaren*BegindatumLening&gt;0,1,0),-PMT(Rentevoet/12,AantalBetalingen,GeleendBedrag),""),""),"")</f>
        <v/>
      </c>
      <c r="F257" s="49" t="str">
        <f>IFERROR(IF(IF($B257&lt;=AantalBetalingen,1,0)*IF(GeleendBedrag*Rentevoet*Leningjaren*BegindatumLening&gt;0,1,0),-PPMT(Rentevoet/12,ROW()-ROW(Lening[[#HEADERS],[BET.NR.]]),AantalBetalingen,GeleendBedrag),""),"")</f>
        <v/>
      </c>
      <c r="G257" s="49" t="str">
        <f>IFERROR(IF(IF($B257&lt;=AantalBetalingen,1,0)*IF(GeleendBedrag*Rentevoet*Leningjaren*BegindatumLening&gt;0,1,0),-IPMT(Rentevoet/12,$B257,AantalBetalingen,GeleendBedrag),""),"")</f>
        <v/>
      </c>
      <c r="H257" s="49" t="str">
        <f>IFERROR(IF(IF(B257="","",IF($B257&lt;=AantalBetalingen,1,0)*IF(GeleendBedrag*Rentevoet*Leningjaren*BegindatumLening&gt;0,1,0),-FV(Rentevoet/12,$B257,PMT(Rentevoet/12,AantalBetalingen,GeleendBedrag),GeleendBedrag),""),""),"")</f>
        <v/>
      </c>
    </row>
    <row r="258" ht="22.5" hidden="1" customHeight="1">
      <c r="A258" s="46">
        <f>ROW()-ROW(Lening[[#HEADERS],[BET.NR.]])</f>
        <v>249</v>
      </c>
      <c r="B258" s="50" t="str">
        <f>IFERROR(IF(IF(ROW()-ROW(Lening!$9:$9)&lt;=AantalBetalingen,1,0)*IF(GeleendBedrag*Rentevoet*$D$5*BegindatumLening&gt;0,1,0),ROW()-ROW(Lening!$9:$9),""),"")</f>
        <v/>
      </c>
      <c r="C258" s="48" t="str">
        <f>IFERROR(IF(B258="","",IF(IF(B258&lt;=AantalBetalingen,1,0)*IF(GeleendBedrag*Rentevoet*Leningjaren*BegindatumLening&gt;0,1,0),TEXT(DATE(YEAR(BegindatumLening),MONTH(BegindatumLening)+B258,DAY(BegindatumLening)),"d-m-yyyy"),""),""),"")</f>
        <v/>
      </c>
      <c r="D258" s="49" t="str">
        <f>IFERROR(IF(IF(B258="","",IF($B258&lt;=AantalBetalingen,1,0)*IF(GeleendBedrag*Rentevoet*Leningjaren*BegindatumLening&gt;0,1,0),-FV(Rentevoet/12,ROW()-ROW(Lening[[#HEADERS],[BET.NR.]])-1,PMT(Rentevoet/12,AantalBetalingen,GeleendBedrag),GeleendBedrag),""),""),"")</f>
        <v/>
      </c>
      <c r="E258" s="49" t="str">
        <f>IFERROR(IF(IF(B258="","",IF($B258&lt;=AantalBetalingen,1,0)*IF(GeleendBedrag*Rentevoet*Leningjaren*BegindatumLening&gt;0,1,0),-PMT(Rentevoet/12,AantalBetalingen,GeleendBedrag),""),""),"")</f>
        <v/>
      </c>
      <c r="F258" s="49" t="str">
        <f>IFERROR(IF(IF($B258&lt;=AantalBetalingen,1,0)*IF(GeleendBedrag*Rentevoet*Leningjaren*BegindatumLening&gt;0,1,0),-PPMT(Rentevoet/12,ROW()-ROW(Lening[[#HEADERS],[BET.NR.]]),AantalBetalingen,GeleendBedrag),""),"")</f>
        <v/>
      </c>
      <c r="G258" s="49" t="str">
        <f>IFERROR(IF(IF($B258&lt;=AantalBetalingen,1,0)*IF(GeleendBedrag*Rentevoet*Leningjaren*BegindatumLening&gt;0,1,0),-IPMT(Rentevoet/12,$B258,AantalBetalingen,GeleendBedrag),""),"")</f>
        <v/>
      </c>
      <c r="H258" s="49" t="str">
        <f>IFERROR(IF(IF(B258="","",IF($B258&lt;=AantalBetalingen,1,0)*IF(GeleendBedrag*Rentevoet*Leningjaren*BegindatumLening&gt;0,1,0),-FV(Rentevoet/12,$B258,PMT(Rentevoet/12,AantalBetalingen,GeleendBedrag),GeleendBedrag),""),""),"")</f>
        <v/>
      </c>
    </row>
    <row r="259" ht="22.5" hidden="1" customHeight="1">
      <c r="A259" s="46">
        <f>ROW()-ROW(Lening[[#HEADERS],[BET.NR.]])</f>
        <v>250</v>
      </c>
      <c r="B259" s="50" t="str">
        <f>IFERROR(IF(IF(ROW()-ROW(Lening!$9:$9)&lt;=AantalBetalingen,1,0)*IF(GeleendBedrag*Rentevoet*$D$5*BegindatumLening&gt;0,1,0),ROW()-ROW(Lening!$9:$9),""),"")</f>
        <v/>
      </c>
      <c r="C259" s="48" t="str">
        <f>IFERROR(IF(B259="","",IF(IF(B259&lt;=AantalBetalingen,1,0)*IF(GeleendBedrag*Rentevoet*Leningjaren*BegindatumLening&gt;0,1,0),TEXT(DATE(YEAR(BegindatumLening),MONTH(BegindatumLening)+B259,DAY(BegindatumLening)),"d-m-yyyy"),""),""),"")</f>
        <v/>
      </c>
      <c r="D259" s="49" t="str">
        <f>IFERROR(IF(IF(B259="","",IF($B259&lt;=AantalBetalingen,1,0)*IF(GeleendBedrag*Rentevoet*Leningjaren*BegindatumLening&gt;0,1,0),-FV(Rentevoet/12,ROW()-ROW(Lening[[#HEADERS],[BET.NR.]])-1,PMT(Rentevoet/12,AantalBetalingen,GeleendBedrag),GeleendBedrag),""),""),"")</f>
        <v/>
      </c>
      <c r="E259" s="49" t="str">
        <f>IFERROR(IF(IF(B259="","",IF($B259&lt;=AantalBetalingen,1,0)*IF(GeleendBedrag*Rentevoet*Leningjaren*BegindatumLening&gt;0,1,0),-PMT(Rentevoet/12,AantalBetalingen,GeleendBedrag),""),""),"")</f>
        <v/>
      </c>
      <c r="F259" s="49" t="str">
        <f>IFERROR(IF(IF($B259&lt;=AantalBetalingen,1,0)*IF(GeleendBedrag*Rentevoet*Leningjaren*BegindatumLening&gt;0,1,0),-PPMT(Rentevoet/12,ROW()-ROW(Lening[[#HEADERS],[BET.NR.]]),AantalBetalingen,GeleendBedrag),""),"")</f>
        <v/>
      </c>
      <c r="G259" s="49" t="str">
        <f>IFERROR(IF(IF($B259&lt;=AantalBetalingen,1,0)*IF(GeleendBedrag*Rentevoet*Leningjaren*BegindatumLening&gt;0,1,0),-IPMT(Rentevoet/12,$B259,AantalBetalingen,GeleendBedrag),""),"")</f>
        <v/>
      </c>
      <c r="H259" s="49" t="str">
        <f>IFERROR(IF(IF(B259="","",IF($B259&lt;=AantalBetalingen,1,0)*IF(GeleendBedrag*Rentevoet*Leningjaren*BegindatumLening&gt;0,1,0),-FV(Rentevoet/12,$B259,PMT(Rentevoet/12,AantalBetalingen,GeleendBedrag),GeleendBedrag),""),""),"")</f>
        <v/>
      </c>
    </row>
    <row r="260" ht="22.5" hidden="1" customHeight="1">
      <c r="A260" s="46">
        <f>ROW()-ROW(Lening[[#HEADERS],[BET.NR.]])</f>
        <v>251</v>
      </c>
      <c r="B260" s="50" t="str">
        <f>IFERROR(IF(IF(ROW()-ROW(Lening!$9:$9)&lt;=AantalBetalingen,1,0)*IF(GeleendBedrag*Rentevoet*$D$5*BegindatumLening&gt;0,1,0),ROW()-ROW(Lening!$9:$9),""),"")</f>
        <v/>
      </c>
      <c r="C260" s="48" t="str">
        <f>IFERROR(IF(B260="","",IF(IF(B260&lt;=AantalBetalingen,1,0)*IF(GeleendBedrag*Rentevoet*Leningjaren*BegindatumLening&gt;0,1,0),TEXT(DATE(YEAR(BegindatumLening),MONTH(BegindatumLening)+B260,DAY(BegindatumLening)),"d-m-yyyy"),""),""),"")</f>
        <v/>
      </c>
      <c r="D260" s="49" t="str">
        <f>IFERROR(IF(IF(B260="","",IF($B260&lt;=AantalBetalingen,1,0)*IF(GeleendBedrag*Rentevoet*Leningjaren*BegindatumLening&gt;0,1,0),-FV(Rentevoet/12,ROW()-ROW(Lening[[#HEADERS],[BET.NR.]])-1,PMT(Rentevoet/12,AantalBetalingen,GeleendBedrag),GeleendBedrag),""),""),"")</f>
        <v/>
      </c>
      <c r="E260" s="49" t="str">
        <f>IFERROR(IF(IF(B260="","",IF($B260&lt;=AantalBetalingen,1,0)*IF(GeleendBedrag*Rentevoet*Leningjaren*BegindatumLening&gt;0,1,0),-PMT(Rentevoet/12,AantalBetalingen,GeleendBedrag),""),""),"")</f>
        <v/>
      </c>
      <c r="F260" s="49" t="str">
        <f>IFERROR(IF(IF($B260&lt;=AantalBetalingen,1,0)*IF(GeleendBedrag*Rentevoet*Leningjaren*BegindatumLening&gt;0,1,0),-PPMT(Rentevoet/12,ROW()-ROW(Lening[[#HEADERS],[BET.NR.]]),AantalBetalingen,GeleendBedrag),""),"")</f>
        <v/>
      </c>
      <c r="G260" s="49" t="str">
        <f>IFERROR(IF(IF($B260&lt;=AantalBetalingen,1,0)*IF(GeleendBedrag*Rentevoet*Leningjaren*BegindatumLening&gt;0,1,0),-IPMT(Rentevoet/12,$B260,AantalBetalingen,GeleendBedrag),""),"")</f>
        <v/>
      </c>
      <c r="H260" s="49" t="str">
        <f>IFERROR(IF(IF(B260="","",IF($B260&lt;=AantalBetalingen,1,0)*IF(GeleendBedrag*Rentevoet*Leningjaren*BegindatumLening&gt;0,1,0),-FV(Rentevoet/12,$B260,PMT(Rentevoet/12,AantalBetalingen,GeleendBedrag),GeleendBedrag),""),""),"")</f>
        <v/>
      </c>
    </row>
    <row r="261" ht="22.5" hidden="1" customHeight="1">
      <c r="A261" s="46">
        <f>ROW()-ROW(Lening[[#HEADERS],[BET.NR.]])</f>
        <v>252</v>
      </c>
      <c r="B261" s="50" t="str">
        <f>IFERROR(IF(IF(ROW()-ROW(Lening!$9:$9)&lt;=AantalBetalingen,1,0)*IF(GeleendBedrag*Rentevoet*$D$5*BegindatumLening&gt;0,1,0),ROW()-ROW(Lening!$9:$9),""),"")</f>
        <v/>
      </c>
      <c r="C261" s="48" t="str">
        <f>IFERROR(IF(B261="","",IF(IF(B261&lt;=AantalBetalingen,1,0)*IF(GeleendBedrag*Rentevoet*Leningjaren*BegindatumLening&gt;0,1,0),TEXT(DATE(YEAR(BegindatumLening),MONTH(BegindatumLening)+B261,DAY(BegindatumLening)),"d-m-yyyy"),""),""),"")</f>
        <v/>
      </c>
      <c r="D261" s="49" t="str">
        <f>IFERROR(IF(IF(B261="","",IF($B261&lt;=AantalBetalingen,1,0)*IF(GeleendBedrag*Rentevoet*Leningjaren*BegindatumLening&gt;0,1,0),-FV(Rentevoet/12,ROW()-ROW(Lening[[#HEADERS],[BET.NR.]])-1,PMT(Rentevoet/12,AantalBetalingen,GeleendBedrag),GeleendBedrag),""),""),"")</f>
        <v/>
      </c>
      <c r="E261" s="49" t="str">
        <f>IFERROR(IF(IF(B261="","",IF($B261&lt;=AantalBetalingen,1,0)*IF(GeleendBedrag*Rentevoet*Leningjaren*BegindatumLening&gt;0,1,0),-PMT(Rentevoet/12,AantalBetalingen,GeleendBedrag),""),""),"")</f>
        <v/>
      </c>
      <c r="F261" s="49" t="str">
        <f>IFERROR(IF(IF($B261&lt;=AantalBetalingen,1,0)*IF(GeleendBedrag*Rentevoet*Leningjaren*BegindatumLening&gt;0,1,0),-PPMT(Rentevoet/12,ROW()-ROW(Lening[[#HEADERS],[BET.NR.]]),AantalBetalingen,GeleendBedrag),""),"")</f>
        <v/>
      </c>
      <c r="G261" s="49" t="str">
        <f>IFERROR(IF(IF($B261&lt;=AantalBetalingen,1,0)*IF(GeleendBedrag*Rentevoet*Leningjaren*BegindatumLening&gt;0,1,0),-IPMT(Rentevoet/12,$B261,AantalBetalingen,GeleendBedrag),""),"")</f>
        <v/>
      </c>
      <c r="H261" s="49" t="str">
        <f>IFERROR(IF(IF(B261="","",IF($B261&lt;=AantalBetalingen,1,0)*IF(GeleendBedrag*Rentevoet*Leningjaren*BegindatumLening&gt;0,1,0),-FV(Rentevoet/12,$B261,PMT(Rentevoet/12,AantalBetalingen,GeleendBedrag),GeleendBedrag),""),""),"")</f>
        <v/>
      </c>
    </row>
    <row r="262" ht="22.5" hidden="1" customHeight="1">
      <c r="A262" s="46">
        <f>ROW()-ROW(Lening[[#HEADERS],[BET.NR.]])</f>
        <v>253</v>
      </c>
      <c r="B262" s="50" t="str">
        <f>IFERROR(IF(IF(ROW()-ROW(Lening!$9:$9)&lt;=AantalBetalingen,1,0)*IF(GeleendBedrag*Rentevoet*$D$5*BegindatumLening&gt;0,1,0),ROW()-ROW(Lening!$9:$9),""),"")</f>
        <v/>
      </c>
      <c r="C262" s="48" t="str">
        <f>IFERROR(IF(B262="","",IF(IF(B262&lt;=AantalBetalingen,1,0)*IF(GeleendBedrag*Rentevoet*Leningjaren*BegindatumLening&gt;0,1,0),TEXT(DATE(YEAR(BegindatumLening),MONTH(BegindatumLening)+B262,DAY(BegindatumLening)),"d-m-yyyy"),""),""),"")</f>
        <v/>
      </c>
      <c r="D262" s="49" t="str">
        <f>IFERROR(IF(IF(B262="","",IF($B262&lt;=AantalBetalingen,1,0)*IF(GeleendBedrag*Rentevoet*Leningjaren*BegindatumLening&gt;0,1,0),-FV(Rentevoet/12,ROW()-ROW(Lening[[#HEADERS],[BET.NR.]])-1,PMT(Rentevoet/12,AantalBetalingen,GeleendBedrag),GeleendBedrag),""),""),"")</f>
        <v/>
      </c>
      <c r="E262" s="49" t="str">
        <f>IFERROR(IF(IF(B262="","",IF($B262&lt;=AantalBetalingen,1,0)*IF(GeleendBedrag*Rentevoet*Leningjaren*BegindatumLening&gt;0,1,0),-PMT(Rentevoet/12,AantalBetalingen,GeleendBedrag),""),""),"")</f>
        <v/>
      </c>
      <c r="F262" s="49" t="str">
        <f>IFERROR(IF(IF($B262&lt;=AantalBetalingen,1,0)*IF(GeleendBedrag*Rentevoet*Leningjaren*BegindatumLening&gt;0,1,0),-PPMT(Rentevoet/12,ROW()-ROW(Lening[[#HEADERS],[BET.NR.]]),AantalBetalingen,GeleendBedrag),""),"")</f>
        <v/>
      </c>
      <c r="G262" s="49" t="str">
        <f>IFERROR(IF(IF($B262&lt;=AantalBetalingen,1,0)*IF(GeleendBedrag*Rentevoet*Leningjaren*BegindatumLening&gt;0,1,0),-IPMT(Rentevoet/12,$B262,AantalBetalingen,GeleendBedrag),""),"")</f>
        <v/>
      </c>
      <c r="H262" s="49" t="str">
        <f>IFERROR(IF(IF(B262="","",IF($B262&lt;=AantalBetalingen,1,0)*IF(GeleendBedrag*Rentevoet*Leningjaren*BegindatumLening&gt;0,1,0),-FV(Rentevoet/12,$B262,PMT(Rentevoet/12,AantalBetalingen,GeleendBedrag),GeleendBedrag),""),""),"")</f>
        <v/>
      </c>
    </row>
    <row r="263" ht="22.5" hidden="1" customHeight="1">
      <c r="A263" s="46">
        <f>ROW()-ROW(Lening[[#HEADERS],[BET.NR.]])</f>
        <v>254</v>
      </c>
      <c r="B263" s="50" t="str">
        <f>IFERROR(IF(IF(ROW()-ROW(Lening!$9:$9)&lt;=AantalBetalingen,1,0)*IF(GeleendBedrag*Rentevoet*$D$5*BegindatumLening&gt;0,1,0),ROW()-ROW(Lening!$9:$9),""),"")</f>
        <v/>
      </c>
      <c r="C263" s="48" t="str">
        <f>IFERROR(IF(B263="","",IF(IF(B263&lt;=AantalBetalingen,1,0)*IF(GeleendBedrag*Rentevoet*Leningjaren*BegindatumLening&gt;0,1,0),TEXT(DATE(YEAR(BegindatumLening),MONTH(BegindatumLening)+B263,DAY(BegindatumLening)),"d-m-yyyy"),""),""),"")</f>
        <v/>
      </c>
      <c r="D263" s="49" t="str">
        <f>IFERROR(IF(IF(B263="","",IF($B263&lt;=AantalBetalingen,1,0)*IF(GeleendBedrag*Rentevoet*Leningjaren*BegindatumLening&gt;0,1,0),-FV(Rentevoet/12,ROW()-ROW(Lening[[#HEADERS],[BET.NR.]])-1,PMT(Rentevoet/12,AantalBetalingen,GeleendBedrag),GeleendBedrag),""),""),"")</f>
        <v/>
      </c>
      <c r="E263" s="49" t="str">
        <f>IFERROR(IF(IF(B263="","",IF($B263&lt;=AantalBetalingen,1,0)*IF(GeleendBedrag*Rentevoet*Leningjaren*BegindatumLening&gt;0,1,0),-PMT(Rentevoet/12,AantalBetalingen,GeleendBedrag),""),""),"")</f>
        <v/>
      </c>
      <c r="F263" s="49" t="str">
        <f>IFERROR(IF(IF($B263&lt;=AantalBetalingen,1,0)*IF(GeleendBedrag*Rentevoet*Leningjaren*BegindatumLening&gt;0,1,0),-PPMT(Rentevoet/12,ROW()-ROW(Lening[[#HEADERS],[BET.NR.]]),AantalBetalingen,GeleendBedrag),""),"")</f>
        <v/>
      </c>
      <c r="G263" s="49" t="str">
        <f>IFERROR(IF(IF($B263&lt;=AantalBetalingen,1,0)*IF(GeleendBedrag*Rentevoet*Leningjaren*BegindatumLening&gt;0,1,0),-IPMT(Rentevoet/12,$B263,AantalBetalingen,GeleendBedrag),""),"")</f>
        <v/>
      </c>
      <c r="H263" s="49" t="str">
        <f>IFERROR(IF(IF(B263="","",IF($B263&lt;=AantalBetalingen,1,0)*IF(GeleendBedrag*Rentevoet*Leningjaren*BegindatumLening&gt;0,1,0),-FV(Rentevoet/12,$B263,PMT(Rentevoet/12,AantalBetalingen,GeleendBedrag),GeleendBedrag),""),""),"")</f>
        <v/>
      </c>
    </row>
    <row r="264" ht="22.5" hidden="1" customHeight="1">
      <c r="A264" s="46">
        <f>ROW()-ROW(Lening[[#HEADERS],[BET.NR.]])</f>
        <v>255</v>
      </c>
      <c r="B264" s="50" t="str">
        <f>IFERROR(IF(IF(ROW()-ROW(Lening!$9:$9)&lt;=AantalBetalingen,1,0)*IF(GeleendBedrag*Rentevoet*$D$5*BegindatumLening&gt;0,1,0),ROW()-ROW(Lening!$9:$9),""),"")</f>
        <v/>
      </c>
      <c r="C264" s="48" t="str">
        <f>IFERROR(IF(B264="","",IF(IF(B264&lt;=AantalBetalingen,1,0)*IF(GeleendBedrag*Rentevoet*Leningjaren*BegindatumLening&gt;0,1,0),TEXT(DATE(YEAR(BegindatumLening),MONTH(BegindatumLening)+B264,DAY(BegindatumLening)),"d-m-yyyy"),""),""),"")</f>
        <v/>
      </c>
      <c r="D264" s="49" t="str">
        <f>IFERROR(IF(IF(B264="","",IF($B264&lt;=AantalBetalingen,1,0)*IF(GeleendBedrag*Rentevoet*Leningjaren*BegindatumLening&gt;0,1,0),-FV(Rentevoet/12,ROW()-ROW(Lening[[#HEADERS],[BET.NR.]])-1,PMT(Rentevoet/12,AantalBetalingen,GeleendBedrag),GeleendBedrag),""),""),"")</f>
        <v/>
      </c>
      <c r="E264" s="49" t="str">
        <f>IFERROR(IF(IF(B264="","",IF($B264&lt;=AantalBetalingen,1,0)*IF(GeleendBedrag*Rentevoet*Leningjaren*BegindatumLening&gt;0,1,0),-PMT(Rentevoet/12,AantalBetalingen,GeleendBedrag),""),""),"")</f>
        <v/>
      </c>
      <c r="F264" s="49" t="str">
        <f>IFERROR(IF(IF($B264&lt;=AantalBetalingen,1,0)*IF(GeleendBedrag*Rentevoet*Leningjaren*BegindatumLening&gt;0,1,0),-PPMT(Rentevoet/12,ROW()-ROW(Lening[[#HEADERS],[BET.NR.]]),AantalBetalingen,GeleendBedrag),""),"")</f>
        <v/>
      </c>
      <c r="G264" s="49" t="str">
        <f>IFERROR(IF(IF($B264&lt;=AantalBetalingen,1,0)*IF(GeleendBedrag*Rentevoet*Leningjaren*BegindatumLening&gt;0,1,0),-IPMT(Rentevoet/12,$B264,AantalBetalingen,GeleendBedrag),""),"")</f>
        <v/>
      </c>
      <c r="H264" s="49" t="str">
        <f>IFERROR(IF(IF(B264="","",IF($B264&lt;=AantalBetalingen,1,0)*IF(GeleendBedrag*Rentevoet*Leningjaren*BegindatumLening&gt;0,1,0),-FV(Rentevoet/12,$B264,PMT(Rentevoet/12,AantalBetalingen,GeleendBedrag),GeleendBedrag),""),""),"")</f>
        <v/>
      </c>
    </row>
    <row r="265" ht="22.5" hidden="1" customHeight="1">
      <c r="A265" s="46">
        <f>ROW()-ROW(Lening[[#HEADERS],[BET.NR.]])</f>
        <v>256</v>
      </c>
      <c r="B265" s="50" t="str">
        <f>IFERROR(IF(IF(ROW()-ROW(Lening!$9:$9)&lt;=AantalBetalingen,1,0)*IF(GeleendBedrag*Rentevoet*$D$5*BegindatumLening&gt;0,1,0),ROW()-ROW(Lening!$9:$9),""),"")</f>
        <v/>
      </c>
      <c r="C265" s="48" t="str">
        <f>IFERROR(IF(B265="","",IF(IF(B265&lt;=AantalBetalingen,1,0)*IF(GeleendBedrag*Rentevoet*Leningjaren*BegindatumLening&gt;0,1,0),TEXT(DATE(YEAR(BegindatumLening),MONTH(BegindatumLening)+B265,DAY(BegindatumLening)),"d-m-yyyy"),""),""),"")</f>
        <v/>
      </c>
      <c r="D265" s="49" t="str">
        <f>IFERROR(IF(IF(B265="","",IF($B265&lt;=AantalBetalingen,1,0)*IF(GeleendBedrag*Rentevoet*Leningjaren*BegindatumLening&gt;0,1,0),-FV(Rentevoet/12,ROW()-ROW(Lening[[#HEADERS],[BET.NR.]])-1,PMT(Rentevoet/12,AantalBetalingen,GeleendBedrag),GeleendBedrag),""),""),"")</f>
        <v/>
      </c>
      <c r="E265" s="49" t="str">
        <f>IFERROR(IF(IF(B265="","",IF($B265&lt;=AantalBetalingen,1,0)*IF(GeleendBedrag*Rentevoet*Leningjaren*BegindatumLening&gt;0,1,0),-PMT(Rentevoet/12,AantalBetalingen,GeleendBedrag),""),""),"")</f>
        <v/>
      </c>
      <c r="F265" s="49" t="str">
        <f>IFERROR(IF(IF($B265&lt;=AantalBetalingen,1,0)*IF(GeleendBedrag*Rentevoet*Leningjaren*BegindatumLening&gt;0,1,0),-PPMT(Rentevoet/12,ROW()-ROW(Lening[[#HEADERS],[BET.NR.]]),AantalBetalingen,GeleendBedrag),""),"")</f>
        <v/>
      </c>
      <c r="G265" s="49" t="str">
        <f>IFERROR(IF(IF($B265&lt;=AantalBetalingen,1,0)*IF(GeleendBedrag*Rentevoet*Leningjaren*BegindatumLening&gt;0,1,0),-IPMT(Rentevoet/12,$B265,AantalBetalingen,GeleendBedrag),""),"")</f>
        <v/>
      </c>
      <c r="H265" s="49" t="str">
        <f>IFERROR(IF(IF(B265="","",IF($B265&lt;=AantalBetalingen,1,0)*IF(GeleendBedrag*Rentevoet*Leningjaren*BegindatumLening&gt;0,1,0),-FV(Rentevoet/12,$B265,PMT(Rentevoet/12,AantalBetalingen,GeleendBedrag),GeleendBedrag),""),""),"")</f>
        <v/>
      </c>
    </row>
    <row r="266" ht="22.5" hidden="1" customHeight="1">
      <c r="A266" s="46">
        <f>ROW()-ROW(Lening[[#HEADERS],[BET.NR.]])</f>
        <v>257</v>
      </c>
      <c r="B266" s="50" t="str">
        <f>IFERROR(IF(IF(ROW()-ROW(Lening!$9:$9)&lt;=AantalBetalingen,1,0)*IF(GeleendBedrag*Rentevoet*$D$5*BegindatumLening&gt;0,1,0),ROW()-ROW(Lening!$9:$9),""),"")</f>
        <v/>
      </c>
      <c r="C266" s="48" t="str">
        <f>IFERROR(IF(B266="","",IF(IF(B266&lt;=AantalBetalingen,1,0)*IF(GeleendBedrag*Rentevoet*Leningjaren*BegindatumLening&gt;0,1,0),TEXT(DATE(YEAR(BegindatumLening),MONTH(BegindatumLening)+B266,DAY(BegindatumLening)),"d-m-yyyy"),""),""),"")</f>
        <v/>
      </c>
      <c r="D266" s="49" t="str">
        <f>IFERROR(IF(IF(B266="","",IF($B266&lt;=AantalBetalingen,1,0)*IF(GeleendBedrag*Rentevoet*Leningjaren*BegindatumLening&gt;0,1,0),-FV(Rentevoet/12,ROW()-ROW(Lening[[#HEADERS],[BET.NR.]])-1,PMT(Rentevoet/12,AantalBetalingen,GeleendBedrag),GeleendBedrag),""),""),"")</f>
        <v/>
      </c>
      <c r="E266" s="49" t="str">
        <f>IFERROR(IF(IF(B266="","",IF($B266&lt;=AantalBetalingen,1,0)*IF(GeleendBedrag*Rentevoet*Leningjaren*BegindatumLening&gt;0,1,0),-PMT(Rentevoet/12,AantalBetalingen,GeleendBedrag),""),""),"")</f>
        <v/>
      </c>
      <c r="F266" s="49" t="str">
        <f>IFERROR(IF(IF($B266&lt;=AantalBetalingen,1,0)*IF(GeleendBedrag*Rentevoet*Leningjaren*BegindatumLening&gt;0,1,0),-PPMT(Rentevoet/12,ROW()-ROW(Lening[[#HEADERS],[BET.NR.]]),AantalBetalingen,GeleendBedrag),""),"")</f>
        <v/>
      </c>
      <c r="G266" s="49" t="str">
        <f>IFERROR(IF(IF($B266&lt;=AantalBetalingen,1,0)*IF(GeleendBedrag*Rentevoet*Leningjaren*BegindatumLening&gt;0,1,0),-IPMT(Rentevoet/12,$B266,AantalBetalingen,GeleendBedrag),""),"")</f>
        <v/>
      </c>
      <c r="H266" s="49" t="str">
        <f>IFERROR(IF(IF(B266="","",IF($B266&lt;=AantalBetalingen,1,0)*IF(GeleendBedrag*Rentevoet*Leningjaren*BegindatumLening&gt;0,1,0),-FV(Rentevoet/12,$B266,PMT(Rentevoet/12,AantalBetalingen,GeleendBedrag),GeleendBedrag),""),""),"")</f>
        <v/>
      </c>
    </row>
    <row r="267" ht="22.5" hidden="1" customHeight="1">
      <c r="A267" s="46">
        <f>ROW()-ROW(Lening[[#HEADERS],[BET.NR.]])</f>
        <v>258</v>
      </c>
      <c r="B267" s="50" t="str">
        <f>IFERROR(IF(IF(ROW()-ROW(Lening!$9:$9)&lt;=AantalBetalingen,1,0)*IF(GeleendBedrag*Rentevoet*$D$5*BegindatumLening&gt;0,1,0),ROW()-ROW(Lening!$9:$9),""),"")</f>
        <v/>
      </c>
      <c r="C267" s="48" t="str">
        <f>IFERROR(IF(B267="","",IF(IF(B267&lt;=AantalBetalingen,1,0)*IF(GeleendBedrag*Rentevoet*Leningjaren*BegindatumLening&gt;0,1,0),TEXT(DATE(YEAR(BegindatumLening),MONTH(BegindatumLening)+B267,DAY(BegindatumLening)),"d-m-yyyy"),""),""),"")</f>
        <v/>
      </c>
      <c r="D267" s="49" t="str">
        <f>IFERROR(IF(IF(B267="","",IF($B267&lt;=AantalBetalingen,1,0)*IF(GeleendBedrag*Rentevoet*Leningjaren*BegindatumLening&gt;0,1,0),-FV(Rentevoet/12,ROW()-ROW(Lening[[#HEADERS],[BET.NR.]])-1,PMT(Rentevoet/12,AantalBetalingen,GeleendBedrag),GeleendBedrag),""),""),"")</f>
        <v/>
      </c>
      <c r="E267" s="49" t="str">
        <f>IFERROR(IF(IF(B267="","",IF($B267&lt;=AantalBetalingen,1,0)*IF(GeleendBedrag*Rentevoet*Leningjaren*BegindatumLening&gt;0,1,0),-PMT(Rentevoet/12,AantalBetalingen,GeleendBedrag),""),""),"")</f>
        <v/>
      </c>
      <c r="F267" s="49" t="str">
        <f>IFERROR(IF(IF($B267&lt;=AantalBetalingen,1,0)*IF(GeleendBedrag*Rentevoet*Leningjaren*BegindatumLening&gt;0,1,0),-PPMT(Rentevoet/12,ROW()-ROW(Lening[[#HEADERS],[BET.NR.]]),AantalBetalingen,GeleendBedrag),""),"")</f>
        <v/>
      </c>
      <c r="G267" s="49" t="str">
        <f>IFERROR(IF(IF($B267&lt;=AantalBetalingen,1,0)*IF(GeleendBedrag*Rentevoet*Leningjaren*BegindatumLening&gt;0,1,0),-IPMT(Rentevoet/12,$B267,AantalBetalingen,GeleendBedrag),""),"")</f>
        <v/>
      </c>
      <c r="H267" s="49" t="str">
        <f>IFERROR(IF(IF(B267="","",IF($B267&lt;=AantalBetalingen,1,0)*IF(GeleendBedrag*Rentevoet*Leningjaren*BegindatumLening&gt;0,1,0),-FV(Rentevoet/12,$B267,PMT(Rentevoet/12,AantalBetalingen,GeleendBedrag),GeleendBedrag),""),""),"")</f>
        <v/>
      </c>
    </row>
    <row r="268" ht="22.5" hidden="1" customHeight="1">
      <c r="A268" s="46">
        <f>ROW()-ROW(Lening[[#HEADERS],[BET.NR.]])</f>
        <v>259</v>
      </c>
      <c r="B268" s="50" t="str">
        <f>IFERROR(IF(IF(ROW()-ROW(Lening!$9:$9)&lt;=AantalBetalingen,1,0)*IF(GeleendBedrag*Rentevoet*$D$5*BegindatumLening&gt;0,1,0),ROW()-ROW(Lening!$9:$9),""),"")</f>
        <v/>
      </c>
      <c r="C268" s="48" t="str">
        <f>IFERROR(IF(B268="","",IF(IF(B268&lt;=AantalBetalingen,1,0)*IF(GeleendBedrag*Rentevoet*Leningjaren*BegindatumLening&gt;0,1,0),TEXT(DATE(YEAR(BegindatumLening),MONTH(BegindatumLening)+B268,DAY(BegindatumLening)),"d-m-yyyy"),""),""),"")</f>
        <v/>
      </c>
      <c r="D268" s="49" t="str">
        <f>IFERROR(IF(IF(B268="","",IF($B268&lt;=AantalBetalingen,1,0)*IF(GeleendBedrag*Rentevoet*Leningjaren*BegindatumLening&gt;0,1,0),-FV(Rentevoet/12,ROW()-ROW(Lening[[#HEADERS],[BET.NR.]])-1,PMT(Rentevoet/12,AantalBetalingen,GeleendBedrag),GeleendBedrag),""),""),"")</f>
        <v/>
      </c>
      <c r="E268" s="49" t="str">
        <f>IFERROR(IF(IF(B268="","",IF($B268&lt;=AantalBetalingen,1,0)*IF(GeleendBedrag*Rentevoet*Leningjaren*BegindatumLening&gt;0,1,0),-PMT(Rentevoet/12,AantalBetalingen,GeleendBedrag),""),""),"")</f>
        <v/>
      </c>
      <c r="F268" s="49" t="str">
        <f>IFERROR(IF(IF($B268&lt;=AantalBetalingen,1,0)*IF(GeleendBedrag*Rentevoet*Leningjaren*BegindatumLening&gt;0,1,0),-PPMT(Rentevoet/12,ROW()-ROW(Lening[[#HEADERS],[BET.NR.]]),AantalBetalingen,GeleendBedrag),""),"")</f>
        <v/>
      </c>
      <c r="G268" s="49" t="str">
        <f>IFERROR(IF(IF($B268&lt;=AantalBetalingen,1,0)*IF(GeleendBedrag*Rentevoet*Leningjaren*BegindatumLening&gt;0,1,0),-IPMT(Rentevoet/12,$B268,AantalBetalingen,GeleendBedrag),""),"")</f>
        <v/>
      </c>
      <c r="H268" s="49" t="str">
        <f>IFERROR(IF(IF(B268="","",IF($B268&lt;=AantalBetalingen,1,0)*IF(GeleendBedrag*Rentevoet*Leningjaren*BegindatumLening&gt;0,1,0),-FV(Rentevoet/12,$B268,PMT(Rentevoet/12,AantalBetalingen,GeleendBedrag),GeleendBedrag),""),""),"")</f>
        <v/>
      </c>
    </row>
    <row r="269" ht="22.5" hidden="1" customHeight="1">
      <c r="A269" s="46">
        <f>ROW()-ROW(Lening[[#HEADERS],[BET.NR.]])</f>
        <v>260</v>
      </c>
      <c r="B269" s="50" t="str">
        <f>IFERROR(IF(IF(ROW()-ROW(Lening!$9:$9)&lt;=AantalBetalingen,1,0)*IF(GeleendBedrag*Rentevoet*$D$5*BegindatumLening&gt;0,1,0),ROW()-ROW(Lening!$9:$9),""),"")</f>
        <v/>
      </c>
      <c r="C269" s="48" t="str">
        <f>IFERROR(IF(B269="","",IF(IF(B269&lt;=AantalBetalingen,1,0)*IF(GeleendBedrag*Rentevoet*Leningjaren*BegindatumLening&gt;0,1,0),TEXT(DATE(YEAR(BegindatumLening),MONTH(BegindatumLening)+B269,DAY(BegindatumLening)),"d-m-yyyy"),""),""),"")</f>
        <v/>
      </c>
      <c r="D269" s="49" t="str">
        <f>IFERROR(IF(IF(B269="","",IF($B269&lt;=AantalBetalingen,1,0)*IF(GeleendBedrag*Rentevoet*Leningjaren*BegindatumLening&gt;0,1,0),-FV(Rentevoet/12,ROW()-ROW(Lening[[#HEADERS],[BET.NR.]])-1,PMT(Rentevoet/12,AantalBetalingen,GeleendBedrag),GeleendBedrag),""),""),"")</f>
        <v/>
      </c>
      <c r="E269" s="49" t="str">
        <f>IFERROR(IF(IF(B269="","",IF($B269&lt;=AantalBetalingen,1,0)*IF(GeleendBedrag*Rentevoet*Leningjaren*BegindatumLening&gt;0,1,0),-PMT(Rentevoet/12,AantalBetalingen,GeleendBedrag),""),""),"")</f>
        <v/>
      </c>
      <c r="F269" s="49" t="str">
        <f>IFERROR(IF(IF($B269&lt;=AantalBetalingen,1,0)*IF(GeleendBedrag*Rentevoet*Leningjaren*BegindatumLening&gt;0,1,0),-PPMT(Rentevoet/12,ROW()-ROW(Lening[[#HEADERS],[BET.NR.]]),AantalBetalingen,GeleendBedrag),""),"")</f>
        <v/>
      </c>
      <c r="G269" s="49" t="str">
        <f>IFERROR(IF(IF($B269&lt;=AantalBetalingen,1,0)*IF(GeleendBedrag*Rentevoet*Leningjaren*BegindatumLening&gt;0,1,0),-IPMT(Rentevoet/12,$B269,AantalBetalingen,GeleendBedrag),""),"")</f>
        <v/>
      </c>
      <c r="H269" s="49" t="str">
        <f>IFERROR(IF(IF(B269="","",IF($B269&lt;=AantalBetalingen,1,0)*IF(GeleendBedrag*Rentevoet*Leningjaren*BegindatumLening&gt;0,1,0),-FV(Rentevoet/12,$B269,PMT(Rentevoet/12,AantalBetalingen,GeleendBedrag),GeleendBedrag),""),""),"")</f>
        <v/>
      </c>
    </row>
    <row r="270" ht="22.5" hidden="1" customHeight="1">
      <c r="A270" s="46">
        <f>ROW()-ROW(Lening[[#HEADERS],[BET.NR.]])</f>
        <v>261</v>
      </c>
      <c r="B270" s="50" t="str">
        <f>IFERROR(IF(IF(ROW()-ROW(Lening!$9:$9)&lt;=AantalBetalingen,1,0)*IF(GeleendBedrag*Rentevoet*$D$5*BegindatumLening&gt;0,1,0),ROW()-ROW(Lening!$9:$9),""),"")</f>
        <v/>
      </c>
      <c r="C270" s="48" t="str">
        <f>IFERROR(IF(B270="","",IF(IF(B270&lt;=AantalBetalingen,1,0)*IF(GeleendBedrag*Rentevoet*Leningjaren*BegindatumLening&gt;0,1,0),TEXT(DATE(YEAR(BegindatumLening),MONTH(BegindatumLening)+B270,DAY(BegindatumLening)),"d-m-yyyy"),""),""),"")</f>
        <v/>
      </c>
      <c r="D270" s="49" t="str">
        <f>IFERROR(IF(IF(B270="","",IF($B270&lt;=AantalBetalingen,1,0)*IF(GeleendBedrag*Rentevoet*Leningjaren*BegindatumLening&gt;0,1,0),-FV(Rentevoet/12,ROW()-ROW(Lening[[#HEADERS],[BET.NR.]])-1,PMT(Rentevoet/12,AantalBetalingen,GeleendBedrag),GeleendBedrag),""),""),"")</f>
        <v/>
      </c>
      <c r="E270" s="49" t="str">
        <f>IFERROR(IF(IF(B270="","",IF($B270&lt;=AantalBetalingen,1,0)*IF(GeleendBedrag*Rentevoet*Leningjaren*BegindatumLening&gt;0,1,0),-PMT(Rentevoet/12,AantalBetalingen,GeleendBedrag),""),""),"")</f>
        <v/>
      </c>
      <c r="F270" s="49" t="str">
        <f>IFERROR(IF(IF($B270&lt;=AantalBetalingen,1,0)*IF(GeleendBedrag*Rentevoet*Leningjaren*BegindatumLening&gt;0,1,0),-PPMT(Rentevoet/12,ROW()-ROW(Lening[[#HEADERS],[BET.NR.]]),AantalBetalingen,GeleendBedrag),""),"")</f>
        <v/>
      </c>
      <c r="G270" s="49" t="str">
        <f>IFERROR(IF(IF($B270&lt;=AantalBetalingen,1,0)*IF(GeleendBedrag*Rentevoet*Leningjaren*BegindatumLening&gt;0,1,0),-IPMT(Rentevoet/12,$B270,AantalBetalingen,GeleendBedrag),""),"")</f>
        <v/>
      </c>
      <c r="H270" s="49" t="str">
        <f>IFERROR(IF(IF(B270="","",IF($B270&lt;=AantalBetalingen,1,0)*IF(GeleendBedrag*Rentevoet*Leningjaren*BegindatumLening&gt;0,1,0),-FV(Rentevoet/12,$B270,PMT(Rentevoet/12,AantalBetalingen,GeleendBedrag),GeleendBedrag),""),""),"")</f>
        <v/>
      </c>
    </row>
    <row r="271" ht="22.5" hidden="1" customHeight="1">
      <c r="A271" s="46">
        <f>ROW()-ROW(Lening[[#HEADERS],[BET.NR.]])</f>
        <v>262</v>
      </c>
      <c r="B271" s="50" t="str">
        <f>IFERROR(IF(IF(ROW()-ROW(Lening!$9:$9)&lt;=AantalBetalingen,1,0)*IF(GeleendBedrag*Rentevoet*$D$5*BegindatumLening&gt;0,1,0),ROW()-ROW(Lening!$9:$9),""),"")</f>
        <v/>
      </c>
      <c r="C271" s="48" t="str">
        <f>IFERROR(IF(B271="","",IF(IF(B271&lt;=AantalBetalingen,1,0)*IF(GeleendBedrag*Rentevoet*Leningjaren*BegindatumLening&gt;0,1,0),TEXT(DATE(YEAR(BegindatumLening),MONTH(BegindatumLening)+B271,DAY(BegindatumLening)),"d-m-yyyy"),""),""),"")</f>
        <v/>
      </c>
      <c r="D271" s="49" t="str">
        <f>IFERROR(IF(IF(B271="","",IF($B271&lt;=AantalBetalingen,1,0)*IF(GeleendBedrag*Rentevoet*Leningjaren*BegindatumLening&gt;0,1,0),-FV(Rentevoet/12,ROW()-ROW(Lening[[#HEADERS],[BET.NR.]])-1,PMT(Rentevoet/12,AantalBetalingen,GeleendBedrag),GeleendBedrag),""),""),"")</f>
        <v/>
      </c>
      <c r="E271" s="49" t="str">
        <f>IFERROR(IF(IF(B271="","",IF($B271&lt;=AantalBetalingen,1,0)*IF(GeleendBedrag*Rentevoet*Leningjaren*BegindatumLening&gt;0,1,0),-PMT(Rentevoet/12,AantalBetalingen,GeleendBedrag),""),""),"")</f>
        <v/>
      </c>
      <c r="F271" s="49" t="str">
        <f>IFERROR(IF(IF($B271&lt;=AantalBetalingen,1,0)*IF(GeleendBedrag*Rentevoet*Leningjaren*BegindatumLening&gt;0,1,0),-PPMT(Rentevoet/12,ROW()-ROW(Lening[[#HEADERS],[BET.NR.]]),AantalBetalingen,GeleendBedrag),""),"")</f>
        <v/>
      </c>
      <c r="G271" s="49" t="str">
        <f>IFERROR(IF(IF($B271&lt;=AantalBetalingen,1,0)*IF(GeleendBedrag*Rentevoet*Leningjaren*BegindatumLening&gt;0,1,0),-IPMT(Rentevoet/12,$B271,AantalBetalingen,GeleendBedrag),""),"")</f>
        <v/>
      </c>
      <c r="H271" s="49" t="str">
        <f>IFERROR(IF(IF(B271="","",IF($B271&lt;=AantalBetalingen,1,0)*IF(GeleendBedrag*Rentevoet*Leningjaren*BegindatumLening&gt;0,1,0),-FV(Rentevoet/12,$B271,PMT(Rentevoet/12,AantalBetalingen,GeleendBedrag),GeleendBedrag),""),""),"")</f>
        <v/>
      </c>
    </row>
    <row r="272" ht="22.5" hidden="1" customHeight="1">
      <c r="A272" s="46">
        <f>ROW()-ROW(Lening[[#HEADERS],[BET.NR.]])</f>
        <v>263</v>
      </c>
      <c r="B272" s="50" t="str">
        <f>IFERROR(IF(IF(ROW()-ROW(Lening!$9:$9)&lt;=AantalBetalingen,1,0)*IF(GeleendBedrag*Rentevoet*$D$5*BegindatumLening&gt;0,1,0),ROW()-ROW(Lening!$9:$9),""),"")</f>
        <v/>
      </c>
      <c r="C272" s="48" t="str">
        <f>IFERROR(IF(B272="","",IF(IF(B272&lt;=AantalBetalingen,1,0)*IF(GeleendBedrag*Rentevoet*Leningjaren*BegindatumLening&gt;0,1,0),TEXT(DATE(YEAR(BegindatumLening),MONTH(BegindatumLening)+B272,DAY(BegindatumLening)),"d-m-yyyy"),""),""),"")</f>
        <v/>
      </c>
      <c r="D272" s="49" t="str">
        <f>IFERROR(IF(IF(B272="","",IF($B272&lt;=AantalBetalingen,1,0)*IF(GeleendBedrag*Rentevoet*Leningjaren*BegindatumLening&gt;0,1,0),-FV(Rentevoet/12,ROW()-ROW(Lening[[#HEADERS],[BET.NR.]])-1,PMT(Rentevoet/12,AantalBetalingen,GeleendBedrag),GeleendBedrag),""),""),"")</f>
        <v/>
      </c>
      <c r="E272" s="49" t="str">
        <f>IFERROR(IF(IF(B272="","",IF($B272&lt;=AantalBetalingen,1,0)*IF(GeleendBedrag*Rentevoet*Leningjaren*BegindatumLening&gt;0,1,0),-PMT(Rentevoet/12,AantalBetalingen,GeleendBedrag),""),""),"")</f>
        <v/>
      </c>
      <c r="F272" s="49" t="str">
        <f>IFERROR(IF(IF($B272&lt;=AantalBetalingen,1,0)*IF(GeleendBedrag*Rentevoet*Leningjaren*BegindatumLening&gt;0,1,0),-PPMT(Rentevoet/12,ROW()-ROW(Lening[[#HEADERS],[BET.NR.]]),AantalBetalingen,GeleendBedrag),""),"")</f>
        <v/>
      </c>
      <c r="G272" s="49" t="str">
        <f>IFERROR(IF(IF($B272&lt;=AantalBetalingen,1,0)*IF(GeleendBedrag*Rentevoet*Leningjaren*BegindatumLening&gt;0,1,0),-IPMT(Rentevoet/12,$B272,AantalBetalingen,GeleendBedrag),""),"")</f>
        <v/>
      </c>
      <c r="H272" s="49" t="str">
        <f>IFERROR(IF(IF(B272="","",IF($B272&lt;=AantalBetalingen,1,0)*IF(GeleendBedrag*Rentevoet*Leningjaren*BegindatumLening&gt;0,1,0),-FV(Rentevoet/12,$B272,PMT(Rentevoet/12,AantalBetalingen,GeleendBedrag),GeleendBedrag),""),""),"")</f>
        <v/>
      </c>
    </row>
    <row r="273" ht="22.5" hidden="1" customHeight="1">
      <c r="A273" s="46">
        <f>ROW()-ROW(Lening[[#HEADERS],[BET.NR.]])</f>
        <v>264</v>
      </c>
      <c r="B273" s="50" t="str">
        <f>IFERROR(IF(IF(ROW()-ROW(Lening!$9:$9)&lt;=AantalBetalingen,1,0)*IF(GeleendBedrag*Rentevoet*$D$5*BegindatumLening&gt;0,1,0),ROW()-ROW(Lening!$9:$9),""),"")</f>
        <v/>
      </c>
      <c r="C273" s="48" t="str">
        <f>IFERROR(IF(B273="","",IF(IF(B273&lt;=AantalBetalingen,1,0)*IF(GeleendBedrag*Rentevoet*Leningjaren*BegindatumLening&gt;0,1,0),TEXT(DATE(YEAR(BegindatumLening),MONTH(BegindatumLening)+B273,DAY(BegindatumLening)),"d-m-yyyy"),""),""),"")</f>
        <v/>
      </c>
      <c r="D273" s="49" t="str">
        <f>IFERROR(IF(IF(B273="","",IF($B273&lt;=AantalBetalingen,1,0)*IF(GeleendBedrag*Rentevoet*Leningjaren*BegindatumLening&gt;0,1,0),-FV(Rentevoet/12,ROW()-ROW(Lening[[#HEADERS],[BET.NR.]])-1,PMT(Rentevoet/12,AantalBetalingen,GeleendBedrag),GeleendBedrag),""),""),"")</f>
        <v/>
      </c>
      <c r="E273" s="49" t="str">
        <f>IFERROR(IF(IF(B273="","",IF($B273&lt;=AantalBetalingen,1,0)*IF(GeleendBedrag*Rentevoet*Leningjaren*BegindatumLening&gt;0,1,0),-PMT(Rentevoet/12,AantalBetalingen,GeleendBedrag),""),""),"")</f>
        <v/>
      </c>
      <c r="F273" s="49" t="str">
        <f>IFERROR(IF(IF($B273&lt;=AantalBetalingen,1,0)*IF(GeleendBedrag*Rentevoet*Leningjaren*BegindatumLening&gt;0,1,0),-PPMT(Rentevoet/12,ROW()-ROW(Lening[[#HEADERS],[BET.NR.]]),AantalBetalingen,GeleendBedrag),""),"")</f>
        <v/>
      </c>
      <c r="G273" s="49" t="str">
        <f>IFERROR(IF(IF($B273&lt;=AantalBetalingen,1,0)*IF(GeleendBedrag*Rentevoet*Leningjaren*BegindatumLening&gt;0,1,0),-IPMT(Rentevoet/12,$B273,AantalBetalingen,GeleendBedrag),""),"")</f>
        <v/>
      </c>
      <c r="H273" s="49" t="str">
        <f>IFERROR(IF(IF(B273="","",IF($B273&lt;=AantalBetalingen,1,0)*IF(GeleendBedrag*Rentevoet*Leningjaren*BegindatumLening&gt;0,1,0),-FV(Rentevoet/12,$B273,PMT(Rentevoet/12,AantalBetalingen,GeleendBedrag),GeleendBedrag),""),""),"")</f>
        <v/>
      </c>
    </row>
    <row r="274" ht="22.5" hidden="1" customHeight="1">
      <c r="A274" s="46">
        <f>ROW()-ROW(Lening[[#HEADERS],[BET.NR.]])</f>
        <v>265</v>
      </c>
      <c r="B274" s="50" t="str">
        <f>IFERROR(IF(IF(ROW()-ROW(Lening!$9:$9)&lt;=AantalBetalingen,1,0)*IF(GeleendBedrag*Rentevoet*$D$5*BegindatumLening&gt;0,1,0),ROW()-ROW(Lening!$9:$9),""),"")</f>
        <v/>
      </c>
      <c r="C274" s="48" t="str">
        <f>IFERROR(IF(B274="","",IF(IF(B274&lt;=AantalBetalingen,1,0)*IF(GeleendBedrag*Rentevoet*Leningjaren*BegindatumLening&gt;0,1,0),TEXT(DATE(YEAR(BegindatumLening),MONTH(BegindatumLening)+B274,DAY(BegindatumLening)),"d-m-yyyy"),""),""),"")</f>
        <v/>
      </c>
      <c r="D274" s="49" t="str">
        <f>IFERROR(IF(IF(B274="","",IF($B274&lt;=AantalBetalingen,1,0)*IF(GeleendBedrag*Rentevoet*Leningjaren*BegindatumLening&gt;0,1,0),-FV(Rentevoet/12,ROW()-ROW(Lening[[#HEADERS],[BET.NR.]])-1,PMT(Rentevoet/12,AantalBetalingen,GeleendBedrag),GeleendBedrag),""),""),"")</f>
        <v/>
      </c>
      <c r="E274" s="49" t="str">
        <f>IFERROR(IF(IF(B274="","",IF($B274&lt;=AantalBetalingen,1,0)*IF(GeleendBedrag*Rentevoet*Leningjaren*BegindatumLening&gt;0,1,0),-PMT(Rentevoet/12,AantalBetalingen,GeleendBedrag),""),""),"")</f>
        <v/>
      </c>
      <c r="F274" s="49" t="str">
        <f>IFERROR(IF(IF($B274&lt;=AantalBetalingen,1,0)*IF(GeleendBedrag*Rentevoet*Leningjaren*BegindatumLening&gt;0,1,0),-PPMT(Rentevoet/12,ROW()-ROW(Lening[[#HEADERS],[BET.NR.]]),AantalBetalingen,GeleendBedrag),""),"")</f>
        <v/>
      </c>
      <c r="G274" s="49" t="str">
        <f>IFERROR(IF(IF($B274&lt;=AantalBetalingen,1,0)*IF(GeleendBedrag*Rentevoet*Leningjaren*BegindatumLening&gt;0,1,0),-IPMT(Rentevoet/12,$B274,AantalBetalingen,GeleendBedrag),""),"")</f>
        <v/>
      </c>
      <c r="H274" s="49" t="str">
        <f>IFERROR(IF(IF(B274="","",IF($B274&lt;=AantalBetalingen,1,0)*IF(GeleendBedrag*Rentevoet*Leningjaren*BegindatumLening&gt;0,1,0),-FV(Rentevoet/12,$B274,PMT(Rentevoet/12,AantalBetalingen,GeleendBedrag),GeleendBedrag),""),""),"")</f>
        <v/>
      </c>
    </row>
    <row r="275" ht="22.5" hidden="1" customHeight="1">
      <c r="A275" s="46">
        <f>ROW()-ROW(Lening[[#HEADERS],[BET.NR.]])</f>
        <v>266</v>
      </c>
      <c r="B275" s="50" t="str">
        <f>IFERROR(IF(IF(ROW()-ROW(Lening!$9:$9)&lt;=AantalBetalingen,1,0)*IF(GeleendBedrag*Rentevoet*$D$5*BegindatumLening&gt;0,1,0),ROW()-ROW(Lening!$9:$9),""),"")</f>
        <v/>
      </c>
      <c r="C275" s="48" t="str">
        <f>IFERROR(IF(B275="","",IF(IF(B275&lt;=AantalBetalingen,1,0)*IF(GeleendBedrag*Rentevoet*Leningjaren*BegindatumLening&gt;0,1,0),TEXT(DATE(YEAR(BegindatumLening),MONTH(BegindatumLening)+B275,DAY(BegindatumLening)),"d-m-yyyy"),""),""),"")</f>
        <v/>
      </c>
      <c r="D275" s="49" t="str">
        <f>IFERROR(IF(IF(B275="","",IF($B275&lt;=AantalBetalingen,1,0)*IF(GeleendBedrag*Rentevoet*Leningjaren*BegindatumLening&gt;0,1,0),-FV(Rentevoet/12,ROW()-ROW(Lening[[#HEADERS],[BET.NR.]])-1,PMT(Rentevoet/12,AantalBetalingen,GeleendBedrag),GeleendBedrag),""),""),"")</f>
        <v/>
      </c>
      <c r="E275" s="49" t="str">
        <f>IFERROR(IF(IF(B275="","",IF($B275&lt;=AantalBetalingen,1,0)*IF(GeleendBedrag*Rentevoet*Leningjaren*BegindatumLening&gt;0,1,0),-PMT(Rentevoet/12,AantalBetalingen,GeleendBedrag),""),""),"")</f>
        <v/>
      </c>
      <c r="F275" s="49" t="str">
        <f>IFERROR(IF(IF($B275&lt;=AantalBetalingen,1,0)*IF(GeleendBedrag*Rentevoet*Leningjaren*BegindatumLening&gt;0,1,0),-PPMT(Rentevoet/12,ROW()-ROW(Lening[[#HEADERS],[BET.NR.]]),AantalBetalingen,GeleendBedrag),""),"")</f>
        <v/>
      </c>
      <c r="G275" s="49" t="str">
        <f>IFERROR(IF(IF($B275&lt;=AantalBetalingen,1,0)*IF(GeleendBedrag*Rentevoet*Leningjaren*BegindatumLening&gt;0,1,0),-IPMT(Rentevoet/12,$B275,AantalBetalingen,GeleendBedrag),""),"")</f>
        <v/>
      </c>
      <c r="H275" s="49" t="str">
        <f>IFERROR(IF(IF(B275="","",IF($B275&lt;=AantalBetalingen,1,0)*IF(GeleendBedrag*Rentevoet*Leningjaren*BegindatumLening&gt;0,1,0),-FV(Rentevoet/12,$B275,PMT(Rentevoet/12,AantalBetalingen,GeleendBedrag),GeleendBedrag),""),""),"")</f>
        <v/>
      </c>
    </row>
    <row r="276" ht="22.5" hidden="1" customHeight="1">
      <c r="A276" s="46">
        <f>ROW()-ROW(Lening[[#HEADERS],[BET.NR.]])</f>
        <v>267</v>
      </c>
      <c r="B276" s="50" t="str">
        <f>IFERROR(IF(IF(ROW()-ROW(Lening!$9:$9)&lt;=AantalBetalingen,1,0)*IF(GeleendBedrag*Rentevoet*$D$5*BegindatumLening&gt;0,1,0),ROW()-ROW(Lening!$9:$9),""),"")</f>
        <v/>
      </c>
      <c r="C276" s="48" t="str">
        <f>IFERROR(IF(B276="","",IF(IF(B276&lt;=AantalBetalingen,1,0)*IF(GeleendBedrag*Rentevoet*Leningjaren*BegindatumLening&gt;0,1,0),TEXT(DATE(YEAR(BegindatumLening),MONTH(BegindatumLening)+B276,DAY(BegindatumLening)),"d-m-yyyy"),""),""),"")</f>
        <v/>
      </c>
      <c r="D276" s="49" t="str">
        <f>IFERROR(IF(IF(B276="","",IF($B276&lt;=AantalBetalingen,1,0)*IF(GeleendBedrag*Rentevoet*Leningjaren*BegindatumLening&gt;0,1,0),-FV(Rentevoet/12,ROW()-ROW(Lening[[#HEADERS],[BET.NR.]])-1,PMT(Rentevoet/12,AantalBetalingen,GeleendBedrag),GeleendBedrag),""),""),"")</f>
        <v/>
      </c>
      <c r="E276" s="49" t="str">
        <f>IFERROR(IF(IF(B276="","",IF($B276&lt;=AantalBetalingen,1,0)*IF(GeleendBedrag*Rentevoet*Leningjaren*BegindatumLening&gt;0,1,0),-PMT(Rentevoet/12,AantalBetalingen,GeleendBedrag),""),""),"")</f>
        <v/>
      </c>
      <c r="F276" s="49" t="str">
        <f>IFERROR(IF(IF($B276&lt;=AantalBetalingen,1,0)*IF(GeleendBedrag*Rentevoet*Leningjaren*BegindatumLening&gt;0,1,0),-PPMT(Rentevoet/12,ROW()-ROW(Lening[[#HEADERS],[BET.NR.]]),AantalBetalingen,GeleendBedrag),""),"")</f>
        <v/>
      </c>
      <c r="G276" s="49" t="str">
        <f>IFERROR(IF(IF($B276&lt;=AantalBetalingen,1,0)*IF(GeleendBedrag*Rentevoet*Leningjaren*BegindatumLening&gt;0,1,0),-IPMT(Rentevoet/12,$B276,AantalBetalingen,GeleendBedrag),""),"")</f>
        <v/>
      </c>
      <c r="H276" s="49" t="str">
        <f>IFERROR(IF(IF(B276="","",IF($B276&lt;=AantalBetalingen,1,0)*IF(GeleendBedrag*Rentevoet*Leningjaren*BegindatumLening&gt;0,1,0),-FV(Rentevoet/12,$B276,PMT(Rentevoet/12,AantalBetalingen,GeleendBedrag),GeleendBedrag),""),""),"")</f>
        <v/>
      </c>
    </row>
    <row r="277" ht="22.5" hidden="1" customHeight="1">
      <c r="A277" s="46">
        <f>ROW()-ROW(Lening[[#HEADERS],[BET.NR.]])</f>
        <v>268</v>
      </c>
      <c r="B277" s="50" t="str">
        <f>IFERROR(IF(IF(ROW()-ROW(Lening!$9:$9)&lt;=AantalBetalingen,1,0)*IF(GeleendBedrag*Rentevoet*$D$5*BegindatumLening&gt;0,1,0),ROW()-ROW(Lening!$9:$9),""),"")</f>
        <v/>
      </c>
      <c r="C277" s="48" t="str">
        <f>IFERROR(IF(B277="","",IF(IF(B277&lt;=AantalBetalingen,1,0)*IF(GeleendBedrag*Rentevoet*Leningjaren*BegindatumLening&gt;0,1,0),TEXT(DATE(YEAR(BegindatumLening),MONTH(BegindatumLening)+B277,DAY(BegindatumLening)),"d-m-yyyy"),""),""),"")</f>
        <v/>
      </c>
      <c r="D277" s="49" t="str">
        <f>IFERROR(IF(IF(B277="","",IF($B277&lt;=AantalBetalingen,1,0)*IF(GeleendBedrag*Rentevoet*Leningjaren*BegindatumLening&gt;0,1,0),-FV(Rentevoet/12,ROW()-ROW(Lening[[#HEADERS],[BET.NR.]])-1,PMT(Rentevoet/12,AantalBetalingen,GeleendBedrag),GeleendBedrag),""),""),"")</f>
        <v/>
      </c>
      <c r="E277" s="49" t="str">
        <f>IFERROR(IF(IF(B277="","",IF($B277&lt;=AantalBetalingen,1,0)*IF(GeleendBedrag*Rentevoet*Leningjaren*BegindatumLening&gt;0,1,0),-PMT(Rentevoet/12,AantalBetalingen,GeleendBedrag),""),""),"")</f>
        <v/>
      </c>
      <c r="F277" s="49" t="str">
        <f>IFERROR(IF(IF($B277&lt;=AantalBetalingen,1,0)*IF(GeleendBedrag*Rentevoet*Leningjaren*BegindatumLening&gt;0,1,0),-PPMT(Rentevoet/12,ROW()-ROW(Lening[[#HEADERS],[BET.NR.]]),AantalBetalingen,GeleendBedrag),""),"")</f>
        <v/>
      </c>
      <c r="G277" s="49" t="str">
        <f>IFERROR(IF(IF($B277&lt;=AantalBetalingen,1,0)*IF(GeleendBedrag*Rentevoet*Leningjaren*BegindatumLening&gt;0,1,0),-IPMT(Rentevoet/12,$B277,AantalBetalingen,GeleendBedrag),""),"")</f>
        <v/>
      </c>
      <c r="H277" s="49" t="str">
        <f>IFERROR(IF(IF(B277="","",IF($B277&lt;=AantalBetalingen,1,0)*IF(GeleendBedrag*Rentevoet*Leningjaren*BegindatumLening&gt;0,1,0),-FV(Rentevoet/12,$B277,PMT(Rentevoet/12,AantalBetalingen,GeleendBedrag),GeleendBedrag),""),""),"")</f>
        <v/>
      </c>
    </row>
    <row r="278" ht="22.5" hidden="1" customHeight="1">
      <c r="A278" s="46">
        <f>ROW()-ROW(Lening[[#HEADERS],[BET.NR.]])</f>
        <v>269</v>
      </c>
      <c r="B278" s="50" t="str">
        <f>IFERROR(IF(IF(ROW()-ROW(Lening!$9:$9)&lt;=AantalBetalingen,1,0)*IF(GeleendBedrag*Rentevoet*$D$5*BegindatumLening&gt;0,1,0),ROW()-ROW(Lening!$9:$9),""),"")</f>
        <v/>
      </c>
      <c r="C278" s="48" t="str">
        <f>IFERROR(IF(B278="","",IF(IF(B278&lt;=AantalBetalingen,1,0)*IF(GeleendBedrag*Rentevoet*Leningjaren*BegindatumLening&gt;0,1,0),TEXT(DATE(YEAR(BegindatumLening),MONTH(BegindatumLening)+B278,DAY(BegindatumLening)),"d-m-yyyy"),""),""),"")</f>
        <v/>
      </c>
      <c r="D278" s="49" t="str">
        <f>IFERROR(IF(IF(B278="","",IF($B278&lt;=AantalBetalingen,1,0)*IF(GeleendBedrag*Rentevoet*Leningjaren*BegindatumLening&gt;0,1,0),-FV(Rentevoet/12,ROW()-ROW(Lening[[#HEADERS],[BET.NR.]])-1,PMT(Rentevoet/12,AantalBetalingen,GeleendBedrag),GeleendBedrag),""),""),"")</f>
        <v/>
      </c>
      <c r="E278" s="49" t="str">
        <f>IFERROR(IF(IF(B278="","",IF($B278&lt;=AantalBetalingen,1,0)*IF(GeleendBedrag*Rentevoet*Leningjaren*BegindatumLening&gt;0,1,0),-PMT(Rentevoet/12,AantalBetalingen,GeleendBedrag),""),""),"")</f>
        <v/>
      </c>
      <c r="F278" s="49" t="str">
        <f>IFERROR(IF(IF($B278&lt;=AantalBetalingen,1,0)*IF(GeleendBedrag*Rentevoet*Leningjaren*BegindatumLening&gt;0,1,0),-PPMT(Rentevoet/12,ROW()-ROW(Lening[[#HEADERS],[BET.NR.]]),AantalBetalingen,GeleendBedrag),""),"")</f>
        <v/>
      </c>
      <c r="G278" s="49" t="str">
        <f>IFERROR(IF(IF($B278&lt;=AantalBetalingen,1,0)*IF(GeleendBedrag*Rentevoet*Leningjaren*BegindatumLening&gt;0,1,0),-IPMT(Rentevoet/12,$B278,AantalBetalingen,GeleendBedrag),""),"")</f>
        <v/>
      </c>
      <c r="H278" s="49" t="str">
        <f>IFERROR(IF(IF(B278="","",IF($B278&lt;=AantalBetalingen,1,0)*IF(GeleendBedrag*Rentevoet*Leningjaren*BegindatumLening&gt;0,1,0),-FV(Rentevoet/12,$B278,PMT(Rentevoet/12,AantalBetalingen,GeleendBedrag),GeleendBedrag),""),""),"")</f>
        <v/>
      </c>
    </row>
    <row r="279" ht="22.5" hidden="1" customHeight="1">
      <c r="A279" s="46">
        <f>ROW()-ROW(Lening[[#HEADERS],[BET.NR.]])</f>
        <v>270</v>
      </c>
      <c r="B279" s="50" t="str">
        <f>IFERROR(IF(IF(ROW()-ROW(Lening!$9:$9)&lt;=AantalBetalingen,1,0)*IF(GeleendBedrag*Rentevoet*$D$5*BegindatumLening&gt;0,1,0),ROW()-ROW(Lening!$9:$9),""),"")</f>
        <v/>
      </c>
      <c r="C279" s="48" t="str">
        <f>IFERROR(IF(B279="","",IF(IF(B279&lt;=AantalBetalingen,1,0)*IF(GeleendBedrag*Rentevoet*Leningjaren*BegindatumLening&gt;0,1,0),TEXT(DATE(YEAR(BegindatumLening),MONTH(BegindatumLening)+B279,DAY(BegindatumLening)),"d-m-yyyy"),""),""),"")</f>
        <v/>
      </c>
      <c r="D279" s="49" t="str">
        <f>IFERROR(IF(IF(B279="","",IF($B279&lt;=AantalBetalingen,1,0)*IF(GeleendBedrag*Rentevoet*Leningjaren*BegindatumLening&gt;0,1,0),-FV(Rentevoet/12,ROW()-ROW(Lening[[#HEADERS],[BET.NR.]])-1,PMT(Rentevoet/12,AantalBetalingen,GeleendBedrag),GeleendBedrag),""),""),"")</f>
        <v/>
      </c>
      <c r="E279" s="49" t="str">
        <f>IFERROR(IF(IF(B279="","",IF($B279&lt;=AantalBetalingen,1,0)*IF(GeleendBedrag*Rentevoet*Leningjaren*BegindatumLening&gt;0,1,0),-PMT(Rentevoet/12,AantalBetalingen,GeleendBedrag),""),""),"")</f>
        <v/>
      </c>
      <c r="F279" s="49" t="str">
        <f>IFERROR(IF(IF($B279&lt;=AantalBetalingen,1,0)*IF(GeleendBedrag*Rentevoet*Leningjaren*BegindatumLening&gt;0,1,0),-PPMT(Rentevoet/12,ROW()-ROW(Lening[[#HEADERS],[BET.NR.]]),AantalBetalingen,GeleendBedrag),""),"")</f>
        <v/>
      </c>
      <c r="G279" s="49" t="str">
        <f>IFERROR(IF(IF($B279&lt;=AantalBetalingen,1,0)*IF(GeleendBedrag*Rentevoet*Leningjaren*BegindatumLening&gt;0,1,0),-IPMT(Rentevoet/12,$B279,AantalBetalingen,GeleendBedrag),""),"")</f>
        <v/>
      </c>
      <c r="H279" s="49" t="str">
        <f>IFERROR(IF(IF(B279="","",IF($B279&lt;=AantalBetalingen,1,0)*IF(GeleendBedrag*Rentevoet*Leningjaren*BegindatumLening&gt;0,1,0),-FV(Rentevoet/12,$B279,PMT(Rentevoet/12,AantalBetalingen,GeleendBedrag),GeleendBedrag),""),""),"")</f>
        <v/>
      </c>
    </row>
    <row r="280" ht="22.5" hidden="1" customHeight="1">
      <c r="A280" s="46">
        <f>ROW()-ROW(Lening[[#HEADERS],[BET.NR.]])</f>
        <v>271</v>
      </c>
      <c r="B280" s="50" t="str">
        <f>IFERROR(IF(IF(ROW()-ROW(Lening!$9:$9)&lt;=AantalBetalingen,1,0)*IF(GeleendBedrag*Rentevoet*$D$5*BegindatumLening&gt;0,1,0),ROW()-ROW(Lening!$9:$9),""),"")</f>
        <v/>
      </c>
      <c r="C280" s="48" t="str">
        <f>IFERROR(IF(B280="","",IF(IF(B280&lt;=AantalBetalingen,1,0)*IF(GeleendBedrag*Rentevoet*Leningjaren*BegindatumLening&gt;0,1,0),TEXT(DATE(YEAR(BegindatumLening),MONTH(BegindatumLening)+B280,DAY(BegindatumLening)),"d-m-yyyy"),""),""),"")</f>
        <v/>
      </c>
      <c r="D280" s="49" t="str">
        <f>IFERROR(IF(IF(B280="","",IF($B280&lt;=AantalBetalingen,1,0)*IF(GeleendBedrag*Rentevoet*Leningjaren*BegindatumLening&gt;0,1,0),-FV(Rentevoet/12,ROW()-ROW(Lening[[#HEADERS],[BET.NR.]])-1,PMT(Rentevoet/12,AantalBetalingen,GeleendBedrag),GeleendBedrag),""),""),"")</f>
        <v/>
      </c>
      <c r="E280" s="49" t="str">
        <f>IFERROR(IF(IF(B280="","",IF($B280&lt;=AantalBetalingen,1,0)*IF(GeleendBedrag*Rentevoet*Leningjaren*BegindatumLening&gt;0,1,0),-PMT(Rentevoet/12,AantalBetalingen,GeleendBedrag),""),""),"")</f>
        <v/>
      </c>
      <c r="F280" s="49" t="str">
        <f>IFERROR(IF(IF($B280&lt;=AantalBetalingen,1,0)*IF(GeleendBedrag*Rentevoet*Leningjaren*BegindatumLening&gt;0,1,0),-PPMT(Rentevoet/12,ROW()-ROW(Lening[[#HEADERS],[BET.NR.]]),AantalBetalingen,GeleendBedrag),""),"")</f>
        <v/>
      </c>
      <c r="G280" s="49" t="str">
        <f>IFERROR(IF(IF($B280&lt;=AantalBetalingen,1,0)*IF(GeleendBedrag*Rentevoet*Leningjaren*BegindatumLening&gt;0,1,0),-IPMT(Rentevoet/12,$B280,AantalBetalingen,GeleendBedrag),""),"")</f>
        <v/>
      </c>
      <c r="H280" s="49" t="str">
        <f>IFERROR(IF(IF(B280="","",IF($B280&lt;=AantalBetalingen,1,0)*IF(GeleendBedrag*Rentevoet*Leningjaren*BegindatumLening&gt;0,1,0),-FV(Rentevoet/12,$B280,PMT(Rentevoet/12,AantalBetalingen,GeleendBedrag),GeleendBedrag),""),""),"")</f>
        <v/>
      </c>
    </row>
    <row r="281" ht="22.5" hidden="1" customHeight="1">
      <c r="A281" s="46">
        <f>ROW()-ROW(Lening[[#HEADERS],[BET.NR.]])</f>
        <v>272</v>
      </c>
      <c r="B281" s="50" t="str">
        <f>IFERROR(IF(IF(ROW()-ROW(Lening!$9:$9)&lt;=AantalBetalingen,1,0)*IF(GeleendBedrag*Rentevoet*$D$5*BegindatumLening&gt;0,1,0),ROW()-ROW(Lening!$9:$9),""),"")</f>
        <v/>
      </c>
      <c r="C281" s="48" t="str">
        <f>IFERROR(IF(B281="","",IF(IF(B281&lt;=AantalBetalingen,1,0)*IF(GeleendBedrag*Rentevoet*Leningjaren*BegindatumLening&gt;0,1,0),TEXT(DATE(YEAR(BegindatumLening),MONTH(BegindatumLening)+B281,DAY(BegindatumLening)),"d-m-yyyy"),""),""),"")</f>
        <v/>
      </c>
      <c r="D281" s="49" t="str">
        <f>IFERROR(IF(IF(B281="","",IF($B281&lt;=AantalBetalingen,1,0)*IF(GeleendBedrag*Rentevoet*Leningjaren*BegindatumLening&gt;0,1,0),-FV(Rentevoet/12,ROW()-ROW(Lening[[#HEADERS],[BET.NR.]])-1,PMT(Rentevoet/12,AantalBetalingen,GeleendBedrag),GeleendBedrag),""),""),"")</f>
        <v/>
      </c>
      <c r="E281" s="49" t="str">
        <f>IFERROR(IF(IF(B281="","",IF($B281&lt;=AantalBetalingen,1,0)*IF(GeleendBedrag*Rentevoet*Leningjaren*BegindatumLening&gt;0,1,0),-PMT(Rentevoet/12,AantalBetalingen,GeleendBedrag),""),""),"")</f>
        <v/>
      </c>
      <c r="F281" s="49" t="str">
        <f>IFERROR(IF(IF($B281&lt;=AantalBetalingen,1,0)*IF(GeleendBedrag*Rentevoet*Leningjaren*BegindatumLening&gt;0,1,0),-PPMT(Rentevoet/12,ROW()-ROW(Lening[[#HEADERS],[BET.NR.]]),AantalBetalingen,GeleendBedrag),""),"")</f>
        <v/>
      </c>
      <c r="G281" s="49" t="str">
        <f>IFERROR(IF(IF($B281&lt;=AantalBetalingen,1,0)*IF(GeleendBedrag*Rentevoet*Leningjaren*BegindatumLening&gt;0,1,0),-IPMT(Rentevoet/12,$B281,AantalBetalingen,GeleendBedrag),""),"")</f>
        <v/>
      </c>
      <c r="H281" s="49" t="str">
        <f>IFERROR(IF(IF(B281="","",IF($B281&lt;=AantalBetalingen,1,0)*IF(GeleendBedrag*Rentevoet*Leningjaren*BegindatumLening&gt;0,1,0),-FV(Rentevoet/12,$B281,PMT(Rentevoet/12,AantalBetalingen,GeleendBedrag),GeleendBedrag),""),""),"")</f>
        <v/>
      </c>
    </row>
    <row r="282" ht="22.5" hidden="1" customHeight="1">
      <c r="A282" s="46">
        <f>ROW()-ROW(Lening[[#HEADERS],[BET.NR.]])</f>
        <v>273</v>
      </c>
      <c r="B282" s="50" t="str">
        <f>IFERROR(IF(IF(ROW()-ROW(Lening!$9:$9)&lt;=AantalBetalingen,1,0)*IF(GeleendBedrag*Rentevoet*$D$5*BegindatumLening&gt;0,1,0),ROW()-ROW(Lening!$9:$9),""),"")</f>
        <v/>
      </c>
      <c r="C282" s="48" t="str">
        <f>IFERROR(IF(B282="","",IF(IF(B282&lt;=AantalBetalingen,1,0)*IF(GeleendBedrag*Rentevoet*Leningjaren*BegindatumLening&gt;0,1,0),TEXT(DATE(YEAR(BegindatumLening),MONTH(BegindatumLening)+B282,DAY(BegindatumLening)),"d-m-yyyy"),""),""),"")</f>
        <v/>
      </c>
      <c r="D282" s="49" t="str">
        <f>IFERROR(IF(IF(B282="","",IF($B282&lt;=AantalBetalingen,1,0)*IF(GeleendBedrag*Rentevoet*Leningjaren*BegindatumLening&gt;0,1,0),-FV(Rentevoet/12,ROW()-ROW(Lening[[#HEADERS],[BET.NR.]])-1,PMT(Rentevoet/12,AantalBetalingen,GeleendBedrag),GeleendBedrag),""),""),"")</f>
        <v/>
      </c>
      <c r="E282" s="49" t="str">
        <f>IFERROR(IF(IF(B282="","",IF($B282&lt;=AantalBetalingen,1,0)*IF(GeleendBedrag*Rentevoet*Leningjaren*BegindatumLening&gt;0,1,0),-PMT(Rentevoet/12,AantalBetalingen,GeleendBedrag),""),""),"")</f>
        <v/>
      </c>
      <c r="F282" s="49" t="str">
        <f>IFERROR(IF(IF($B282&lt;=AantalBetalingen,1,0)*IF(GeleendBedrag*Rentevoet*Leningjaren*BegindatumLening&gt;0,1,0),-PPMT(Rentevoet/12,ROW()-ROW(Lening[[#HEADERS],[BET.NR.]]),AantalBetalingen,GeleendBedrag),""),"")</f>
        <v/>
      </c>
      <c r="G282" s="49" t="str">
        <f>IFERROR(IF(IF($B282&lt;=AantalBetalingen,1,0)*IF(GeleendBedrag*Rentevoet*Leningjaren*BegindatumLening&gt;0,1,0),-IPMT(Rentevoet/12,$B282,AantalBetalingen,GeleendBedrag),""),"")</f>
        <v/>
      </c>
      <c r="H282" s="49" t="str">
        <f>IFERROR(IF(IF(B282="","",IF($B282&lt;=AantalBetalingen,1,0)*IF(GeleendBedrag*Rentevoet*Leningjaren*BegindatumLening&gt;0,1,0),-FV(Rentevoet/12,$B282,PMT(Rentevoet/12,AantalBetalingen,GeleendBedrag),GeleendBedrag),""),""),"")</f>
        <v/>
      </c>
    </row>
    <row r="283" ht="22.5" hidden="1" customHeight="1">
      <c r="A283" s="46">
        <f>ROW()-ROW(Lening[[#HEADERS],[BET.NR.]])</f>
        <v>274</v>
      </c>
      <c r="B283" s="50" t="str">
        <f>IFERROR(IF(IF(ROW()-ROW(Lening!$9:$9)&lt;=AantalBetalingen,1,0)*IF(GeleendBedrag*Rentevoet*$D$5*BegindatumLening&gt;0,1,0),ROW()-ROW(Lening!$9:$9),""),"")</f>
        <v/>
      </c>
      <c r="C283" s="48" t="str">
        <f>IFERROR(IF(B283="","",IF(IF(B283&lt;=AantalBetalingen,1,0)*IF(GeleendBedrag*Rentevoet*Leningjaren*BegindatumLening&gt;0,1,0),TEXT(DATE(YEAR(BegindatumLening),MONTH(BegindatumLening)+B283,DAY(BegindatumLening)),"d-m-yyyy"),""),""),"")</f>
        <v/>
      </c>
      <c r="D283" s="49" t="str">
        <f>IFERROR(IF(IF(B283="","",IF($B283&lt;=AantalBetalingen,1,0)*IF(GeleendBedrag*Rentevoet*Leningjaren*BegindatumLening&gt;0,1,0),-FV(Rentevoet/12,ROW()-ROW(Lening[[#HEADERS],[BET.NR.]])-1,PMT(Rentevoet/12,AantalBetalingen,GeleendBedrag),GeleendBedrag),""),""),"")</f>
        <v/>
      </c>
      <c r="E283" s="49" t="str">
        <f>IFERROR(IF(IF(B283="","",IF($B283&lt;=AantalBetalingen,1,0)*IF(GeleendBedrag*Rentevoet*Leningjaren*BegindatumLening&gt;0,1,0),-PMT(Rentevoet/12,AantalBetalingen,GeleendBedrag),""),""),"")</f>
        <v/>
      </c>
      <c r="F283" s="49" t="str">
        <f>IFERROR(IF(IF($B283&lt;=AantalBetalingen,1,0)*IF(GeleendBedrag*Rentevoet*Leningjaren*BegindatumLening&gt;0,1,0),-PPMT(Rentevoet/12,ROW()-ROW(Lening[[#HEADERS],[BET.NR.]]),AantalBetalingen,GeleendBedrag),""),"")</f>
        <v/>
      </c>
      <c r="G283" s="49" t="str">
        <f>IFERROR(IF(IF($B283&lt;=AantalBetalingen,1,0)*IF(GeleendBedrag*Rentevoet*Leningjaren*BegindatumLening&gt;0,1,0),-IPMT(Rentevoet/12,$B283,AantalBetalingen,GeleendBedrag),""),"")</f>
        <v/>
      </c>
      <c r="H283" s="49" t="str">
        <f>IFERROR(IF(IF(B283="","",IF($B283&lt;=AantalBetalingen,1,0)*IF(GeleendBedrag*Rentevoet*Leningjaren*BegindatumLening&gt;0,1,0),-FV(Rentevoet/12,$B283,PMT(Rentevoet/12,AantalBetalingen,GeleendBedrag),GeleendBedrag),""),""),"")</f>
        <v/>
      </c>
    </row>
    <row r="284" ht="22.5" hidden="1" customHeight="1">
      <c r="A284" s="46">
        <f>ROW()-ROW(Lening[[#HEADERS],[BET.NR.]])</f>
        <v>275</v>
      </c>
      <c r="B284" s="50" t="str">
        <f>IFERROR(IF(IF(ROW()-ROW(Lening!$9:$9)&lt;=AantalBetalingen,1,0)*IF(GeleendBedrag*Rentevoet*$D$5*BegindatumLening&gt;0,1,0),ROW()-ROW(Lening!$9:$9),""),"")</f>
        <v/>
      </c>
      <c r="C284" s="48" t="str">
        <f>IFERROR(IF(B284="","",IF(IF(B284&lt;=AantalBetalingen,1,0)*IF(GeleendBedrag*Rentevoet*Leningjaren*BegindatumLening&gt;0,1,0),TEXT(DATE(YEAR(BegindatumLening),MONTH(BegindatumLening)+B284,DAY(BegindatumLening)),"d-m-yyyy"),""),""),"")</f>
        <v/>
      </c>
      <c r="D284" s="49" t="str">
        <f>IFERROR(IF(IF(B284="","",IF($B284&lt;=AantalBetalingen,1,0)*IF(GeleendBedrag*Rentevoet*Leningjaren*BegindatumLening&gt;0,1,0),-FV(Rentevoet/12,ROW()-ROW(Lening[[#HEADERS],[BET.NR.]])-1,PMT(Rentevoet/12,AantalBetalingen,GeleendBedrag),GeleendBedrag),""),""),"")</f>
        <v/>
      </c>
      <c r="E284" s="49" t="str">
        <f>IFERROR(IF(IF(B284="","",IF($B284&lt;=AantalBetalingen,1,0)*IF(GeleendBedrag*Rentevoet*Leningjaren*BegindatumLening&gt;0,1,0),-PMT(Rentevoet/12,AantalBetalingen,GeleendBedrag),""),""),"")</f>
        <v/>
      </c>
      <c r="F284" s="49" t="str">
        <f>IFERROR(IF(IF($B284&lt;=AantalBetalingen,1,0)*IF(GeleendBedrag*Rentevoet*Leningjaren*BegindatumLening&gt;0,1,0),-PPMT(Rentevoet/12,ROW()-ROW(Lening[[#HEADERS],[BET.NR.]]),AantalBetalingen,GeleendBedrag),""),"")</f>
        <v/>
      </c>
      <c r="G284" s="49" t="str">
        <f>IFERROR(IF(IF($B284&lt;=AantalBetalingen,1,0)*IF(GeleendBedrag*Rentevoet*Leningjaren*BegindatumLening&gt;0,1,0),-IPMT(Rentevoet/12,$B284,AantalBetalingen,GeleendBedrag),""),"")</f>
        <v/>
      </c>
      <c r="H284" s="49" t="str">
        <f>IFERROR(IF(IF(B284="","",IF($B284&lt;=AantalBetalingen,1,0)*IF(GeleendBedrag*Rentevoet*Leningjaren*BegindatumLening&gt;0,1,0),-FV(Rentevoet/12,$B284,PMT(Rentevoet/12,AantalBetalingen,GeleendBedrag),GeleendBedrag),""),""),"")</f>
        <v/>
      </c>
    </row>
    <row r="285" ht="22.5" hidden="1" customHeight="1">
      <c r="A285" s="46">
        <f>ROW()-ROW(Lening[[#HEADERS],[BET.NR.]])</f>
        <v>276</v>
      </c>
      <c r="B285" s="50" t="str">
        <f>IFERROR(IF(IF(ROW()-ROW(Lening!$9:$9)&lt;=AantalBetalingen,1,0)*IF(GeleendBedrag*Rentevoet*$D$5*BegindatumLening&gt;0,1,0),ROW()-ROW(Lening!$9:$9),""),"")</f>
        <v/>
      </c>
      <c r="C285" s="48" t="str">
        <f>IFERROR(IF(B285="","",IF(IF(B285&lt;=AantalBetalingen,1,0)*IF(GeleendBedrag*Rentevoet*Leningjaren*BegindatumLening&gt;0,1,0),TEXT(DATE(YEAR(BegindatumLening),MONTH(BegindatumLening)+B285,DAY(BegindatumLening)),"d-m-yyyy"),""),""),"")</f>
        <v/>
      </c>
      <c r="D285" s="49" t="str">
        <f>IFERROR(IF(IF(B285="","",IF($B285&lt;=AantalBetalingen,1,0)*IF(GeleendBedrag*Rentevoet*Leningjaren*BegindatumLening&gt;0,1,0),-FV(Rentevoet/12,ROW()-ROW(Lening[[#HEADERS],[BET.NR.]])-1,PMT(Rentevoet/12,AantalBetalingen,GeleendBedrag),GeleendBedrag),""),""),"")</f>
        <v/>
      </c>
      <c r="E285" s="49" t="str">
        <f>IFERROR(IF(IF(B285="","",IF($B285&lt;=AantalBetalingen,1,0)*IF(GeleendBedrag*Rentevoet*Leningjaren*BegindatumLening&gt;0,1,0),-PMT(Rentevoet/12,AantalBetalingen,GeleendBedrag),""),""),"")</f>
        <v/>
      </c>
      <c r="F285" s="49" t="str">
        <f>IFERROR(IF(IF($B285&lt;=AantalBetalingen,1,0)*IF(GeleendBedrag*Rentevoet*Leningjaren*BegindatumLening&gt;0,1,0),-PPMT(Rentevoet/12,ROW()-ROW(Lening[[#HEADERS],[BET.NR.]]),AantalBetalingen,GeleendBedrag),""),"")</f>
        <v/>
      </c>
      <c r="G285" s="49" t="str">
        <f>IFERROR(IF(IF($B285&lt;=AantalBetalingen,1,0)*IF(GeleendBedrag*Rentevoet*Leningjaren*BegindatumLening&gt;0,1,0),-IPMT(Rentevoet/12,$B285,AantalBetalingen,GeleendBedrag),""),"")</f>
        <v/>
      </c>
      <c r="H285" s="49" t="str">
        <f>IFERROR(IF(IF(B285="","",IF($B285&lt;=AantalBetalingen,1,0)*IF(GeleendBedrag*Rentevoet*Leningjaren*BegindatumLening&gt;0,1,0),-FV(Rentevoet/12,$B285,PMT(Rentevoet/12,AantalBetalingen,GeleendBedrag),GeleendBedrag),""),""),"")</f>
        <v/>
      </c>
    </row>
    <row r="286" ht="22.5" hidden="1" customHeight="1">
      <c r="A286" s="46">
        <f>ROW()-ROW(Lening[[#HEADERS],[BET.NR.]])</f>
        <v>277</v>
      </c>
      <c r="B286" s="50" t="str">
        <f>IFERROR(IF(IF(ROW()-ROW(Lening!$9:$9)&lt;=AantalBetalingen,1,0)*IF(GeleendBedrag*Rentevoet*$D$5*BegindatumLening&gt;0,1,0),ROW()-ROW(Lening!$9:$9),""),"")</f>
        <v/>
      </c>
      <c r="C286" s="48" t="str">
        <f>IFERROR(IF(B286="","",IF(IF(B286&lt;=AantalBetalingen,1,0)*IF(GeleendBedrag*Rentevoet*Leningjaren*BegindatumLening&gt;0,1,0),TEXT(DATE(YEAR(BegindatumLening),MONTH(BegindatumLening)+B286,DAY(BegindatumLening)),"d-m-yyyy"),""),""),"")</f>
        <v/>
      </c>
      <c r="D286" s="49" t="str">
        <f>IFERROR(IF(IF(B286="","",IF($B286&lt;=AantalBetalingen,1,0)*IF(GeleendBedrag*Rentevoet*Leningjaren*BegindatumLening&gt;0,1,0),-FV(Rentevoet/12,ROW()-ROW(Lening[[#HEADERS],[BET.NR.]])-1,PMT(Rentevoet/12,AantalBetalingen,GeleendBedrag),GeleendBedrag),""),""),"")</f>
        <v/>
      </c>
      <c r="E286" s="49" t="str">
        <f>IFERROR(IF(IF(B286="","",IF($B286&lt;=AantalBetalingen,1,0)*IF(GeleendBedrag*Rentevoet*Leningjaren*BegindatumLening&gt;0,1,0),-PMT(Rentevoet/12,AantalBetalingen,GeleendBedrag),""),""),"")</f>
        <v/>
      </c>
      <c r="F286" s="49" t="str">
        <f>IFERROR(IF(IF($B286&lt;=AantalBetalingen,1,0)*IF(GeleendBedrag*Rentevoet*Leningjaren*BegindatumLening&gt;0,1,0),-PPMT(Rentevoet/12,ROW()-ROW(Lening[[#HEADERS],[BET.NR.]]),AantalBetalingen,GeleendBedrag),""),"")</f>
        <v/>
      </c>
      <c r="G286" s="49" t="str">
        <f>IFERROR(IF(IF($B286&lt;=AantalBetalingen,1,0)*IF(GeleendBedrag*Rentevoet*Leningjaren*BegindatumLening&gt;0,1,0),-IPMT(Rentevoet/12,$B286,AantalBetalingen,GeleendBedrag),""),"")</f>
        <v/>
      </c>
      <c r="H286" s="49" t="str">
        <f>IFERROR(IF(IF(B286="","",IF($B286&lt;=AantalBetalingen,1,0)*IF(GeleendBedrag*Rentevoet*Leningjaren*BegindatumLening&gt;0,1,0),-FV(Rentevoet/12,$B286,PMT(Rentevoet/12,AantalBetalingen,GeleendBedrag),GeleendBedrag),""),""),"")</f>
        <v/>
      </c>
    </row>
    <row r="287" ht="22.5" hidden="1" customHeight="1">
      <c r="A287" s="46">
        <f>ROW()-ROW(Lening[[#HEADERS],[BET.NR.]])</f>
        <v>278</v>
      </c>
      <c r="B287" s="50" t="str">
        <f>IFERROR(IF(IF(ROW()-ROW(Lening!$9:$9)&lt;=AantalBetalingen,1,0)*IF(GeleendBedrag*Rentevoet*$D$5*BegindatumLening&gt;0,1,0),ROW()-ROW(Lening!$9:$9),""),"")</f>
        <v/>
      </c>
      <c r="C287" s="48" t="str">
        <f>IFERROR(IF(B287="","",IF(IF(B287&lt;=AantalBetalingen,1,0)*IF(GeleendBedrag*Rentevoet*Leningjaren*BegindatumLening&gt;0,1,0),TEXT(DATE(YEAR(BegindatumLening),MONTH(BegindatumLening)+B287,DAY(BegindatumLening)),"d-m-yyyy"),""),""),"")</f>
        <v/>
      </c>
      <c r="D287" s="49" t="str">
        <f>IFERROR(IF(IF(B287="","",IF($B287&lt;=AantalBetalingen,1,0)*IF(GeleendBedrag*Rentevoet*Leningjaren*BegindatumLening&gt;0,1,0),-FV(Rentevoet/12,ROW()-ROW(Lening[[#HEADERS],[BET.NR.]])-1,PMT(Rentevoet/12,AantalBetalingen,GeleendBedrag),GeleendBedrag),""),""),"")</f>
        <v/>
      </c>
      <c r="E287" s="49" t="str">
        <f>IFERROR(IF(IF(B287="","",IF($B287&lt;=AantalBetalingen,1,0)*IF(GeleendBedrag*Rentevoet*Leningjaren*BegindatumLening&gt;0,1,0),-PMT(Rentevoet/12,AantalBetalingen,GeleendBedrag),""),""),"")</f>
        <v/>
      </c>
      <c r="F287" s="49" t="str">
        <f>IFERROR(IF(IF($B287&lt;=AantalBetalingen,1,0)*IF(GeleendBedrag*Rentevoet*Leningjaren*BegindatumLening&gt;0,1,0),-PPMT(Rentevoet/12,ROW()-ROW(Lening[[#HEADERS],[BET.NR.]]),AantalBetalingen,GeleendBedrag),""),"")</f>
        <v/>
      </c>
      <c r="G287" s="49" t="str">
        <f>IFERROR(IF(IF($B287&lt;=AantalBetalingen,1,0)*IF(GeleendBedrag*Rentevoet*Leningjaren*BegindatumLening&gt;0,1,0),-IPMT(Rentevoet/12,$B287,AantalBetalingen,GeleendBedrag),""),"")</f>
        <v/>
      </c>
      <c r="H287" s="49" t="str">
        <f>IFERROR(IF(IF(B287="","",IF($B287&lt;=AantalBetalingen,1,0)*IF(GeleendBedrag*Rentevoet*Leningjaren*BegindatumLening&gt;0,1,0),-FV(Rentevoet/12,$B287,PMT(Rentevoet/12,AantalBetalingen,GeleendBedrag),GeleendBedrag),""),""),"")</f>
        <v/>
      </c>
    </row>
    <row r="288" ht="22.5" hidden="1" customHeight="1">
      <c r="A288" s="46">
        <f>ROW()-ROW(Lening[[#HEADERS],[BET.NR.]])</f>
        <v>279</v>
      </c>
      <c r="B288" s="50" t="str">
        <f>IFERROR(IF(IF(ROW()-ROW(Lening!$9:$9)&lt;=AantalBetalingen,1,0)*IF(GeleendBedrag*Rentevoet*$D$5*BegindatumLening&gt;0,1,0),ROW()-ROW(Lening!$9:$9),""),"")</f>
        <v/>
      </c>
      <c r="C288" s="48" t="str">
        <f>IFERROR(IF(B288="","",IF(IF(B288&lt;=AantalBetalingen,1,0)*IF(GeleendBedrag*Rentevoet*Leningjaren*BegindatumLening&gt;0,1,0),TEXT(DATE(YEAR(BegindatumLening),MONTH(BegindatumLening)+B288,DAY(BegindatumLening)),"d-m-yyyy"),""),""),"")</f>
        <v/>
      </c>
      <c r="D288" s="49" t="str">
        <f>IFERROR(IF(IF(B288="","",IF($B288&lt;=AantalBetalingen,1,0)*IF(GeleendBedrag*Rentevoet*Leningjaren*BegindatumLening&gt;0,1,0),-FV(Rentevoet/12,ROW()-ROW(Lening[[#HEADERS],[BET.NR.]])-1,PMT(Rentevoet/12,AantalBetalingen,GeleendBedrag),GeleendBedrag),""),""),"")</f>
        <v/>
      </c>
      <c r="E288" s="49" t="str">
        <f>IFERROR(IF(IF(B288="","",IF($B288&lt;=AantalBetalingen,1,0)*IF(GeleendBedrag*Rentevoet*Leningjaren*BegindatumLening&gt;0,1,0),-PMT(Rentevoet/12,AantalBetalingen,GeleendBedrag),""),""),"")</f>
        <v/>
      </c>
      <c r="F288" s="49" t="str">
        <f>IFERROR(IF(IF($B288&lt;=AantalBetalingen,1,0)*IF(GeleendBedrag*Rentevoet*Leningjaren*BegindatumLening&gt;0,1,0),-PPMT(Rentevoet/12,ROW()-ROW(Lening[[#HEADERS],[BET.NR.]]),AantalBetalingen,GeleendBedrag),""),"")</f>
        <v/>
      </c>
      <c r="G288" s="49" t="str">
        <f>IFERROR(IF(IF($B288&lt;=AantalBetalingen,1,0)*IF(GeleendBedrag*Rentevoet*Leningjaren*BegindatumLening&gt;0,1,0),-IPMT(Rentevoet/12,$B288,AantalBetalingen,GeleendBedrag),""),"")</f>
        <v/>
      </c>
      <c r="H288" s="49" t="str">
        <f>IFERROR(IF(IF(B288="","",IF($B288&lt;=AantalBetalingen,1,0)*IF(GeleendBedrag*Rentevoet*Leningjaren*BegindatumLening&gt;0,1,0),-FV(Rentevoet/12,$B288,PMT(Rentevoet/12,AantalBetalingen,GeleendBedrag),GeleendBedrag),""),""),"")</f>
        <v/>
      </c>
    </row>
    <row r="289" ht="22.5" hidden="1" customHeight="1">
      <c r="A289" s="46">
        <f>ROW()-ROW(Lening[[#HEADERS],[BET.NR.]])</f>
        <v>280</v>
      </c>
      <c r="B289" s="50" t="str">
        <f>IFERROR(IF(IF(ROW()-ROW(Lening!$9:$9)&lt;=AantalBetalingen,1,0)*IF(GeleendBedrag*Rentevoet*$D$5*BegindatumLening&gt;0,1,0),ROW()-ROW(Lening!$9:$9),""),"")</f>
        <v/>
      </c>
      <c r="C289" s="48" t="str">
        <f>IFERROR(IF(B289="","",IF(IF(B289&lt;=AantalBetalingen,1,0)*IF(GeleendBedrag*Rentevoet*Leningjaren*BegindatumLening&gt;0,1,0),TEXT(DATE(YEAR(BegindatumLening),MONTH(BegindatumLening)+B289,DAY(BegindatumLening)),"d-m-yyyy"),""),""),"")</f>
        <v/>
      </c>
      <c r="D289" s="49" t="str">
        <f>IFERROR(IF(IF(B289="","",IF($B289&lt;=AantalBetalingen,1,0)*IF(GeleendBedrag*Rentevoet*Leningjaren*BegindatumLening&gt;0,1,0),-FV(Rentevoet/12,ROW()-ROW(Lening[[#HEADERS],[BET.NR.]])-1,PMT(Rentevoet/12,AantalBetalingen,GeleendBedrag),GeleendBedrag),""),""),"")</f>
        <v/>
      </c>
      <c r="E289" s="49" t="str">
        <f>IFERROR(IF(IF(B289="","",IF($B289&lt;=AantalBetalingen,1,0)*IF(GeleendBedrag*Rentevoet*Leningjaren*BegindatumLening&gt;0,1,0),-PMT(Rentevoet/12,AantalBetalingen,GeleendBedrag),""),""),"")</f>
        <v/>
      </c>
      <c r="F289" s="49" t="str">
        <f>IFERROR(IF(IF($B289&lt;=AantalBetalingen,1,0)*IF(GeleendBedrag*Rentevoet*Leningjaren*BegindatumLening&gt;0,1,0),-PPMT(Rentevoet/12,ROW()-ROW(Lening[[#HEADERS],[BET.NR.]]),AantalBetalingen,GeleendBedrag),""),"")</f>
        <v/>
      </c>
      <c r="G289" s="49" t="str">
        <f>IFERROR(IF(IF($B289&lt;=AantalBetalingen,1,0)*IF(GeleendBedrag*Rentevoet*Leningjaren*BegindatumLening&gt;0,1,0),-IPMT(Rentevoet/12,$B289,AantalBetalingen,GeleendBedrag),""),"")</f>
        <v/>
      </c>
      <c r="H289" s="49" t="str">
        <f>IFERROR(IF(IF(B289="","",IF($B289&lt;=AantalBetalingen,1,0)*IF(GeleendBedrag*Rentevoet*Leningjaren*BegindatumLening&gt;0,1,0),-FV(Rentevoet/12,$B289,PMT(Rentevoet/12,AantalBetalingen,GeleendBedrag),GeleendBedrag),""),""),"")</f>
        <v/>
      </c>
    </row>
    <row r="290" ht="22.5" hidden="1" customHeight="1">
      <c r="A290" s="46">
        <f>ROW()-ROW(Lening[[#HEADERS],[BET.NR.]])</f>
        <v>281</v>
      </c>
      <c r="B290" s="50" t="str">
        <f>IFERROR(IF(IF(ROW()-ROW(Lening!$9:$9)&lt;=AantalBetalingen,1,0)*IF(GeleendBedrag*Rentevoet*$D$5*BegindatumLening&gt;0,1,0),ROW()-ROW(Lening!$9:$9),""),"")</f>
        <v/>
      </c>
      <c r="C290" s="48" t="str">
        <f>IFERROR(IF(B290="","",IF(IF(B290&lt;=AantalBetalingen,1,0)*IF(GeleendBedrag*Rentevoet*Leningjaren*BegindatumLening&gt;0,1,0),TEXT(DATE(YEAR(BegindatumLening),MONTH(BegindatumLening)+B290,DAY(BegindatumLening)),"d-m-yyyy"),""),""),"")</f>
        <v/>
      </c>
      <c r="D290" s="49" t="str">
        <f>IFERROR(IF(IF(B290="","",IF($B290&lt;=AantalBetalingen,1,0)*IF(GeleendBedrag*Rentevoet*Leningjaren*BegindatumLening&gt;0,1,0),-FV(Rentevoet/12,ROW()-ROW(Lening[[#HEADERS],[BET.NR.]])-1,PMT(Rentevoet/12,AantalBetalingen,GeleendBedrag),GeleendBedrag),""),""),"")</f>
        <v/>
      </c>
      <c r="E290" s="49" t="str">
        <f>IFERROR(IF(IF(B290="","",IF($B290&lt;=AantalBetalingen,1,0)*IF(GeleendBedrag*Rentevoet*Leningjaren*BegindatumLening&gt;0,1,0),-PMT(Rentevoet/12,AantalBetalingen,GeleendBedrag),""),""),"")</f>
        <v/>
      </c>
      <c r="F290" s="49" t="str">
        <f>IFERROR(IF(IF($B290&lt;=AantalBetalingen,1,0)*IF(GeleendBedrag*Rentevoet*Leningjaren*BegindatumLening&gt;0,1,0),-PPMT(Rentevoet/12,ROW()-ROW(Lening[[#HEADERS],[BET.NR.]]),AantalBetalingen,GeleendBedrag),""),"")</f>
        <v/>
      </c>
      <c r="G290" s="49" t="str">
        <f>IFERROR(IF(IF($B290&lt;=AantalBetalingen,1,0)*IF(GeleendBedrag*Rentevoet*Leningjaren*BegindatumLening&gt;0,1,0),-IPMT(Rentevoet/12,$B290,AantalBetalingen,GeleendBedrag),""),"")</f>
        <v/>
      </c>
      <c r="H290" s="49" t="str">
        <f>IFERROR(IF(IF(B290="","",IF($B290&lt;=AantalBetalingen,1,0)*IF(GeleendBedrag*Rentevoet*Leningjaren*BegindatumLening&gt;0,1,0),-FV(Rentevoet/12,$B290,PMT(Rentevoet/12,AantalBetalingen,GeleendBedrag),GeleendBedrag),""),""),"")</f>
        <v/>
      </c>
    </row>
    <row r="291" ht="22.5" hidden="1" customHeight="1">
      <c r="A291" s="46">
        <f>ROW()-ROW(Lening[[#HEADERS],[BET.NR.]])</f>
        <v>282</v>
      </c>
      <c r="B291" s="50" t="str">
        <f>IFERROR(IF(IF(ROW()-ROW(Lening!$9:$9)&lt;=AantalBetalingen,1,0)*IF(GeleendBedrag*Rentevoet*$D$5*BegindatumLening&gt;0,1,0),ROW()-ROW(Lening!$9:$9),""),"")</f>
        <v/>
      </c>
      <c r="C291" s="48" t="str">
        <f>IFERROR(IF(B291="","",IF(IF(B291&lt;=AantalBetalingen,1,0)*IF(GeleendBedrag*Rentevoet*Leningjaren*BegindatumLening&gt;0,1,0),TEXT(DATE(YEAR(BegindatumLening),MONTH(BegindatumLening)+B291,DAY(BegindatumLening)),"d-m-yyyy"),""),""),"")</f>
        <v/>
      </c>
      <c r="D291" s="49" t="str">
        <f>IFERROR(IF(IF(B291="","",IF($B291&lt;=AantalBetalingen,1,0)*IF(GeleendBedrag*Rentevoet*Leningjaren*BegindatumLening&gt;0,1,0),-FV(Rentevoet/12,ROW()-ROW(Lening[[#HEADERS],[BET.NR.]])-1,PMT(Rentevoet/12,AantalBetalingen,GeleendBedrag),GeleendBedrag),""),""),"")</f>
        <v/>
      </c>
      <c r="E291" s="49" t="str">
        <f>IFERROR(IF(IF(B291="","",IF($B291&lt;=AantalBetalingen,1,0)*IF(GeleendBedrag*Rentevoet*Leningjaren*BegindatumLening&gt;0,1,0),-PMT(Rentevoet/12,AantalBetalingen,GeleendBedrag),""),""),"")</f>
        <v/>
      </c>
      <c r="F291" s="49" t="str">
        <f>IFERROR(IF(IF($B291&lt;=AantalBetalingen,1,0)*IF(GeleendBedrag*Rentevoet*Leningjaren*BegindatumLening&gt;0,1,0),-PPMT(Rentevoet/12,ROW()-ROW(Lening[[#HEADERS],[BET.NR.]]),AantalBetalingen,GeleendBedrag),""),"")</f>
        <v/>
      </c>
      <c r="G291" s="49" t="str">
        <f>IFERROR(IF(IF($B291&lt;=AantalBetalingen,1,0)*IF(GeleendBedrag*Rentevoet*Leningjaren*BegindatumLening&gt;0,1,0),-IPMT(Rentevoet/12,$B291,AantalBetalingen,GeleendBedrag),""),"")</f>
        <v/>
      </c>
      <c r="H291" s="49" t="str">
        <f>IFERROR(IF(IF(B291="","",IF($B291&lt;=AantalBetalingen,1,0)*IF(GeleendBedrag*Rentevoet*Leningjaren*BegindatumLening&gt;0,1,0),-FV(Rentevoet/12,$B291,PMT(Rentevoet/12,AantalBetalingen,GeleendBedrag),GeleendBedrag),""),""),"")</f>
        <v/>
      </c>
    </row>
    <row r="292" ht="22.5" hidden="1" customHeight="1">
      <c r="A292" s="46">
        <f>ROW()-ROW(Lening[[#HEADERS],[BET.NR.]])</f>
        <v>283</v>
      </c>
      <c r="B292" s="50" t="str">
        <f>IFERROR(IF(IF(ROW()-ROW(Lening!$9:$9)&lt;=AantalBetalingen,1,0)*IF(GeleendBedrag*Rentevoet*$D$5*BegindatumLening&gt;0,1,0),ROW()-ROW(Lening!$9:$9),""),"")</f>
        <v/>
      </c>
      <c r="C292" s="48" t="str">
        <f>IFERROR(IF(B292="","",IF(IF(B292&lt;=AantalBetalingen,1,0)*IF(GeleendBedrag*Rentevoet*Leningjaren*BegindatumLening&gt;0,1,0),TEXT(DATE(YEAR(BegindatumLening),MONTH(BegindatumLening)+B292,DAY(BegindatumLening)),"d-m-yyyy"),""),""),"")</f>
        <v/>
      </c>
      <c r="D292" s="49" t="str">
        <f>IFERROR(IF(IF(B292="","",IF($B292&lt;=AantalBetalingen,1,0)*IF(GeleendBedrag*Rentevoet*Leningjaren*BegindatumLening&gt;0,1,0),-FV(Rentevoet/12,ROW()-ROW(Lening[[#HEADERS],[BET.NR.]])-1,PMT(Rentevoet/12,AantalBetalingen,GeleendBedrag),GeleendBedrag),""),""),"")</f>
        <v/>
      </c>
      <c r="E292" s="49" t="str">
        <f>IFERROR(IF(IF(B292="","",IF($B292&lt;=AantalBetalingen,1,0)*IF(GeleendBedrag*Rentevoet*Leningjaren*BegindatumLening&gt;0,1,0),-PMT(Rentevoet/12,AantalBetalingen,GeleendBedrag),""),""),"")</f>
        <v/>
      </c>
      <c r="F292" s="49" t="str">
        <f>IFERROR(IF(IF($B292&lt;=AantalBetalingen,1,0)*IF(GeleendBedrag*Rentevoet*Leningjaren*BegindatumLening&gt;0,1,0),-PPMT(Rentevoet/12,ROW()-ROW(Lening[[#HEADERS],[BET.NR.]]),AantalBetalingen,GeleendBedrag),""),"")</f>
        <v/>
      </c>
      <c r="G292" s="49" t="str">
        <f>IFERROR(IF(IF($B292&lt;=AantalBetalingen,1,0)*IF(GeleendBedrag*Rentevoet*Leningjaren*BegindatumLening&gt;0,1,0),-IPMT(Rentevoet/12,$B292,AantalBetalingen,GeleendBedrag),""),"")</f>
        <v/>
      </c>
      <c r="H292" s="49" t="str">
        <f>IFERROR(IF(IF(B292="","",IF($B292&lt;=AantalBetalingen,1,0)*IF(GeleendBedrag*Rentevoet*Leningjaren*BegindatumLening&gt;0,1,0),-FV(Rentevoet/12,$B292,PMT(Rentevoet/12,AantalBetalingen,GeleendBedrag),GeleendBedrag),""),""),"")</f>
        <v/>
      </c>
    </row>
    <row r="293" ht="22.5" hidden="1" customHeight="1">
      <c r="A293" s="46">
        <f>ROW()-ROW(Lening[[#HEADERS],[BET.NR.]])</f>
        <v>284</v>
      </c>
      <c r="B293" s="50" t="str">
        <f>IFERROR(IF(IF(ROW()-ROW(Lening!$9:$9)&lt;=AantalBetalingen,1,0)*IF(GeleendBedrag*Rentevoet*$D$5*BegindatumLening&gt;0,1,0),ROW()-ROW(Lening!$9:$9),""),"")</f>
        <v/>
      </c>
      <c r="C293" s="48" t="str">
        <f>IFERROR(IF(B293="","",IF(IF(B293&lt;=AantalBetalingen,1,0)*IF(GeleendBedrag*Rentevoet*Leningjaren*BegindatumLening&gt;0,1,0),TEXT(DATE(YEAR(BegindatumLening),MONTH(BegindatumLening)+B293,DAY(BegindatumLening)),"d-m-yyyy"),""),""),"")</f>
        <v/>
      </c>
      <c r="D293" s="49" t="str">
        <f>IFERROR(IF(IF(B293="","",IF($B293&lt;=AantalBetalingen,1,0)*IF(GeleendBedrag*Rentevoet*Leningjaren*BegindatumLening&gt;0,1,0),-FV(Rentevoet/12,ROW()-ROW(Lening[[#HEADERS],[BET.NR.]])-1,PMT(Rentevoet/12,AantalBetalingen,GeleendBedrag),GeleendBedrag),""),""),"")</f>
        <v/>
      </c>
      <c r="E293" s="49" t="str">
        <f>IFERROR(IF(IF(B293="","",IF($B293&lt;=AantalBetalingen,1,0)*IF(GeleendBedrag*Rentevoet*Leningjaren*BegindatumLening&gt;0,1,0),-PMT(Rentevoet/12,AantalBetalingen,GeleendBedrag),""),""),"")</f>
        <v/>
      </c>
      <c r="F293" s="49" t="str">
        <f>IFERROR(IF(IF($B293&lt;=AantalBetalingen,1,0)*IF(GeleendBedrag*Rentevoet*Leningjaren*BegindatumLening&gt;0,1,0),-PPMT(Rentevoet/12,ROW()-ROW(Lening[[#HEADERS],[BET.NR.]]),AantalBetalingen,GeleendBedrag),""),"")</f>
        <v/>
      </c>
      <c r="G293" s="49" t="str">
        <f>IFERROR(IF(IF($B293&lt;=AantalBetalingen,1,0)*IF(GeleendBedrag*Rentevoet*Leningjaren*BegindatumLening&gt;0,1,0),-IPMT(Rentevoet/12,$B293,AantalBetalingen,GeleendBedrag),""),"")</f>
        <v/>
      </c>
      <c r="H293" s="49" t="str">
        <f>IFERROR(IF(IF(B293="","",IF($B293&lt;=AantalBetalingen,1,0)*IF(GeleendBedrag*Rentevoet*Leningjaren*BegindatumLening&gt;0,1,0),-FV(Rentevoet/12,$B293,PMT(Rentevoet/12,AantalBetalingen,GeleendBedrag),GeleendBedrag),""),""),"")</f>
        <v/>
      </c>
    </row>
    <row r="294" ht="22.5" hidden="1" customHeight="1">
      <c r="A294" s="46">
        <f>ROW()-ROW(Lening[[#HEADERS],[BET.NR.]])</f>
        <v>285</v>
      </c>
      <c r="B294" s="50" t="str">
        <f>IFERROR(IF(IF(ROW()-ROW(Lening!$9:$9)&lt;=AantalBetalingen,1,0)*IF(GeleendBedrag*Rentevoet*$D$5*BegindatumLening&gt;0,1,0),ROW()-ROW(Lening!$9:$9),""),"")</f>
        <v/>
      </c>
      <c r="C294" s="48" t="str">
        <f>IFERROR(IF(B294="","",IF(IF(B294&lt;=AantalBetalingen,1,0)*IF(GeleendBedrag*Rentevoet*Leningjaren*BegindatumLening&gt;0,1,0),TEXT(DATE(YEAR(BegindatumLening),MONTH(BegindatumLening)+B294,DAY(BegindatumLening)),"d-m-yyyy"),""),""),"")</f>
        <v/>
      </c>
      <c r="D294" s="49" t="str">
        <f>IFERROR(IF(IF(B294="","",IF($B294&lt;=AantalBetalingen,1,0)*IF(GeleendBedrag*Rentevoet*Leningjaren*BegindatumLening&gt;0,1,0),-FV(Rentevoet/12,ROW()-ROW(Lening[[#HEADERS],[BET.NR.]])-1,PMT(Rentevoet/12,AantalBetalingen,GeleendBedrag),GeleendBedrag),""),""),"")</f>
        <v/>
      </c>
      <c r="E294" s="49" t="str">
        <f>IFERROR(IF(IF(B294="","",IF($B294&lt;=AantalBetalingen,1,0)*IF(GeleendBedrag*Rentevoet*Leningjaren*BegindatumLening&gt;0,1,0),-PMT(Rentevoet/12,AantalBetalingen,GeleendBedrag),""),""),"")</f>
        <v/>
      </c>
      <c r="F294" s="49" t="str">
        <f>IFERROR(IF(IF($B294&lt;=AantalBetalingen,1,0)*IF(GeleendBedrag*Rentevoet*Leningjaren*BegindatumLening&gt;0,1,0),-PPMT(Rentevoet/12,ROW()-ROW(Lening[[#HEADERS],[BET.NR.]]),AantalBetalingen,GeleendBedrag),""),"")</f>
        <v/>
      </c>
      <c r="G294" s="49" t="str">
        <f>IFERROR(IF(IF($B294&lt;=AantalBetalingen,1,0)*IF(GeleendBedrag*Rentevoet*Leningjaren*BegindatumLening&gt;0,1,0),-IPMT(Rentevoet/12,$B294,AantalBetalingen,GeleendBedrag),""),"")</f>
        <v/>
      </c>
      <c r="H294" s="49" t="str">
        <f>IFERROR(IF(IF(B294="","",IF($B294&lt;=AantalBetalingen,1,0)*IF(GeleendBedrag*Rentevoet*Leningjaren*BegindatumLening&gt;0,1,0),-FV(Rentevoet/12,$B294,PMT(Rentevoet/12,AantalBetalingen,GeleendBedrag),GeleendBedrag),""),""),"")</f>
        <v/>
      </c>
    </row>
    <row r="295" ht="22.5" hidden="1" customHeight="1">
      <c r="A295" s="46">
        <f>ROW()-ROW(Lening[[#HEADERS],[BET.NR.]])</f>
        <v>286</v>
      </c>
      <c r="B295" s="50" t="str">
        <f>IFERROR(IF(IF(ROW()-ROW(Lening!$9:$9)&lt;=AantalBetalingen,1,0)*IF(GeleendBedrag*Rentevoet*$D$5*BegindatumLening&gt;0,1,0),ROW()-ROW(Lening!$9:$9),""),"")</f>
        <v/>
      </c>
      <c r="C295" s="48" t="str">
        <f>IFERROR(IF(B295="","",IF(IF(B295&lt;=AantalBetalingen,1,0)*IF(GeleendBedrag*Rentevoet*Leningjaren*BegindatumLening&gt;0,1,0),TEXT(DATE(YEAR(BegindatumLening),MONTH(BegindatumLening)+B295,DAY(BegindatumLening)),"d-m-yyyy"),""),""),"")</f>
        <v/>
      </c>
      <c r="D295" s="49" t="str">
        <f>IFERROR(IF(IF(B295="","",IF($B295&lt;=AantalBetalingen,1,0)*IF(GeleendBedrag*Rentevoet*Leningjaren*BegindatumLening&gt;0,1,0),-FV(Rentevoet/12,ROW()-ROW(Lening[[#HEADERS],[BET.NR.]])-1,PMT(Rentevoet/12,AantalBetalingen,GeleendBedrag),GeleendBedrag),""),""),"")</f>
        <v/>
      </c>
      <c r="E295" s="49" t="str">
        <f>IFERROR(IF(IF(B295="","",IF($B295&lt;=AantalBetalingen,1,0)*IF(GeleendBedrag*Rentevoet*Leningjaren*BegindatumLening&gt;0,1,0),-PMT(Rentevoet/12,AantalBetalingen,GeleendBedrag),""),""),"")</f>
        <v/>
      </c>
      <c r="F295" s="49" t="str">
        <f>IFERROR(IF(IF($B295&lt;=AantalBetalingen,1,0)*IF(GeleendBedrag*Rentevoet*Leningjaren*BegindatumLening&gt;0,1,0),-PPMT(Rentevoet/12,ROW()-ROW(Lening[[#HEADERS],[BET.NR.]]),AantalBetalingen,GeleendBedrag),""),"")</f>
        <v/>
      </c>
      <c r="G295" s="49" t="str">
        <f>IFERROR(IF(IF($B295&lt;=AantalBetalingen,1,0)*IF(GeleendBedrag*Rentevoet*Leningjaren*BegindatumLening&gt;0,1,0),-IPMT(Rentevoet/12,$B295,AantalBetalingen,GeleendBedrag),""),"")</f>
        <v/>
      </c>
      <c r="H295" s="49" t="str">
        <f>IFERROR(IF(IF(B295="","",IF($B295&lt;=AantalBetalingen,1,0)*IF(GeleendBedrag*Rentevoet*Leningjaren*BegindatumLening&gt;0,1,0),-FV(Rentevoet/12,$B295,PMT(Rentevoet/12,AantalBetalingen,GeleendBedrag),GeleendBedrag),""),""),"")</f>
        <v/>
      </c>
    </row>
    <row r="296" ht="22.5" hidden="1" customHeight="1">
      <c r="A296" s="46">
        <f>ROW()-ROW(Lening[[#HEADERS],[BET.NR.]])</f>
        <v>287</v>
      </c>
      <c r="B296" s="50" t="str">
        <f>IFERROR(IF(IF(ROW()-ROW(Lening!$9:$9)&lt;=AantalBetalingen,1,0)*IF(GeleendBedrag*Rentevoet*$D$5*BegindatumLening&gt;0,1,0),ROW()-ROW(Lening!$9:$9),""),"")</f>
        <v/>
      </c>
      <c r="C296" s="48" t="str">
        <f>IFERROR(IF(B296="","",IF(IF(B296&lt;=AantalBetalingen,1,0)*IF(GeleendBedrag*Rentevoet*Leningjaren*BegindatumLening&gt;0,1,0),TEXT(DATE(YEAR(BegindatumLening),MONTH(BegindatumLening)+B296,DAY(BegindatumLening)),"d-m-yyyy"),""),""),"")</f>
        <v/>
      </c>
      <c r="D296" s="49" t="str">
        <f>IFERROR(IF(IF(B296="","",IF($B296&lt;=AantalBetalingen,1,0)*IF(GeleendBedrag*Rentevoet*Leningjaren*BegindatumLening&gt;0,1,0),-FV(Rentevoet/12,ROW()-ROW(Lening[[#HEADERS],[BET.NR.]])-1,PMT(Rentevoet/12,AantalBetalingen,GeleendBedrag),GeleendBedrag),""),""),"")</f>
        <v/>
      </c>
      <c r="E296" s="49" t="str">
        <f>IFERROR(IF(IF(B296="","",IF($B296&lt;=AantalBetalingen,1,0)*IF(GeleendBedrag*Rentevoet*Leningjaren*BegindatumLening&gt;0,1,0),-PMT(Rentevoet/12,AantalBetalingen,GeleendBedrag),""),""),"")</f>
        <v/>
      </c>
      <c r="F296" s="49" t="str">
        <f>IFERROR(IF(IF($B296&lt;=AantalBetalingen,1,0)*IF(GeleendBedrag*Rentevoet*Leningjaren*BegindatumLening&gt;0,1,0),-PPMT(Rentevoet/12,ROW()-ROW(Lening[[#HEADERS],[BET.NR.]]),AantalBetalingen,GeleendBedrag),""),"")</f>
        <v/>
      </c>
      <c r="G296" s="49" t="str">
        <f>IFERROR(IF(IF($B296&lt;=AantalBetalingen,1,0)*IF(GeleendBedrag*Rentevoet*Leningjaren*BegindatumLening&gt;0,1,0),-IPMT(Rentevoet/12,$B296,AantalBetalingen,GeleendBedrag),""),"")</f>
        <v/>
      </c>
      <c r="H296" s="49" t="str">
        <f>IFERROR(IF(IF(B296="","",IF($B296&lt;=AantalBetalingen,1,0)*IF(GeleendBedrag*Rentevoet*Leningjaren*BegindatumLening&gt;0,1,0),-FV(Rentevoet/12,$B296,PMT(Rentevoet/12,AantalBetalingen,GeleendBedrag),GeleendBedrag),""),""),"")</f>
        <v/>
      </c>
    </row>
    <row r="297" ht="22.5" hidden="1" customHeight="1">
      <c r="A297" s="46">
        <f>ROW()-ROW(Lening[[#HEADERS],[BET.NR.]])</f>
        <v>288</v>
      </c>
      <c r="B297" s="50" t="str">
        <f>IFERROR(IF(IF(ROW()-ROW(Lening!$9:$9)&lt;=AantalBetalingen,1,0)*IF(GeleendBedrag*Rentevoet*$D$5*BegindatumLening&gt;0,1,0),ROW()-ROW(Lening!$9:$9),""),"")</f>
        <v/>
      </c>
      <c r="C297" s="48" t="str">
        <f>IFERROR(IF(B297="","",IF(IF(B297&lt;=AantalBetalingen,1,0)*IF(GeleendBedrag*Rentevoet*Leningjaren*BegindatumLening&gt;0,1,0),TEXT(DATE(YEAR(BegindatumLening),MONTH(BegindatumLening)+B297,DAY(BegindatumLening)),"d-m-yyyy"),""),""),"")</f>
        <v/>
      </c>
      <c r="D297" s="49" t="str">
        <f>IFERROR(IF(IF(B297="","",IF($B297&lt;=AantalBetalingen,1,0)*IF(GeleendBedrag*Rentevoet*Leningjaren*BegindatumLening&gt;0,1,0),-FV(Rentevoet/12,ROW()-ROW(Lening[[#HEADERS],[BET.NR.]])-1,PMT(Rentevoet/12,AantalBetalingen,GeleendBedrag),GeleendBedrag),""),""),"")</f>
        <v/>
      </c>
      <c r="E297" s="49" t="str">
        <f>IFERROR(IF(IF(B297="","",IF($B297&lt;=AantalBetalingen,1,0)*IF(GeleendBedrag*Rentevoet*Leningjaren*BegindatumLening&gt;0,1,0),-PMT(Rentevoet/12,AantalBetalingen,GeleendBedrag),""),""),"")</f>
        <v/>
      </c>
      <c r="F297" s="49" t="str">
        <f>IFERROR(IF(IF($B297&lt;=AantalBetalingen,1,0)*IF(GeleendBedrag*Rentevoet*Leningjaren*BegindatumLening&gt;0,1,0),-PPMT(Rentevoet/12,ROW()-ROW(Lening[[#HEADERS],[BET.NR.]]),AantalBetalingen,GeleendBedrag),""),"")</f>
        <v/>
      </c>
      <c r="G297" s="49" t="str">
        <f>IFERROR(IF(IF($B297&lt;=AantalBetalingen,1,0)*IF(GeleendBedrag*Rentevoet*Leningjaren*BegindatumLening&gt;0,1,0),-IPMT(Rentevoet/12,$B297,AantalBetalingen,GeleendBedrag),""),"")</f>
        <v/>
      </c>
      <c r="H297" s="49" t="str">
        <f>IFERROR(IF(IF(B297="","",IF($B297&lt;=AantalBetalingen,1,0)*IF(GeleendBedrag*Rentevoet*Leningjaren*BegindatumLening&gt;0,1,0),-FV(Rentevoet/12,$B297,PMT(Rentevoet/12,AantalBetalingen,GeleendBedrag),GeleendBedrag),""),""),"")</f>
        <v/>
      </c>
    </row>
    <row r="298" ht="22.5" hidden="1" customHeight="1">
      <c r="A298" s="46">
        <f>ROW()-ROW(Lening[[#HEADERS],[BET.NR.]])</f>
        <v>289</v>
      </c>
      <c r="B298" s="50" t="str">
        <f>IFERROR(IF(IF(ROW()-ROW(Lening!$9:$9)&lt;=AantalBetalingen,1,0)*IF(GeleendBedrag*Rentevoet*$D$5*BegindatumLening&gt;0,1,0),ROW()-ROW(Lening!$9:$9),""),"")</f>
        <v/>
      </c>
      <c r="C298" s="48" t="str">
        <f>IFERROR(IF(B298="","",IF(IF(B298&lt;=AantalBetalingen,1,0)*IF(GeleendBedrag*Rentevoet*Leningjaren*BegindatumLening&gt;0,1,0),TEXT(DATE(YEAR(BegindatumLening),MONTH(BegindatumLening)+B298,DAY(BegindatumLening)),"d-m-yyyy"),""),""),"")</f>
        <v/>
      </c>
      <c r="D298" s="49" t="str">
        <f>IFERROR(IF(IF(B298="","",IF($B298&lt;=AantalBetalingen,1,0)*IF(GeleendBedrag*Rentevoet*Leningjaren*BegindatumLening&gt;0,1,0),-FV(Rentevoet/12,ROW()-ROW(Lening[[#HEADERS],[BET.NR.]])-1,PMT(Rentevoet/12,AantalBetalingen,GeleendBedrag),GeleendBedrag),""),""),"")</f>
        <v/>
      </c>
      <c r="E298" s="49" t="str">
        <f>IFERROR(IF(IF(B298="","",IF($B298&lt;=AantalBetalingen,1,0)*IF(GeleendBedrag*Rentevoet*Leningjaren*BegindatumLening&gt;0,1,0),-PMT(Rentevoet/12,AantalBetalingen,GeleendBedrag),""),""),"")</f>
        <v/>
      </c>
      <c r="F298" s="49" t="str">
        <f>IFERROR(IF(IF($B298&lt;=AantalBetalingen,1,0)*IF(GeleendBedrag*Rentevoet*Leningjaren*BegindatumLening&gt;0,1,0),-PPMT(Rentevoet/12,ROW()-ROW(Lening[[#HEADERS],[BET.NR.]]),AantalBetalingen,GeleendBedrag),""),"")</f>
        <v/>
      </c>
      <c r="G298" s="49" t="str">
        <f>IFERROR(IF(IF($B298&lt;=AantalBetalingen,1,0)*IF(GeleendBedrag*Rentevoet*Leningjaren*BegindatumLening&gt;0,1,0),-IPMT(Rentevoet/12,$B298,AantalBetalingen,GeleendBedrag),""),"")</f>
        <v/>
      </c>
      <c r="H298" s="49" t="str">
        <f>IFERROR(IF(IF(B298="","",IF($B298&lt;=AantalBetalingen,1,0)*IF(GeleendBedrag*Rentevoet*Leningjaren*BegindatumLening&gt;0,1,0),-FV(Rentevoet/12,$B298,PMT(Rentevoet/12,AantalBetalingen,GeleendBedrag),GeleendBedrag),""),""),"")</f>
        <v/>
      </c>
    </row>
    <row r="299" ht="22.5" hidden="1" customHeight="1">
      <c r="A299" s="46">
        <f>ROW()-ROW(Lening[[#HEADERS],[BET.NR.]])</f>
        <v>290</v>
      </c>
      <c r="B299" s="50" t="str">
        <f>IFERROR(IF(IF(ROW()-ROW(Lening!$9:$9)&lt;=AantalBetalingen,1,0)*IF(GeleendBedrag*Rentevoet*$D$5*BegindatumLening&gt;0,1,0),ROW()-ROW(Lening!$9:$9),""),"")</f>
        <v/>
      </c>
      <c r="C299" s="48" t="str">
        <f>IFERROR(IF(B299="","",IF(IF(B299&lt;=AantalBetalingen,1,0)*IF(GeleendBedrag*Rentevoet*Leningjaren*BegindatumLening&gt;0,1,0),TEXT(DATE(YEAR(BegindatumLening),MONTH(BegindatumLening)+B299,DAY(BegindatumLening)),"d-m-yyyy"),""),""),"")</f>
        <v/>
      </c>
      <c r="D299" s="49" t="str">
        <f>IFERROR(IF(IF(B299="","",IF($B299&lt;=AantalBetalingen,1,0)*IF(GeleendBedrag*Rentevoet*Leningjaren*BegindatumLening&gt;0,1,0),-FV(Rentevoet/12,ROW()-ROW(Lening[[#HEADERS],[BET.NR.]])-1,PMT(Rentevoet/12,AantalBetalingen,GeleendBedrag),GeleendBedrag),""),""),"")</f>
        <v/>
      </c>
      <c r="E299" s="49" t="str">
        <f>IFERROR(IF(IF(B299="","",IF($B299&lt;=AantalBetalingen,1,0)*IF(GeleendBedrag*Rentevoet*Leningjaren*BegindatumLening&gt;0,1,0),-PMT(Rentevoet/12,AantalBetalingen,GeleendBedrag),""),""),"")</f>
        <v/>
      </c>
      <c r="F299" s="49" t="str">
        <f>IFERROR(IF(IF($B299&lt;=AantalBetalingen,1,0)*IF(GeleendBedrag*Rentevoet*Leningjaren*BegindatumLening&gt;0,1,0),-PPMT(Rentevoet/12,ROW()-ROW(Lening[[#HEADERS],[BET.NR.]]),AantalBetalingen,GeleendBedrag),""),"")</f>
        <v/>
      </c>
      <c r="G299" s="49" t="str">
        <f>IFERROR(IF(IF($B299&lt;=AantalBetalingen,1,0)*IF(GeleendBedrag*Rentevoet*Leningjaren*BegindatumLening&gt;0,1,0),-IPMT(Rentevoet/12,$B299,AantalBetalingen,GeleendBedrag),""),"")</f>
        <v/>
      </c>
      <c r="H299" s="49" t="str">
        <f>IFERROR(IF(IF(B299="","",IF($B299&lt;=AantalBetalingen,1,0)*IF(GeleendBedrag*Rentevoet*Leningjaren*BegindatumLening&gt;0,1,0),-FV(Rentevoet/12,$B299,PMT(Rentevoet/12,AantalBetalingen,GeleendBedrag),GeleendBedrag),""),""),"")</f>
        <v/>
      </c>
    </row>
    <row r="300" ht="22.5" hidden="1" customHeight="1">
      <c r="A300" s="46">
        <f>ROW()-ROW(Lening[[#HEADERS],[BET.NR.]])</f>
        <v>291</v>
      </c>
      <c r="B300" s="50" t="str">
        <f>IFERROR(IF(IF(ROW()-ROW(Lening!$9:$9)&lt;=AantalBetalingen,1,0)*IF(GeleendBedrag*Rentevoet*$D$5*BegindatumLening&gt;0,1,0),ROW()-ROW(Lening!$9:$9),""),"")</f>
        <v/>
      </c>
      <c r="C300" s="48" t="str">
        <f>IFERROR(IF(B300="","",IF(IF(B300&lt;=AantalBetalingen,1,0)*IF(GeleendBedrag*Rentevoet*Leningjaren*BegindatumLening&gt;0,1,0),TEXT(DATE(YEAR(BegindatumLening),MONTH(BegindatumLening)+B300,DAY(BegindatumLening)),"d-m-yyyy"),""),""),"")</f>
        <v/>
      </c>
      <c r="D300" s="49" t="str">
        <f>IFERROR(IF(IF(B300="","",IF($B300&lt;=AantalBetalingen,1,0)*IF(GeleendBedrag*Rentevoet*Leningjaren*BegindatumLening&gt;0,1,0),-FV(Rentevoet/12,ROW()-ROW(Lening[[#HEADERS],[BET.NR.]])-1,PMT(Rentevoet/12,AantalBetalingen,GeleendBedrag),GeleendBedrag),""),""),"")</f>
        <v/>
      </c>
      <c r="E300" s="49" t="str">
        <f>IFERROR(IF(IF(B300="","",IF($B300&lt;=AantalBetalingen,1,0)*IF(GeleendBedrag*Rentevoet*Leningjaren*BegindatumLening&gt;0,1,0),-PMT(Rentevoet/12,AantalBetalingen,GeleendBedrag),""),""),"")</f>
        <v/>
      </c>
      <c r="F300" s="49" t="str">
        <f>IFERROR(IF(IF($B300&lt;=AantalBetalingen,1,0)*IF(GeleendBedrag*Rentevoet*Leningjaren*BegindatumLening&gt;0,1,0),-PPMT(Rentevoet/12,ROW()-ROW(Lening[[#HEADERS],[BET.NR.]]),AantalBetalingen,GeleendBedrag),""),"")</f>
        <v/>
      </c>
      <c r="G300" s="49" t="str">
        <f>IFERROR(IF(IF($B300&lt;=AantalBetalingen,1,0)*IF(GeleendBedrag*Rentevoet*Leningjaren*BegindatumLening&gt;0,1,0),-IPMT(Rentevoet/12,$B300,AantalBetalingen,GeleendBedrag),""),"")</f>
        <v/>
      </c>
      <c r="H300" s="49" t="str">
        <f>IFERROR(IF(IF(B300="","",IF($B300&lt;=AantalBetalingen,1,0)*IF(GeleendBedrag*Rentevoet*Leningjaren*BegindatumLening&gt;0,1,0),-FV(Rentevoet/12,$B300,PMT(Rentevoet/12,AantalBetalingen,GeleendBedrag),GeleendBedrag),""),""),"")</f>
        <v/>
      </c>
    </row>
    <row r="301" ht="22.5" hidden="1" customHeight="1">
      <c r="A301" s="46">
        <f>ROW()-ROW(Lening[[#HEADERS],[BET.NR.]])</f>
        <v>292</v>
      </c>
      <c r="B301" s="50" t="str">
        <f>IFERROR(IF(IF(ROW()-ROW(Lening!$9:$9)&lt;=AantalBetalingen,1,0)*IF(GeleendBedrag*Rentevoet*$D$5*BegindatumLening&gt;0,1,0),ROW()-ROW(Lening!$9:$9),""),"")</f>
        <v/>
      </c>
      <c r="C301" s="48" t="str">
        <f>IFERROR(IF(B301="","",IF(IF(B301&lt;=AantalBetalingen,1,0)*IF(GeleendBedrag*Rentevoet*Leningjaren*BegindatumLening&gt;0,1,0),TEXT(DATE(YEAR(BegindatumLening),MONTH(BegindatumLening)+B301,DAY(BegindatumLening)),"d-m-yyyy"),""),""),"")</f>
        <v/>
      </c>
      <c r="D301" s="49" t="str">
        <f>IFERROR(IF(IF(B301="","",IF($B301&lt;=AantalBetalingen,1,0)*IF(GeleendBedrag*Rentevoet*Leningjaren*BegindatumLening&gt;0,1,0),-FV(Rentevoet/12,ROW()-ROW(Lening[[#HEADERS],[BET.NR.]])-1,PMT(Rentevoet/12,AantalBetalingen,GeleendBedrag),GeleendBedrag),""),""),"")</f>
        <v/>
      </c>
      <c r="E301" s="49" t="str">
        <f>IFERROR(IF(IF(B301="","",IF($B301&lt;=AantalBetalingen,1,0)*IF(GeleendBedrag*Rentevoet*Leningjaren*BegindatumLening&gt;0,1,0),-PMT(Rentevoet/12,AantalBetalingen,GeleendBedrag),""),""),"")</f>
        <v/>
      </c>
      <c r="F301" s="49" t="str">
        <f>IFERROR(IF(IF($B301&lt;=AantalBetalingen,1,0)*IF(GeleendBedrag*Rentevoet*Leningjaren*BegindatumLening&gt;0,1,0),-PPMT(Rentevoet/12,ROW()-ROW(Lening[[#HEADERS],[BET.NR.]]),AantalBetalingen,GeleendBedrag),""),"")</f>
        <v/>
      </c>
      <c r="G301" s="49" t="str">
        <f>IFERROR(IF(IF($B301&lt;=AantalBetalingen,1,0)*IF(GeleendBedrag*Rentevoet*Leningjaren*BegindatumLening&gt;0,1,0),-IPMT(Rentevoet/12,$B301,AantalBetalingen,GeleendBedrag),""),"")</f>
        <v/>
      </c>
      <c r="H301" s="49" t="str">
        <f>IFERROR(IF(IF(B301="","",IF($B301&lt;=AantalBetalingen,1,0)*IF(GeleendBedrag*Rentevoet*Leningjaren*BegindatumLening&gt;0,1,0),-FV(Rentevoet/12,$B301,PMT(Rentevoet/12,AantalBetalingen,GeleendBedrag),GeleendBedrag),""),""),"")</f>
        <v/>
      </c>
    </row>
    <row r="302" ht="22.5" hidden="1" customHeight="1">
      <c r="A302" s="46">
        <f>ROW()-ROW(Lening[[#HEADERS],[BET.NR.]])</f>
        <v>293</v>
      </c>
      <c r="B302" s="50" t="str">
        <f>IFERROR(IF(IF(ROW()-ROW(Lening!$9:$9)&lt;=AantalBetalingen,1,0)*IF(GeleendBedrag*Rentevoet*$D$5*BegindatumLening&gt;0,1,0),ROW()-ROW(Lening!$9:$9),""),"")</f>
        <v/>
      </c>
      <c r="C302" s="48" t="str">
        <f>IFERROR(IF(B302="","",IF(IF(B302&lt;=AantalBetalingen,1,0)*IF(GeleendBedrag*Rentevoet*Leningjaren*BegindatumLening&gt;0,1,0),TEXT(DATE(YEAR(BegindatumLening),MONTH(BegindatumLening)+B302,DAY(BegindatumLening)),"d-m-yyyy"),""),""),"")</f>
        <v/>
      </c>
      <c r="D302" s="49" t="str">
        <f>IFERROR(IF(IF(B302="","",IF($B302&lt;=AantalBetalingen,1,0)*IF(GeleendBedrag*Rentevoet*Leningjaren*BegindatumLening&gt;0,1,0),-FV(Rentevoet/12,ROW()-ROW(Lening[[#HEADERS],[BET.NR.]])-1,PMT(Rentevoet/12,AantalBetalingen,GeleendBedrag),GeleendBedrag),""),""),"")</f>
        <v/>
      </c>
      <c r="E302" s="49" t="str">
        <f>IFERROR(IF(IF(B302="","",IF($B302&lt;=AantalBetalingen,1,0)*IF(GeleendBedrag*Rentevoet*Leningjaren*BegindatumLening&gt;0,1,0),-PMT(Rentevoet/12,AantalBetalingen,GeleendBedrag),""),""),"")</f>
        <v/>
      </c>
      <c r="F302" s="49" t="str">
        <f>IFERROR(IF(IF($B302&lt;=AantalBetalingen,1,0)*IF(GeleendBedrag*Rentevoet*Leningjaren*BegindatumLening&gt;0,1,0),-PPMT(Rentevoet/12,ROW()-ROW(Lening[[#HEADERS],[BET.NR.]]),AantalBetalingen,GeleendBedrag),""),"")</f>
        <v/>
      </c>
      <c r="G302" s="49" t="str">
        <f>IFERROR(IF(IF($B302&lt;=AantalBetalingen,1,0)*IF(GeleendBedrag*Rentevoet*Leningjaren*BegindatumLening&gt;0,1,0),-IPMT(Rentevoet/12,$B302,AantalBetalingen,GeleendBedrag),""),"")</f>
        <v/>
      </c>
      <c r="H302" s="49" t="str">
        <f>IFERROR(IF(IF(B302="","",IF($B302&lt;=AantalBetalingen,1,0)*IF(GeleendBedrag*Rentevoet*Leningjaren*BegindatumLening&gt;0,1,0),-FV(Rentevoet/12,$B302,PMT(Rentevoet/12,AantalBetalingen,GeleendBedrag),GeleendBedrag),""),""),"")</f>
        <v/>
      </c>
    </row>
    <row r="303" ht="22.5" hidden="1" customHeight="1">
      <c r="A303" s="46">
        <f>ROW()-ROW(Lening[[#HEADERS],[BET.NR.]])</f>
        <v>294</v>
      </c>
      <c r="B303" s="50" t="str">
        <f>IFERROR(IF(IF(ROW()-ROW(Lening!$9:$9)&lt;=AantalBetalingen,1,0)*IF(GeleendBedrag*Rentevoet*$D$5*BegindatumLening&gt;0,1,0),ROW()-ROW(Lening!$9:$9),""),"")</f>
        <v/>
      </c>
      <c r="C303" s="48" t="str">
        <f>IFERROR(IF(B303="","",IF(IF(B303&lt;=AantalBetalingen,1,0)*IF(GeleendBedrag*Rentevoet*Leningjaren*BegindatumLening&gt;0,1,0),TEXT(DATE(YEAR(BegindatumLening),MONTH(BegindatumLening)+B303,DAY(BegindatumLening)),"d-m-yyyy"),""),""),"")</f>
        <v/>
      </c>
      <c r="D303" s="49" t="str">
        <f>IFERROR(IF(IF(B303="","",IF($B303&lt;=AantalBetalingen,1,0)*IF(GeleendBedrag*Rentevoet*Leningjaren*BegindatumLening&gt;0,1,0),-FV(Rentevoet/12,ROW()-ROW(Lening[[#HEADERS],[BET.NR.]])-1,PMT(Rentevoet/12,AantalBetalingen,GeleendBedrag),GeleendBedrag),""),""),"")</f>
        <v/>
      </c>
      <c r="E303" s="49" t="str">
        <f>IFERROR(IF(IF(B303="","",IF($B303&lt;=AantalBetalingen,1,0)*IF(GeleendBedrag*Rentevoet*Leningjaren*BegindatumLening&gt;0,1,0),-PMT(Rentevoet/12,AantalBetalingen,GeleendBedrag),""),""),"")</f>
        <v/>
      </c>
      <c r="F303" s="49" t="str">
        <f>IFERROR(IF(IF($B303&lt;=AantalBetalingen,1,0)*IF(GeleendBedrag*Rentevoet*Leningjaren*BegindatumLening&gt;0,1,0),-PPMT(Rentevoet/12,ROW()-ROW(Lening[[#HEADERS],[BET.NR.]]),AantalBetalingen,GeleendBedrag),""),"")</f>
        <v/>
      </c>
      <c r="G303" s="49" t="str">
        <f>IFERROR(IF(IF($B303&lt;=AantalBetalingen,1,0)*IF(GeleendBedrag*Rentevoet*Leningjaren*BegindatumLening&gt;0,1,0),-IPMT(Rentevoet/12,$B303,AantalBetalingen,GeleendBedrag),""),"")</f>
        <v/>
      </c>
      <c r="H303" s="49" t="str">
        <f>IFERROR(IF(IF(B303="","",IF($B303&lt;=AantalBetalingen,1,0)*IF(GeleendBedrag*Rentevoet*Leningjaren*BegindatumLening&gt;0,1,0),-FV(Rentevoet/12,$B303,PMT(Rentevoet/12,AantalBetalingen,GeleendBedrag),GeleendBedrag),""),""),"")</f>
        <v/>
      </c>
    </row>
    <row r="304" ht="22.5" hidden="1" customHeight="1">
      <c r="A304" s="46">
        <f>ROW()-ROW(Lening[[#HEADERS],[BET.NR.]])</f>
        <v>295</v>
      </c>
      <c r="B304" s="50" t="str">
        <f>IFERROR(IF(IF(ROW()-ROW(Lening!$9:$9)&lt;=AantalBetalingen,1,0)*IF(GeleendBedrag*Rentevoet*$D$5*BegindatumLening&gt;0,1,0),ROW()-ROW(Lening!$9:$9),""),"")</f>
        <v/>
      </c>
      <c r="C304" s="48" t="str">
        <f>IFERROR(IF(B304="","",IF(IF(B304&lt;=AantalBetalingen,1,0)*IF(GeleendBedrag*Rentevoet*Leningjaren*BegindatumLening&gt;0,1,0),TEXT(DATE(YEAR(BegindatumLening),MONTH(BegindatumLening)+B304,DAY(BegindatumLening)),"d-m-yyyy"),""),""),"")</f>
        <v/>
      </c>
      <c r="D304" s="49" t="str">
        <f>IFERROR(IF(IF(B304="","",IF($B304&lt;=AantalBetalingen,1,0)*IF(GeleendBedrag*Rentevoet*Leningjaren*BegindatumLening&gt;0,1,0),-FV(Rentevoet/12,ROW()-ROW(Lening[[#HEADERS],[BET.NR.]])-1,PMT(Rentevoet/12,AantalBetalingen,GeleendBedrag),GeleendBedrag),""),""),"")</f>
        <v/>
      </c>
      <c r="E304" s="49" t="str">
        <f>IFERROR(IF(IF(B304="","",IF($B304&lt;=AantalBetalingen,1,0)*IF(GeleendBedrag*Rentevoet*Leningjaren*BegindatumLening&gt;0,1,0),-PMT(Rentevoet/12,AantalBetalingen,GeleendBedrag),""),""),"")</f>
        <v/>
      </c>
      <c r="F304" s="49" t="str">
        <f>IFERROR(IF(IF($B304&lt;=AantalBetalingen,1,0)*IF(GeleendBedrag*Rentevoet*Leningjaren*BegindatumLening&gt;0,1,0),-PPMT(Rentevoet/12,ROW()-ROW(Lening[[#HEADERS],[BET.NR.]]),AantalBetalingen,GeleendBedrag),""),"")</f>
        <v/>
      </c>
      <c r="G304" s="49" t="str">
        <f>IFERROR(IF(IF($B304&lt;=AantalBetalingen,1,0)*IF(GeleendBedrag*Rentevoet*Leningjaren*BegindatumLening&gt;0,1,0),-IPMT(Rentevoet/12,$B304,AantalBetalingen,GeleendBedrag),""),"")</f>
        <v/>
      </c>
      <c r="H304" s="49" t="str">
        <f>IFERROR(IF(IF(B304="","",IF($B304&lt;=AantalBetalingen,1,0)*IF(GeleendBedrag*Rentevoet*Leningjaren*BegindatumLening&gt;0,1,0),-FV(Rentevoet/12,$B304,PMT(Rentevoet/12,AantalBetalingen,GeleendBedrag),GeleendBedrag),""),""),"")</f>
        <v/>
      </c>
    </row>
    <row r="305" ht="22.5" hidden="1" customHeight="1">
      <c r="A305" s="46">
        <f>ROW()-ROW(Lening[[#HEADERS],[BET.NR.]])</f>
        <v>296</v>
      </c>
      <c r="B305" s="50" t="str">
        <f>IFERROR(IF(IF(ROW()-ROW(Lening!$9:$9)&lt;=AantalBetalingen,1,0)*IF(GeleendBedrag*Rentevoet*$D$5*BegindatumLening&gt;0,1,0),ROW()-ROW(Lening!$9:$9),""),"")</f>
        <v/>
      </c>
      <c r="C305" s="48" t="str">
        <f>IFERROR(IF(B305="","",IF(IF(B305&lt;=AantalBetalingen,1,0)*IF(GeleendBedrag*Rentevoet*Leningjaren*BegindatumLening&gt;0,1,0),TEXT(DATE(YEAR(BegindatumLening),MONTH(BegindatumLening)+B305,DAY(BegindatumLening)),"d-m-yyyy"),""),""),"")</f>
        <v/>
      </c>
      <c r="D305" s="49" t="str">
        <f>IFERROR(IF(IF(B305="","",IF($B305&lt;=AantalBetalingen,1,0)*IF(GeleendBedrag*Rentevoet*Leningjaren*BegindatumLening&gt;0,1,0),-FV(Rentevoet/12,ROW()-ROW(Lening[[#HEADERS],[BET.NR.]])-1,PMT(Rentevoet/12,AantalBetalingen,GeleendBedrag),GeleendBedrag),""),""),"")</f>
        <v/>
      </c>
      <c r="E305" s="49" t="str">
        <f>IFERROR(IF(IF(B305="","",IF($B305&lt;=AantalBetalingen,1,0)*IF(GeleendBedrag*Rentevoet*Leningjaren*BegindatumLening&gt;0,1,0),-PMT(Rentevoet/12,AantalBetalingen,GeleendBedrag),""),""),"")</f>
        <v/>
      </c>
      <c r="F305" s="49" t="str">
        <f>IFERROR(IF(IF($B305&lt;=AantalBetalingen,1,0)*IF(GeleendBedrag*Rentevoet*Leningjaren*BegindatumLening&gt;0,1,0),-PPMT(Rentevoet/12,ROW()-ROW(Lening[[#HEADERS],[BET.NR.]]),AantalBetalingen,GeleendBedrag),""),"")</f>
        <v/>
      </c>
      <c r="G305" s="49" t="str">
        <f>IFERROR(IF(IF($B305&lt;=AantalBetalingen,1,0)*IF(GeleendBedrag*Rentevoet*Leningjaren*BegindatumLening&gt;0,1,0),-IPMT(Rentevoet/12,$B305,AantalBetalingen,GeleendBedrag),""),"")</f>
        <v/>
      </c>
      <c r="H305" s="49" t="str">
        <f>IFERROR(IF(IF(B305="","",IF($B305&lt;=AantalBetalingen,1,0)*IF(GeleendBedrag*Rentevoet*Leningjaren*BegindatumLening&gt;0,1,0),-FV(Rentevoet/12,$B305,PMT(Rentevoet/12,AantalBetalingen,GeleendBedrag),GeleendBedrag),""),""),"")</f>
        <v/>
      </c>
    </row>
    <row r="306" ht="22.5" hidden="1" customHeight="1">
      <c r="A306" s="46">
        <f>ROW()-ROW(Lening[[#HEADERS],[BET.NR.]])</f>
        <v>297</v>
      </c>
      <c r="B306" s="50" t="str">
        <f>IFERROR(IF(IF(ROW()-ROW(Lening!$9:$9)&lt;=AantalBetalingen,1,0)*IF(GeleendBedrag*Rentevoet*$D$5*BegindatumLening&gt;0,1,0),ROW()-ROW(Lening!$9:$9),""),"")</f>
        <v/>
      </c>
      <c r="C306" s="48" t="str">
        <f>IFERROR(IF(B306="","",IF(IF(B306&lt;=AantalBetalingen,1,0)*IF(GeleendBedrag*Rentevoet*Leningjaren*BegindatumLening&gt;0,1,0),TEXT(DATE(YEAR(BegindatumLening),MONTH(BegindatumLening)+B306,DAY(BegindatumLening)),"d-m-yyyy"),""),""),"")</f>
        <v/>
      </c>
      <c r="D306" s="49" t="str">
        <f>IFERROR(IF(IF(B306="","",IF($B306&lt;=AantalBetalingen,1,0)*IF(GeleendBedrag*Rentevoet*Leningjaren*BegindatumLening&gt;0,1,0),-FV(Rentevoet/12,ROW()-ROW(Lening[[#HEADERS],[BET.NR.]])-1,PMT(Rentevoet/12,AantalBetalingen,GeleendBedrag),GeleendBedrag),""),""),"")</f>
        <v/>
      </c>
      <c r="E306" s="49" t="str">
        <f>IFERROR(IF(IF(B306="","",IF($B306&lt;=AantalBetalingen,1,0)*IF(GeleendBedrag*Rentevoet*Leningjaren*BegindatumLening&gt;0,1,0),-PMT(Rentevoet/12,AantalBetalingen,GeleendBedrag),""),""),"")</f>
        <v/>
      </c>
      <c r="F306" s="49" t="str">
        <f>IFERROR(IF(IF($B306&lt;=AantalBetalingen,1,0)*IF(GeleendBedrag*Rentevoet*Leningjaren*BegindatumLening&gt;0,1,0),-PPMT(Rentevoet/12,ROW()-ROW(Lening[[#HEADERS],[BET.NR.]]),AantalBetalingen,GeleendBedrag),""),"")</f>
        <v/>
      </c>
      <c r="G306" s="49" t="str">
        <f>IFERROR(IF(IF($B306&lt;=AantalBetalingen,1,0)*IF(GeleendBedrag*Rentevoet*Leningjaren*BegindatumLening&gt;0,1,0),-IPMT(Rentevoet/12,$B306,AantalBetalingen,GeleendBedrag),""),"")</f>
        <v/>
      </c>
      <c r="H306" s="49" t="str">
        <f>IFERROR(IF(IF(B306="","",IF($B306&lt;=AantalBetalingen,1,0)*IF(GeleendBedrag*Rentevoet*Leningjaren*BegindatumLening&gt;0,1,0),-FV(Rentevoet/12,$B306,PMT(Rentevoet/12,AantalBetalingen,GeleendBedrag),GeleendBedrag),""),""),"")</f>
        <v/>
      </c>
    </row>
    <row r="307" ht="22.5" hidden="1" customHeight="1">
      <c r="A307" s="46">
        <f>ROW()-ROW(Lening[[#HEADERS],[BET.NR.]])</f>
        <v>298</v>
      </c>
      <c r="B307" s="50" t="str">
        <f>IFERROR(IF(IF(ROW()-ROW(Lening!$9:$9)&lt;=AantalBetalingen,1,0)*IF(GeleendBedrag*Rentevoet*$D$5*BegindatumLening&gt;0,1,0),ROW()-ROW(Lening!$9:$9),""),"")</f>
        <v/>
      </c>
      <c r="C307" s="48" t="str">
        <f>IFERROR(IF(B307="","",IF(IF(B307&lt;=AantalBetalingen,1,0)*IF(GeleendBedrag*Rentevoet*Leningjaren*BegindatumLening&gt;0,1,0),TEXT(DATE(YEAR(BegindatumLening),MONTH(BegindatumLening)+B307,DAY(BegindatumLening)),"d-m-yyyy"),""),""),"")</f>
        <v/>
      </c>
      <c r="D307" s="49" t="str">
        <f>IFERROR(IF(IF(B307="","",IF($B307&lt;=AantalBetalingen,1,0)*IF(GeleendBedrag*Rentevoet*Leningjaren*BegindatumLening&gt;0,1,0),-FV(Rentevoet/12,ROW()-ROW(Lening[[#HEADERS],[BET.NR.]])-1,PMT(Rentevoet/12,AantalBetalingen,GeleendBedrag),GeleendBedrag),""),""),"")</f>
        <v/>
      </c>
      <c r="E307" s="49" t="str">
        <f>IFERROR(IF(IF(B307="","",IF($B307&lt;=AantalBetalingen,1,0)*IF(GeleendBedrag*Rentevoet*Leningjaren*BegindatumLening&gt;0,1,0),-PMT(Rentevoet/12,AantalBetalingen,GeleendBedrag),""),""),"")</f>
        <v/>
      </c>
      <c r="F307" s="49" t="str">
        <f>IFERROR(IF(IF($B307&lt;=AantalBetalingen,1,0)*IF(GeleendBedrag*Rentevoet*Leningjaren*BegindatumLening&gt;0,1,0),-PPMT(Rentevoet/12,ROW()-ROW(Lening[[#HEADERS],[BET.NR.]]),AantalBetalingen,GeleendBedrag),""),"")</f>
        <v/>
      </c>
      <c r="G307" s="49" t="str">
        <f>IFERROR(IF(IF($B307&lt;=AantalBetalingen,1,0)*IF(GeleendBedrag*Rentevoet*Leningjaren*BegindatumLening&gt;0,1,0),-IPMT(Rentevoet/12,$B307,AantalBetalingen,GeleendBedrag),""),"")</f>
        <v/>
      </c>
      <c r="H307" s="49" t="str">
        <f>IFERROR(IF(IF(B307="","",IF($B307&lt;=AantalBetalingen,1,0)*IF(GeleendBedrag*Rentevoet*Leningjaren*BegindatumLening&gt;0,1,0),-FV(Rentevoet/12,$B307,PMT(Rentevoet/12,AantalBetalingen,GeleendBedrag),GeleendBedrag),""),""),"")</f>
        <v/>
      </c>
    </row>
    <row r="308" ht="22.5" hidden="1" customHeight="1">
      <c r="A308" s="46">
        <f>ROW()-ROW(Lening[[#HEADERS],[BET.NR.]])</f>
        <v>299</v>
      </c>
      <c r="B308" s="50" t="str">
        <f>IFERROR(IF(IF(ROW()-ROW(Lening!$9:$9)&lt;=AantalBetalingen,1,0)*IF(GeleendBedrag*Rentevoet*$D$5*BegindatumLening&gt;0,1,0),ROW()-ROW(Lening!$9:$9),""),"")</f>
        <v/>
      </c>
      <c r="C308" s="48" t="str">
        <f>IFERROR(IF(B308="","",IF(IF(B308&lt;=AantalBetalingen,1,0)*IF(GeleendBedrag*Rentevoet*Leningjaren*BegindatumLening&gt;0,1,0),TEXT(DATE(YEAR(BegindatumLening),MONTH(BegindatumLening)+B308,DAY(BegindatumLening)),"d-m-yyyy"),""),""),"")</f>
        <v/>
      </c>
      <c r="D308" s="49" t="str">
        <f>IFERROR(IF(IF(B308="","",IF($B308&lt;=AantalBetalingen,1,0)*IF(GeleendBedrag*Rentevoet*Leningjaren*BegindatumLening&gt;0,1,0),-FV(Rentevoet/12,ROW()-ROW(Lening[[#HEADERS],[BET.NR.]])-1,PMT(Rentevoet/12,AantalBetalingen,GeleendBedrag),GeleendBedrag),""),""),"")</f>
        <v/>
      </c>
      <c r="E308" s="49" t="str">
        <f>IFERROR(IF(IF(B308="","",IF($B308&lt;=AantalBetalingen,1,0)*IF(GeleendBedrag*Rentevoet*Leningjaren*BegindatumLening&gt;0,1,0),-PMT(Rentevoet/12,AantalBetalingen,GeleendBedrag),""),""),"")</f>
        <v/>
      </c>
      <c r="F308" s="49" t="str">
        <f>IFERROR(IF(IF($B308&lt;=AantalBetalingen,1,0)*IF(GeleendBedrag*Rentevoet*Leningjaren*BegindatumLening&gt;0,1,0),-PPMT(Rentevoet/12,ROW()-ROW(Lening[[#HEADERS],[BET.NR.]]),AantalBetalingen,GeleendBedrag),""),"")</f>
        <v/>
      </c>
      <c r="G308" s="49" t="str">
        <f>IFERROR(IF(IF($B308&lt;=AantalBetalingen,1,0)*IF(GeleendBedrag*Rentevoet*Leningjaren*BegindatumLening&gt;0,1,0),-IPMT(Rentevoet/12,$B308,AantalBetalingen,GeleendBedrag),""),"")</f>
        <v/>
      </c>
      <c r="H308" s="49" t="str">
        <f>IFERROR(IF(IF(B308="","",IF($B308&lt;=AantalBetalingen,1,0)*IF(GeleendBedrag*Rentevoet*Leningjaren*BegindatumLening&gt;0,1,0),-FV(Rentevoet/12,$B308,PMT(Rentevoet/12,AantalBetalingen,GeleendBedrag),GeleendBedrag),""),""),"")</f>
        <v/>
      </c>
    </row>
    <row r="309" ht="22.5" hidden="1" customHeight="1">
      <c r="A309" s="46">
        <f>ROW()-ROW(Lening[[#HEADERS],[BET.NR.]])</f>
        <v>300</v>
      </c>
      <c r="B309" s="50" t="str">
        <f>IFERROR(IF(IF(ROW()-ROW(Lening!$9:$9)&lt;=AantalBetalingen,1,0)*IF(GeleendBedrag*Rentevoet*$D$5*BegindatumLening&gt;0,1,0),ROW()-ROW(Lening!$9:$9),""),"")</f>
        <v/>
      </c>
      <c r="C309" s="48" t="str">
        <f>IFERROR(IF(B309="","",IF(IF(B309&lt;=AantalBetalingen,1,0)*IF(GeleendBedrag*Rentevoet*Leningjaren*BegindatumLening&gt;0,1,0),TEXT(DATE(YEAR(BegindatumLening),MONTH(BegindatumLening)+B309,DAY(BegindatumLening)),"d-m-yyyy"),""),""),"")</f>
        <v/>
      </c>
      <c r="D309" s="49" t="str">
        <f>IFERROR(IF(IF(B309="","",IF($B309&lt;=AantalBetalingen,1,0)*IF(GeleendBedrag*Rentevoet*Leningjaren*BegindatumLening&gt;0,1,0),-FV(Rentevoet/12,ROW()-ROW(Lening[[#HEADERS],[BET.NR.]])-1,PMT(Rentevoet/12,AantalBetalingen,GeleendBedrag),GeleendBedrag),""),""),"")</f>
        <v/>
      </c>
      <c r="E309" s="49" t="str">
        <f>IFERROR(IF(IF(B309="","",IF($B309&lt;=AantalBetalingen,1,0)*IF(GeleendBedrag*Rentevoet*Leningjaren*BegindatumLening&gt;0,1,0),-PMT(Rentevoet/12,AantalBetalingen,GeleendBedrag),""),""),"")</f>
        <v/>
      </c>
      <c r="F309" s="49" t="str">
        <f>IFERROR(IF(IF($B309&lt;=AantalBetalingen,1,0)*IF(GeleendBedrag*Rentevoet*Leningjaren*BegindatumLening&gt;0,1,0),-PPMT(Rentevoet/12,ROW()-ROW(Lening[[#HEADERS],[BET.NR.]]),AantalBetalingen,GeleendBedrag),""),"")</f>
        <v/>
      </c>
      <c r="G309" s="49" t="str">
        <f>IFERROR(IF(IF($B309&lt;=AantalBetalingen,1,0)*IF(GeleendBedrag*Rentevoet*Leningjaren*BegindatumLening&gt;0,1,0),-IPMT(Rentevoet/12,$B309,AantalBetalingen,GeleendBedrag),""),"")</f>
        <v/>
      </c>
      <c r="H309" s="49" t="str">
        <f>IFERROR(IF(IF(B309="","",IF($B309&lt;=AantalBetalingen,1,0)*IF(GeleendBedrag*Rentevoet*Leningjaren*BegindatumLening&gt;0,1,0),-FV(Rentevoet/12,$B309,PMT(Rentevoet/12,AantalBetalingen,GeleendBedrag),GeleendBedrag),""),""),"")</f>
        <v/>
      </c>
    </row>
    <row r="310" ht="22.5" hidden="1" customHeight="1">
      <c r="A310" s="46">
        <f>ROW()-ROW(Lening[[#HEADERS],[BET.NR.]])</f>
        <v>301</v>
      </c>
      <c r="B310" s="50" t="str">
        <f>IFERROR(IF(IF(ROW()-ROW(Lening!$9:$9)&lt;=AantalBetalingen,1,0)*IF(GeleendBedrag*Rentevoet*$D$5*BegindatumLening&gt;0,1,0),ROW()-ROW(Lening!$9:$9),""),"")</f>
        <v/>
      </c>
      <c r="C310" s="48" t="str">
        <f>IFERROR(IF(B310="","",IF(IF(B310&lt;=AantalBetalingen,1,0)*IF(GeleendBedrag*Rentevoet*Leningjaren*BegindatumLening&gt;0,1,0),TEXT(DATE(YEAR(BegindatumLening),MONTH(BegindatumLening)+B310,DAY(BegindatumLening)),"d-m-yyyy"),""),""),"")</f>
        <v/>
      </c>
      <c r="D310" s="49" t="str">
        <f>IFERROR(IF(IF(B310="","",IF($B310&lt;=AantalBetalingen,1,0)*IF(GeleendBedrag*Rentevoet*Leningjaren*BegindatumLening&gt;0,1,0),-FV(Rentevoet/12,ROW()-ROW(Lening[[#HEADERS],[BET.NR.]])-1,PMT(Rentevoet/12,AantalBetalingen,GeleendBedrag),GeleendBedrag),""),""),"")</f>
        <v/>
      </c>
      <c r="E310" s="49" t="str">
        <f>IFERROR(IF(IF(B310="","",IF($B310&lt;=AantalBetalingen,1,0)*IF(GeleendBedrag*Rentevoet*Leningjaren*BegindatumLening&gt;0,1,0),-PMT(Rentevoet/12,AantalBetalingen,GeleendBedrag),""),""),"")</f>
        <v/>
      </c>
      <c r="F310" s="49" t="str">
        <f>IFERROR(IF(IF($B310&lt;=AantalBetalingen,1,0)*IF(GeleendBedrag*Rentevoet*Leningjaren*BegindatumLening&gt;0,1,0),-PPMT(Rentevoet/12,ROW()-ROW(Lening[[#HEADERS],[BET.NR.]]),AantalBetalingen,GeleendBedrag),""),"")</f>
        <v/>
      </c>
      <c r="G310" s="49" t="str">
        <f>IFERROR(IF(IF($B310&lt;=AantalBetalingen,1,0)*IF(GeleendBedrag*Rentevoet*Leningjaren*BegindatumLening&gt;0,1,0),-IPMT(Rentevoet/12,$B310,AantalBetalingen,GeleendBedrag),""),"")</f>
        <v/>
      </c>
      <c r="H310" s="49" t="str">
        <f>IFERROR(IF(IF(B310="","",IF($B310&lt;=AantalBetalingen,1,0)*IF(GeleendBedrag*Rentevoet*Leningjaren*BegindatumLening&gt;0,1,0),-FV(Rentevoet/12,$B310,PMT(Rentevoet/12,AantalBetalingen,GeleendBedrag),GeleendBedrag),""),""),"")</f>
        <v/>
      </c>
    </row>
    <row r="311" ht="22.5" hidden="1" customHeight="1">
      <c r="A311" s="46">
        <f>ROW()-ROW(Lening[[#HEADERS],[BET.NR.]])</f>
        <v>302</v>
      </c>
      <c r="B311" s="50" t="str">
        <f>IFERROR(IF(IF(ROW()-ROW(Lening!$9:$9)&lt;=AantalBetalingen,1,0)*IF(GeleendBedrag*Rentevoet*$D$5*BegindatumLening&gt;0,1,0),ROW()-ROW(Lening!$9:$9),""),"")</f>
        <v/>
      </c>
      <c r="C311" s="48" t="str">
        <f>IFERROR(IF(B311="","",IF(IF(B311&lt;=AantalBetalingen,1,0)*IF(GeleendBedrag*Rentevoet*Leningjaren*BegindatumLening&gt;0,1,0),TEXT(DATE(YEAR(BegindatumLening),MONTH(BegindatumLening)+B311,DAY(BegindatumLening)),"d-m-yyyy"),""),""),"")</f>
        <v/>
      </c>
      <c r="D311" s="49" t="str">
        <f>IFERROR(IF(IF(B311="","",IF($B311&lt;=AantalBetalingen,1,0)*IF(GeleendBedrag*Rentevoet*Leningjaren*BegindatumLening&gt;0,1,0),-FV(Rentevoet/12,ROW()-ROW(Lening[[#HEADERS],[BET.NR.]])-1,PMT(Rentevoet/12,AantalBetalingen,GeleendBedrag),GeleendBedrag),""),""),"")</f>
        <v/>
      </c>
      <c r="E311" s="49" t="str">
        <f>IFERROR(IF(IF(B311="","",IF($B311&lt;=AantalBetalingen,1,0)*IF(GeleendBedrag*Rentevoet*Leningjaren*BegindatumLening&gt;0,1,0),-PMT(Rentevoet/12,AantalBetalingen,GeleendBedrag),""),""),"")</f>
        <v/>
      </c>
      <c r="F311" s="49" t="str">
        <f>IFERROR(IF(IF($B311&lt;=AantalBetalingen,1,0)*IF(GeleendBedrag*Rentevoet*Leningjaren*BegindatumLening&gt;0,1,0),-PPMT(Rentevoet/12,ROW()-ROW(Lening[[#HEADERS],[BET.NR.]]),AantalBetalingen,GeleendBedrag),""),"")</f>
        <v/>
      </c>
      <c r="G311" s="49" t="str">
        <f>IFERROR(IF(IF($B311&lt;=AantalBetalingen,1,0)*IF(GeleendBedrag*Rentevoet*Leningjaren*BegindatumLening&gt;0,1,0),-IPMT(Rentevoet/12,$B311,AantalBetalingen,GeleendBedrag),""),"")</f>
        <v/>
      </c>
      <c r="H311" s="49" t="str">
        <f>IFERROR(IF(IF(B311="","",IF($B311&lt;=AantalBetalingen,1,0)*IF(GeleendBedrag*Rentevoet*Leningjaren*BegindatumLening&gt;0,1,0),-FV(Rentevoet/12,$B311,PMT(Rentevoet/12,AantalBetalingen,GeleendBedrag),GeleendBedrag),""),""),"")</f>
        <v/>
      </c>
    </row>
    <row r="312" ht="22.5" hidden="1" customHeight="1">
      <c r="A312" s="46">
        <f>ROW()-ROW(Lening[[#HEADERS],[BET.NR.]])</f>
        <v>303</v>
      </c>
      <c r="B312" s="50" t="str">
        <f>IFERROR(IF(IF(ROW()-ROW(Lening!$9:$9)&lt;=AantalBetalingen,1,0)*IF(GeleendBedrag*Rentevoet*$D$5*BegindatumLening&gt;0,1,0),ROW()-ROW(Lening!$9:$9),""),"")</f>
        <v/>
      </c>
      <c r="C312" s="48" t="str">
        <f>IFERROR(IF(B312="","",IF(IF(B312&lt;=AantalBetalingen,1,0)*IF(GeleendBedrag*Rentevoet*Leningjaren*BegindatumLening&gt;0,1,0),TEXT(DATE(YEAR(BegindatumLening),MONTH(BegindatumLening)+B312,DAY(BegindatumLening)),"d-m-yyyy"),""),""),"")</f>
        <v/>
      </c>
      <c r="D312" s="49" t="str">
        <f>IFERROR(IF(IF(B312="","",IF($B312&lt;=AantalBetalingen,1,0)*IF(GeleendBedrag*Rentevoet*Leningjaren*BegindatumLening&gt;0,1,0),-FV(Rentevoet/12,ROW()-ROW(Lening[[#HEADERS],[BET.NR.]])-1,PMT(Rentevoet/12,AantalBetalingen,GeleendBedrag),GeleendBedrag),""),""),"")</f>
        <v/>
      </c>
      <c r="E312" s="49" t="str">
        <f>IFERROR(IF(IF(B312="","",IF($B312&lt;=AantalBetalingen,1,0)*IF(GeleendBedrag*Rentevoet*Leningjaren*BegindatumLening&gt;0,1,0),-PMT(Rentevoet/12,AantalBetalingen,GeleendBedrag),""),""),"")</f>
        <v/>
      </c>
      <c r="F312" s="49" t="str">
        <f>IFERROR(IF(IF($B312&lt;=AantalBetalingen,1,0)*IF(GeleendBedrag*Rentevoet*Leningjaren*BegindatumLening&gt;0,1,0),-PPMT(Rentevoet/12,ROW()-ROW(Lening[[#HEADERS],[BET.NR.]]),AantalBetalingen,GeleendBedrag),""),"")</f>
        <v/>
      </c>
      <c r="G312" s="49" t="str">
        <f>IFERROR(IF(IF($B312&lt;=AantalBetalingen,1,0)*IF(GeleendBedrag*Rentevoet*Leningjaren*BegindatumLening&gt;0,1,0),-IPMT(Rentevoet/12,$B312,AantalBetalingen,GeleendBedrag),""),"")</f>
        <v/>
      </c>
      <c r="H312" s="49" t="str">
        <f>IFERROR(IF(IF(B312="","",IF($B312&lt;=AantalBetalingen,1,0)*IF(GeleendBedrag*Rentevoet*Leningjaren*BegindatumLening&gt;0,1,0),-FV(Rentevoet/12,$B312,PMT(Rentevoet/12,AantalBetalingen,GeleendBedrag),GeleendBedrag),""),""),"")</f>
        <v/>
      </c>
    </row>
    <row r="313" ht="22.5" hidden="1" customHeight="1">
      <c r="A313" s="46">
        <f>ROW()-ROW(Lening[[#HEADERS],[BET.NR.]])</f>
        <v>304</v>
      </c>
      <c r="B313" s="50" t="str">
        <f>IFERROR(IF(IF(ROW()-ROW(Lening!$9:$9)&lt;=AantalBetalingen,1,0)*IF(GeleendBedrag*Rentevoet*$D$5*BegindatumLening&gt;0,1,0),ROW()-ROW(Lening!$9:$9),""),"")</f>
        <v/>
      </c>
      <c r="C313" s="48" t="str">
        <f>IFERROR(IF(B313="","",IF(IF(B313&lt;=AantalBetalingen,1,0)*IF(GeleendBedrag*Rentevoet*Leningjaren*BegindatumLening&gt;0,1,0),TEXT(DATE(YEAR(BegindatumLening),MONTH(BegindatumLening)+B313,DAY(BegindatumLening)),"d-m-yyyy"),""),""),"")</f>
        <v/>
      </c>
      <c r="D313" s="49" t="str">
        <f>IFERROR(IF(IF(B313="","",IF($B313&lt;=AantalBetalingen,1,0)*IF(GeleendBedrag*Rentevoet*Leningjaren*BegindatumLening&gt;0,1,0),-FV(Rentevoet/12,ROW()-ROW(Lening[[#HEADERS],[BET.NR.]])-1,PMT(Rentevoet/12,AantalBetalingen,GeleendBedrag),GeleendBedrag),""),""),"")</f>
        <v/>
      </c>
      <c r="E313" s="49" t="str">
        <f>IFERROR(IF(IF(B313="","",IF($B313&lt;=AantalBetalingen,1,0)*IF(GeleendBedrag*Rentevoet*Leningjaren*BegindatumLening&gt;0,1,0),-PMT(Rentevoet/12,AantalBetalingen,GeleendBedrag),""),""),"")</f>
        <v/>
      </c>
      <c r="F313" s="49" t="str">
        <f>IFERROR(IF(IF($B313&lt;=AantalBetalingen,1,0)*IF(GeleendBedrag*Rentevoet*Leningjaren*BegindatumLening&gt;0,1,0),-PPMT(Rentevoet/12,ROW()-ROW(Lening[[#HEADERS],[BET.NR.]]),AantalBetalingen,GeleendBedrag),""),"")</f>
        <v/>
      </c>
      <c r="G313" s="49" t="str">
        <f>IFERROR(IF(IF($B313&lt;=AantalBetalingen,1,0)*IF(GeleendBedrag*Rentevoet*Leningjaren*BegindatumLening&gt;0,1,0),-IPMT(Rentevoet/12,$B313,AantalBetalingen,GeleendBedrag),""),"")</f>
        <v/>
      </c>
      <c r="H313" s="49" t="str">
        <f>IFERROR(IF(IF(B313="","",IF($B313&lt;=AantalBetalingen,1,0)*IF(GeleendBedrag*Rentevoet*Leningjaren*BegindatumLening&gt;0,1,0),-FV(Rentevoet/12,$B313,PMT(Rentevoet/12,AantalBetalingen,GeleendBedrag),GeleendBedrag),""),""),"")</f>
        <v/>
      </c>
    </row>
    <row r="314" ht="22.5" hidden="1" customHeight="1">
      <c r="A314" s="46">
        <f>ROW()-ROW(Lening[[#HEADERS],[BET.NR.]])</f>
        <v>305</v>
      </c>
      <c r="B314" s="50" t="str">
        <f>IFERROR(IF(IF(ROW()-ROW(Lening!$9:$9)&lt;=AantalBetalingen,1,0)*IF(GeleendBedrag*Rentevoet*$D$5*BegindatumLening&gt;0,1,0),ROW()-ROW(Lening!$9:$9),""),"")</f>
        <v/>
      </c>
      <c r="C314" s="48" t="str">
        <f>IFERROR(IF(B314="","",IF(IF(B314&lt;=AantalBetalingen,1,0)*IF(GeleendBedrag*Rentevoet*Leningjaren*BegindatumLening&gt;0,1,0),TEXT(DATE(YEAR(BegindatumLening),MONTH(BegindatumLening)+B314,DAY(BegindatumLening)),"d-m-yyyy"),""),""),"")</f>
        <v/>
      </c>
      <c r="D314" s="49" t="str">
        <f>IFERROR(IF(IF(B314="","",IF($B314&lt;=AantalBetalingen,1,0)*IF(GeleendBedrag*Rentevoet*Leningjaren*BegindatumLening&gt;0,1,0),-FV(Rentevoet/12,ROW()-ROW(Lening[[#HEADERS],[BET.NR.]])-1,PMT(Rentevoet/12,AantalBetalingen,GeleendBedrag),GeleendBedrag),""),""),"")</f>
        <v/>
      </c>
      <c r="E314" s="49" t="str">
        <f>IFERROR(IF(IF(B314="","",IF($B314&lt;=AantalBetalingen,1,0)*IF(GeleendBedrag*Rentevoet*Leningjaren*BegindatumLening&gt;0,1,0),-PMT(Rentevoet/12,AantalBetalingen,GeleendBedrag),""),""),"")</f>
        <v/>
      </c>
      <c r="F314" s="49" t="str">
        <f>IFERROR(IF(IF($B314&lt;=AantalBetalingen,1,0)*IF(GeleendBedrag*Rentevoet*Leningjaren*BegindatumLening&gt;0,1,0),-PPMT(Rentevoet/12,ROW()-ROW(Lening[[#HEADERS],[BET.NR.]]),AantalBetalingen,GeleendBedrag),""),"")</f>
        <v/>
      </c>
      <c r="G314" s="49" t="str">
        <f>IFERROR(IF(IF($B314&lt;=AantalBetalingen,1,0)*IF(GeleendBedrag*Rentevoet*Leningjaren*BegindatumLening&gt;0,1,0),-IPMT(Rentevoet/12,$B314,AantalBetalingen,GeleendBedrag),""),"")</f>
        <v/>
      </c>
      <c r="H314" s="49" t="str">
        <f>IFERROR(IF(IF(B314="","",IF($B314&lt;=AantalBetalingen,1,0)*IF(GeleendBedrag*Rentevoet*Leningjaren*BegindatumLening&gt;0,1,0),-FV(Rentevoet/12,$B314,PMT(Rentevoet/12,AantalBetalingen,GeleendBedrag),GeleendBedrag),""),""),"")</f>
        <v/>
      </c>
    </row>
    <row r="315" ht="22.5" hidden="1" customHeight="1">
      <c r="A315" s="46">
        <f>ROW()-ROW(Lening[[#HEADERS],[BET.NR.]])</f>
        <v>306</v>
      </c>
      <c r="B315" s="50" t="str">
        <f>IFERROR(IF(IF(ROW()-ROW(Lening!$9:$9)&lt;=AantalBetalingen,1,0)*IF(GeleendBedrag*Rentevoet*$D$5*BegindatumLening&gt;0,1,0),ROW()-ROW(Lening!$9:$9),""),"")</f>
        <v/>
      </c>
      <c r="C315" s="48" t="str">
        <f>IFERROR(IF(B315="","",IF(IF(B315&lt;=AantalBetalingen,1,0)*IF(GeleendBedrag*Rentevoet*Leningjaren*BegindatumLening&gt;0,1,0),TEXT(DATE(YEAR(BegindatumLening),MONTH(BegindatumLening)+B315,DAY(BegindatumLening)),"d-m-yyyy"),""),""),"")</f>
        <v/>
      </c>
      <c r="D315" s="49" t="str">
        <f>IFERROR(IF(IF(B315="","",IF($B315&lt;=AantalBetalingen,1,0)*IF(GeleendBedrag*Rentevoet*Leningjaren*BegindatumLening&gt;0,1,0),-FV(Rentevoet/12,ROW()-ROW(Lening[[#HEADERS],[BET.NR.]])-1,PMT(Rentevoet/12,AantalBetalingen,GeleendBedrag),GeleendBedrag),""),""),"")</f>
        <v/>
      </c>
      <c r="E315" s="49" t="str">
        <f>IFERROR(IF(IF(B315="","",IF($B315&lt;=AantalBetalingen,1,0)*IF(GeleendBedrag*Rentevoet*Leningjaren*BegindatumLening&gt;0,1,0),-PMT(Rentevoet/12,AantalBetalingen,GeleendBedrag),""),""),"")</f>
        <v/>
      </c>
      <c r="F315" s="49" t="str">
        <f>IFERROR(IF(IF($B315&lt;=AantalBetalingen,1,0)*IF(GeleendBedrag*Rentevoet*Leningjaren*BegindatumLening&gt;0,1,0),-PPMT(Rentevoet/12,ROW()-ROW(Lening[[#HEADERS],[BET.NR.]]),AantalBetalingen,GeleendBedrag),""),"")</f>
        <v/>
      </c>
      <c r="G315" s="49" t="str">
        <f>IFERROR(IF(IF($B315&lt;=AantalBetalingen,1,0)*IF(GeleendBedrag*Rentevoet*Leningjaren*BegindatumLening&gt;0,1,0),-IPMT(Rentevoet/12,$B315,AantalBetalingen,GeleendBedrag),""),"")</f>
        <v/>
      </c>
      <c r="H315" s="49" t="str">
        <f>IFERROR(IF(IF(B315="","",IF($B315&lt;=AantalBetalingen,1,0)*IF(GeleendBedrag*Rentevoet*Leningjaren*BegindatumLening&gt;0,1,0),-FV(Rentevoet/12,$B315,PMT(Rentevoet/12,AantalBetalingen,GeleendBedrag),GeleendBedrag),""),""),"")</f>
        <v/>
      </c>
    </row>
    <row r="316" ht="22.5" hidden="1" customHeight="1">
      <c r="A316" s="46">
        <f>ROW()-ROW(Lening[[#HEADERS],[BET.NR.]])</f>
        <v>307</v>
      </c>
      <c r="B316" s="50" t="str">
        <f>IFERROR(IF(IF(ROW()-ROW(Lening!$9:$9)&lt;=AantalBetalingen,1,0)*IF(GeleendBedrag*Rentevoet*$D$5*BegindatumLening&gt;0,1,0),ROW()-ROW(Lening!$9:$9),""),"")</f>
        <v/>
      </c>
      <c r="C316" s="48" t="str">
        <f>IFERROR(IF(B316="","",IF(IF(B316&lt;=AantalBetalingen,1,0)*IF(GeleendBedrag*Rentevoet*Leningjaren*BegindatumLening&gt;0,1,0),TEXT(DATE(YEAR(BegindatumLening),MONTH(BegindatumLening)+B316,DAY(BegindatumLening)),"d-m-yyyy"),""),""),"")</f>
        <v/>
      </c>
      <c r="D316" s="49" t="str">
        <f>IFERROR(IF(IF(B316="","",IF($B316&lt;=AantalBetalingen,1,0)*IF(GeleendBedrag*Rentevoet*Leningjaren*BegindatumLening&gt;0,1,0),-FV(Rentevoet/12,ROW()-ROW(Lening[[#HEADERS],[BET.NR.]])-1,PMT(Rentevoet/12,AantalBetalingen,GeleendBedrag),GeleendBedrag),""),""),"")</f>
        <v/>
      </c>
      <c r="E316" s="49" t="str">
        <f>IFERROR(IF(IF(B316="","",IF($B316&lt;=AantalBetalingen,1,0)*IF(GeleendBedrag*Rentevoet*Leningjaren*BegindatumLening&gt;0,1,0),-PMT(Rentevoet/12,AantalBetalingen,GeleendBedrag),""),""),"")</f>
        <v/>
      </c>
      <c r="F316" s="49" t="str">
        <f>IFERROR(IF(IF($B316&lt;=AantalBetalingen,1,0)*IF(GeleendBedrag*Rentevoet*Leningjaren*BegindatumLening&gt;0,1,0),-PPMT(Rentevoet/12,ROW()-ROW(Lening[[#HEADERS],[BET.NR.]]),AantalBetalingen,GeleendBedrag),""),"")</f>
        <v/>
      </c>
      <c r="G316" s="49" t="str">
        <f>IFERROR(IF(IF($B316&lt;=AantalBetalingen,1,0)*IF(GeleendBedrag*Rentevoet*Leningjaren*BegindatumLening&gt;0,1,0),-IPMT(Rentevoet/12,$B316,AantalBetalingen,GeleendBedrag),""),"")</f>
        <v/>
      </c>
      <c r="H316" s="49" t="str">
        <f>IFERROR(IF(IF(B316="","",IF($B316&lt;=AantalBetalingen,1,0)*IF(GeleendBedrag*Rentevoet*Leningjaren*BegindatumLening&gt;0,1,0),-FV(Rentevoet/12,$B316,PMT(Rentevoet/12,AantalBetalingen,GeleendBedrag),GeleendBedrag),""),""),"")</f>
        <v/>
      </c>
    </row>
    <row r="317" ht="22.5" hidden="1" customHeight="1">
      <c r="A317" s="46">
        <f>ROW()-ROW(Lening[[#HEADERS],[BET.NR.]])</f>
        <v>308</v>
      </c>
      <c r="B317" s="50" t="str">
        <f>IFERROR(IF(IF(ROW()-ROW(Lening!$9:$9)&lt;=AantalBetalingen,1,0)*IF(GeleendBedrag*Rentevoet*$D$5*BegindatumLening&gt;0,1,0),ROW()-ROW(Lening!$9:$9),""),"")</f>
        <v/>
      </c>
      <c r="C317" s="48" t="str">
        <f>IFERROR(IF(B317="","",IF(IF(B317&lt;=AantalBetalingen,1,0)*IF(GeleendBedrag*Rentevoet*Leningjaren*BegindatumLening&gt;0,1,0),TEXT(DATE(YEAR(BegindatumLening),MONTH(BegindatumLening)+B317,DAY(BegindatumLening)),"d-m-yyyy"),""),""),"")</f>
        <v/>
      </c>
      <c r="D317" s="49" t="str">
        <f>IFERROR(IF(IF(B317="","",IF($B317&lt;=AantalBetalingen,1,0)*IF(GeleendBedrag*Rentevoet*Leningjaren*BegindatumLening&gt;0,1,0),-FV(Rentevoet/12,ROW()-ROW(Lening[[#HEADERS],[BET.NR.]])-1,PMT(Rentevoet/12,AantalBetalingen,GeleendBedrag),GeleendBedrag),""),""),"")</f>
        <v/>
      </c>
      <c r="E317" s="49" t="str">
        <f>IFERROR(IF(IF(B317="","",IF($B317&lt;=AantalBetalingen,1,0)*IF(GeleendBedrag*Rentevoet*Leningjaren*BegindatumLening&gt;0,1,0),-PMT(Rentevoet/12,AantalBetalingen,GeleendBedrag),""),""),"")</f>
        <v/>
      </c>
      <c r="F317" s="49" t="str">
        <f>IFERROR(IF(IF($B317&lt;=AantalBetalingen,1,0)*IF(GeleendBedrag*Rentevoet*Leningjaren*BegindatumLening&gt;0,1,0),-PPMT(Rentevoet/12,ROW()-ROW(Lening[[#HEADERS],[BET.NR.]]),AantalBetalingen,GeleendBedrag),""),"")</f>
        <v/>
      </c>
      <c r="G317" s="49" t="str">
        <f>IFERROR(IF(IF($B317&lt;=AantalBetalingen,1,0)*IF(GeleendBedrag*Rentevoet*Leningjaren*BegindatumLening&gt;0,1,0),-IPMT(Rentevoet/12,$B317,AantalBetalingen,GeleendBedrag),""),"")</f>
        <v/>
      </c>
      <c r="H317" s="49" t="str">
        <f>IFERROR(IF(IF(B317="","",IF($B317&lt;=AantalBetalingen,1,0)*IF(GeleendBedrag*Rentevoet*Leningjaren*BegindatumLening&gt;0,1,0),-FV(Rentevoet/12,$B317,PMT(Rentevoet/12,AantalBetalingen,GeleendBedrag),GeleendBedrag),""),""),"")</f>
        <v/>
      </c>
    </row>
    <row r="318" ht="22.5" hidden="1" customHeight="1">
      <c r="A318" s="46">
        <f>ROW()-ROW(Lening[[#HEADERS],[BET.NR.]])</f>
        <v>309</v>
      </c>
      <c r="B318" s="50" t="str">
        <f>IFERROR(IF(IF(ROW()-ROW(Lening!$9:$9)&lt;=AantalBetalingen,1,0)*IF(GeleendBedrag*Rentevoet*$D$5*BegindatumLening&gt;0,1,0),ROW()-ROW(Lening!$9:$9),""),"")</f>
        <v/>
      </c>
      <c r="C318" s="48" t="str">
        <f>IFERROR(IF(B318="","",IF(IF(B318&lt;=AantalBetalingen,1,0)*IF(GeleendBedrag*Rentevoet*Leningjaren*BegindatumLening&gt;0,1,0),TEXT(DATE(YEAR(BegindatumLening),MONTH(BegindatumLening)+B318,DAY(BegindatumLening)),"d-m-yyyy"),""),""),"")</f>
        <v/>
      </c>
      <c r="D318" s="49" t="str">
        <f>IFERROR(IF(IF(B318="","",IF($B318&lt;=AantalBetalingen,1,0)*IF(GeleendBedrag*Rentevoet*Leningjaren*BegindatumLening&gt;0,1,0),-FV(Rentevoet/12,ROW()-ROW(Lening[[#HEADERS],[BET.NR.]])-1,PMT(Rentevoet/12,AantalBetalingen,GeleendBedrag),GeleendBedrag),""),""),"")</f>
        <v/>
      </c>
      <c r="E318" s="49" t="str">
        <f>IFERROR(IF(IF(B318="","",IF($B318&lt;=AantalBetalingen,1,0)*IF(GeleendBedrag*Rentevoet*Leningjaren*BegindatumLening&gt;0,1,0),-PMT(Rentevoet/12,AantalBetalingen,GeleendBedrag),""),""),"")</f>
        <v/>
      </c>
      <c r="F318" s="49" t="str">
        <f>IFERROR(IF(IF($B318&lt;=AantalBetalingen,1,0)*IF(GeleendBedrag*Rentevoet*Leningjaren*BegindatumLening&gt;0,1,0),-PPMT(Rentevoet/12,ROW()-ROW(Lening[[#HEADERS],[BET.NR.]]),AantalBetalingen,GeleendBedrag),""),"")</f>
        <v/>
      </c>
      <c r="G318" s="49" t="str">
        <f>IFERROR(IF(IF($B318&lt;=AantalBetalingen,1,0)*IF(GeleendBedrag*Rentevoet*Leningjaren*BegindatumLening&gt;0,1,0),-IPMT(Rentevoet/12,$B318,AantalBetalingen,GeleendBedrag),""),"")</f>
        <v/>
      </c>
      <c r="H318" s="49" t="str">
        <f>IFERROR(IF(IF(B318="","",IF($B318&lt;=AantalBetalingen,1,0)*IF(GeleendBedrag*Rentevoet*Leningjaren*BegindatumLening&gt;0,1,0),-FV(Rentevoet/12,$B318,PMT(Rentevoet/12,AantalBetalingen,GeleendBedrag),GeleendBedrag),""),""),"")</f>
        <v/>
      </c>
    </row>
    <row r="319" ht="22.5" hidden="1" customHeight="1">
      <c r="A319" s="46">
        <f>ROW()-ROW(Lening[[#HEADERS],[BET.NR.]])</f>
        <v>310</v>
      </c>
      <c r="B319" s="50" t="str">
        <f>IFERROR(IF(IF(ROW()-ROW(Lening!$9:$9)&lt;=AantalBetalingen,1,0)*IF(GeleendBedrag*Rentevoet*$D$5*BegindatumLening&gt;0,1,0),ROW()-ROW(Lening!$9:$9),""),"")</f>
        <v/>
      </c>
      <c r="C319" s="48" t="str">
        <f>IFERROR(IF(B319="","",IF(IF(B319&lt;=AantalBetalingen,1,0)*IF(GeleendBedrag*Rentevoet*Leningjaren*BegindatumLening&gt;0,1,0),TEXT(DATE(YEAR(BegindatumLening),MONTH(BegindatumLening)+B319,DAY(BegindatumLening)),"d-m-yyyy"),""),""),"")</f>
        <v/>
      </c>
      <c r="D319" s="49" t="str">
        <f>IFERROR(IF(IF(B319="","",IF($B319&lt;=AantalBetalingen,1,0)*IF(GeleendBedrag*Rentevoet*Leningjaren*BegindatumLening&gt;0,1,0),-FV(Rentevoet/12,ROW()-ROW(Lening[[#HEADERS],[BET.NR.]])-1,PMT(Rentevoet/12,AantalBetalingen,GeleendBedrag),GeleendBedrag),""),""),"")</f>
        <v/>
      </c>
      <c r="E319" s="49" t="str">
        <f>IFERROR(IF(IF(B319="","",IF($B319&lt;=AantalBetalingen,1,0)*IF(GeleendBedrag*Rentevoet*Leningjaren*BegindatumLening&gt;0,1,0),-PMT(Rentevoet/12,AantalBetalingen,GeleendBedrag),""),""),"")</f>
        <v/>
      </c>
      <c r="F319" s="49" t="str">
        <f>IFERROR(IF(IF($B319&lt;=AantalBetalingen,1,0)*IF(GeleendBedrag*Rentevoet*Leningjaren*BegindatumLening&gt;0,1,0),-PPMT(Rentevoet/12,ROW()-ROW(Lening[[#HEADERS],[BET.NR.]]),AantalBetalingen,GeleendBedrag),""),"")</f>
        <v/>
      </c>
      <c r="G319" s="49" t="str">
        <f>IFERROR(IF(IF($B319&lt;=AantalBetalingen,1,0)*IF(GeleendBedrag*Rentevoet*Leningjaren*BegindatumLening&gt;0,1,0),-IPMT(Rentevoet/12,$B319,AantalBetalingen,GeleendBedrag),""),"")</f>
        <v/>
      </c>
      <c r="H319" s="49" t="str">
        <f>IFERROR(IF(IF(B319="","",IF($B319&lt;=AantalBetalingen,1,0)*IF(GeleendBedrag*Rentevoet*Leningjaren*BegindatumLening&gt;0,1,0),-FV(Rentevoet/12,$B319,PMT(Rentevoet/12,AantalBetalingen,GeleendBedrag),GeleendBedrag),""),""),"")</f>
        <v/>
      </c>
    </row>
    <row r="320" ht="22.5" hidden="1" customHeight="1">
      <c r="A320" s="46">
        <f>ROW()-ROW(Lening[[#HEADERS],[BET.NR.]])</f>
        <v>311</v>
      </c>
      <c r="B320" s="50" t="str">
        <f>IFERROR(IF(IF(ROW()-ROW(Lening!$9:$9)&lt;=AantalBetalingen,1,0)*IF(GeleendBedrag*Rentevoet*$D$5*BegindatumLening&gt;0,1,0),ROW()-ROW(Lening!$9:$9),""),"")</f>
        <v/>
      </c>
      <c r="C320" s="48" t="str">
        <f>IFERROR(IF(B320="","",IF(IF(B320&lt;=AantalBetalingen,1,0)*IF(GeleendBedrag*Rentevoet*Leningjaren*BegindatumLening&gt;0,1,0),TEXT(DATE(YEAR(BegindatumLening),MONTH(BegindatumLening)+B320,DAY(BegindatumLening)),"d-m-yyyy"),""),""),"")</f>
        <v/>
      </c>
      <c r="D320" s="49" t="str">
        <f>IFERROR(IF(IF(B320="","",IF($B320&lt;=AantalBetalingen,1,0)*IF(GeleendBedrag*Rentevoet*Leningjaren*BegindatumLening&gt;0,1,0),-FV(Rentevoet/12,ROW()-ROW(Lening[[#HEADERS],[BET.NR.]])-1,PMT(Rentevoet/12,AantalBetalingen,GeleendBedrag),GeleendBedrag),""),""),"")</f>
        <v/>
      </c>
      <c r="E320" s="49" t="str">
        <f>IFERROR(IF(IF(B320="","",IF($B320&lt;=AantalBetalingen,1,0)*IF(GeleendBedrag*Rentevoet*Leningjaren*BegindatumLening&gt;0,1,0),-PMT(Rentevoet/12,AantalBetalingen,GeleendBedrag),""),""),"")</f>
        <v/>
      </c>
      <c r="F320" s="49" t="str">
        <f>IFERROR(IF(IF($B320&lt;=AantalBetalingen,1,0)*IF(GeleendBedrag*Rentevoet*Leningjaren*BegindatumLening&gt;0,1,0),-PPMT(Rentevoet/12,ROW()-ROW(Lening[[#HEADERS],[BET.NR.]]),AantalBetalingen,GeleendBedrag),""),"")</f>
        <v/>
      </c>
      <c r="G320" s="49" t="str">
        <f>IFERROR(IF(IF($B320&lt;=AantalBetalingen,1,0)*IF(GeleendBedrag*Rentevoet*Leningjaren*BegindatumLening&gt;0,1,0),-IPMT(Rentevoet/12,$B320,AantalBetalingen,GeleendBedrag),""),"")</f>
        <v/>
      </c>
      <c r="H320" s="49" t="str">
        <f>IFERROR(IF(IF(B320="","",IF($B320&lt;=AantalBetalingen,1,0)*IF(GeleendBedrag*Rentevoet*Leningjaren*BegindatumLening&gt;0,1,0),-FV(Rentevoet/12,$B320,PMT(Rentevoet/12,AantalBetalingen,GeleendBedrag),GeleendBedrag),""),""),"")</f>
        <v/>
      </c>
    </row>
    <row r="321" ht="22.5" hidden="1" customHeight="1">
      <c r="A321" s="46">
        <f>ROW()-ROW(Lening[[#HEADERS],[BET.NR.]])</f>
        <v>312</v>
      </c>
      <c r="B321" s="50" t="str">
        <f>IFERROR(IF(IF(ROW()-ROW(Lening!$9:$9)&lt;=AantalBetalingen,1,0)*IF(GeleendBedrag*Rentevoet*$D$5*BegindatumLening&gt;0,1,0),ROW()-ROW(Lening!$9:$9),""),"")</f>
        <v/>
      </c>
      <c r="C321" s="48" t="str">
        <f>IFERROR(IF(B321="","",IF(IF(B321&lt;=AantalBetalingen,1,0)*IF(GeleendBedrag*Rentevoet*Leningjaren*BegindatumLening&gt;0,1,0),TEXT(DATE(YEAR(BegindatumLening),MONTH(BegindatumLening)+B321,DAY(BegindatumLening)),"d-m-yyyy"),""),""),"")</f>
        <v/>
      </c>
      <c r="D321" s="49" t="str">
        <f>IFERROR(IF(IF(B321="","",IF($B321&lt;=AantalBetalingen,1,0)*IF(GeleendBedrag*Rentevoet*Leningjaren*BegindatumLening&gt;0,1,0),-FV(Rentevoet/12,ROW()-ROW(Lening[[#HEADERS],[BET.NR.]])-1,PMT(Rentevoet/12,AantalBetalingen,GeleendBedrag),GeleendBedrag),""),""),"")</f>
        <v/>
      </c>
      <c r="E321" s="49" t="str">
        <f>IFERROR(IF(IF(B321="","",IF($B321&lt;=AantalBetalingen,1,0)*IF(GeleendBedrag*Rentevoet*Leningjaren*BegindatumLening&gt;0,1,0),-PMT(Rentevoet/12,AantalBetalingen,GeleendBedrag),""),""),"")</f>
        <v/>
      </c>
      <c r="F321" s="49" t="str">
        <f>IFERROR(IF(IF($B321&lt;=AantalBetalingen,1,0)*IF(GeleendBedrag*Rentevoet*Leningjaren*BegindatumLening&gt;0,1,0),-PPMT(Rentevoet/12,ROW()-ROW(Lening[[#HEADERS],[BET.NR.]]),AantalBetalingen,GeleendBedrag),""),"")</f>
        <v/>
      </c>
      <c r="G321" s="49" t="str">
        <f>IFERROR(IF(IF($B321&lt;=AantalBetalingen,1,0)*IF(GeleendBedrag*Rentevoet*Leningjaren*BegindatumLening&gt;0,1,0),-IPMT(Rentevoet/12,$B321,AantalBetalingen,GeleendBedrag),""),"")</f>
        <v/>
      </c>
      <c r="H321" s="49" t="str">
        <f>IFERROR(IF(IF(B321="","",IF($B321&lt;=AantalBetalingen,1,0)*IF(GeleendBedrag*Rentevoet*Leningjaren*BegindatumLening&gt;0,1,0),-FV(Rentevoet/12,$B321,PMT(Rentevoet/12,AantalBetalingen,GeleendBedrag),GeleendBedrag),""),""),"")</f>
        <v/>
      </c>
    </row>
    <row r="322" ht="22.5" hidden="1" customHeight="1">
      <c r="A322" s="46">
        <f>ROW()-ROW(Lening[[#HEADERS],[BET.NR.]])</f>
        <v>313</v>
      </c>
      <c r="B322" s="50" t="str">
        <f>IFERROR(IF(IF(ROW()-ROW(Lening!$9:$9)&lt;=AantalBetalingen,1,0)*IF(GeleendBedrag*Rentevoet*$D$5*BegindatumLening&gt;0,1,0),ROW()-ROW(Lening!$9:$9),""),"")</f>
        <v/>
      </c>
      <c r="C322" s="48" t="str">
        <f>IFERROR(IF(B322="","",IF(IF(B322&lt;=AantalBetalingen,1,0)*IF(GeleendBedrag*Rentevoet*Leningjaren*BegindatumLening&gt;0,1,0),TEXT(DATE(YEAR(BegindatumLening),MONTH(BegindatumLening)+B322,DAY(BegindatumLening)),"d-m-yyyy"),""),""),"")</f>
        <v/>
      </c>
      <c r="D322" s="49" t="str">
        <f>IFERROR(IF(IF(B322="","",IF($B322&lt;=AantalBetalingen,1,0)*IF(GeleendBedrag*Rentevoet*Leningjaren*BegindatumLening&gt;0,1,0),-FV(Rentevoet/12,ROW()-ROW(Lening[[#HEADERS],[BET.NR.]])-1,PMT(Rentevoet/12,AantalBetalingen,GeleendBedrag),GeleendBedrag),""),""),"")</f>
        <v/>
      </c>
      <c r="E322" s="49" t="str">
        <f>IFERROR(IF(IF(B322="","",IF($B322&lt;=AantalBetalingen,1,0)*IF(GeleendBedrag*Rentevoet*Leningjaren*BegindatumLening&gt;0,1,0),-PMT(Rentevoet/12,AantalBetalingen,GeleendBedrag),""),""),"")</f>
        <v/>
      </c>
      <c r="F322" s="49" t="str">
        <f>IFERROR(IF(IF($B322&lt;=AantalBetalingen,1,0)*IF(GeleendBedrag*Rentevoet*Leningjaren*BegindatumLening&gt;0,1,0),-PPMT(Rentevoet/12,ROW()-ROW(Lening[[#HEADERS],[BET.NR.]]),AantalBetalingen,GeleendBedrag),""),"")</f>
        <v/>
      </c>
      <c r="G322" s="49" t="str">
        <f>IFERROR(IF(IF($B322&lt;=AantalBetalingen,1,0)*IF(GeleendBedrag*Rentevoet*Leningjaren*BegindatumLening&gt;0,1,0),-IPMT(Rentevoet/12,$B322,AantalBetalingen,GeleendBedrag),""),"")</f>
        <v/>
      </c>
      <c r="H322" s="49" t="str">
        <f>IFERROR(IF(IF(B322="","",IF($B322&lt;=AantalBetalingen,1,0)*IF(GeleendBedrag*Rentevoet*Leningjaren*BegindatumLening&gt;0,1,0),-FV(Rentevoet/12,$B322,PMT(Rentevoet/12,AantalBetalingen,GeleendBedrag),GeleendBedrag),""),""),"")</f>
        <v/>
      </c>
    </row>
    <row r="323" ht="22.5" hidden="1" customHeight="1">
      <c r="A323" s="46">
        <f>ROW()-ROW(Lening[[#HEADERS],[BET.NR.]])</f>
        <v>314</v>
      </c>
      <c r="B323" s="50" t="str">
        <f>IFERROR(IF(IF(ROW()-ROW(Lening!$9:$9)&lt;=AantalBetalingen,1,0)*IF(GeleendBedrag*Rentevoet*$D$5*BegindatumLening&gt;0,1,0),ROW()-ROW(Lening!$9:$9),""),"")</f>
        <v/>
      </c>
      <c r="C323" s="48" t="str">
        <f>IFERROR(IF(B323="","",IF(IF(B323&lt;=AantalBetalingen,1,0)*IF(GeleendBedrag*Rentevoet*Leningjaren*BegindatumLening&gt;0,1,0),TEXT(DATE(YEAR(BegindatumLening),MONTH(BegindatumLening)+B323,DAY(BegindatumLening)),"d-m-yyyy"),""),""),"")</f>
        <v/>
      </c>
      <c r="D323" s="49" t="str">
        <f>IFERROR(IF(IF(B323="","",IF($B323&lt;=AantalBetalingen,1,0)*IF(GeleendBedrag*Rentevoet*Leningjaren*BegindatumLening&gt;0,1,0),-FV(Rentevoet/12,ROW()-ROW(Lening[[#HEADERS],[BET.NR.]])-1,PMT(Rentevoet/12,AantalBetalingen,GeleendBedrag),GeleendBedrag),""),""),"")</f>
        <v/>
      </c>
      <c r="E323" s="49" t="str">
        <f>IFERROR(IF(IF(B323="","",IF($B323&lt;=AantalBetalingen,1,0)*IF(GeleendBedrag*Rentevoet*Leningjaren*BegindatumLening&gt;0,1,0),-PMT(Rentevoet/12,AantalBetalingen,GeleendBedrag),""),""),"")</f>
        <v/>
      </c>
      <c r="F323" s="49" t="str">
        <f>IFERROR(IF(IF($B323&lt;=AantalBetalingen,1,0)*IF(GeleendBedrag*Rentevoet*Leningjaren*BegindatumLening&gt;0,1,0),-PPMT(Rentevoet/12,ROW()-ROW(Lening[[#HEADERS],[BET.NR.]]),AantalBetalingen,GeleendBedrag),""),"")</f>
        <v/>
      </c>
      <c r="G323" s="49" t="str">
        <f>IFERROR(IF(IF($B323&lt;=AantalBetalingen,1,0)*IF(GeleendBedrag*Rentevoet*Leningjaren*BegindatumLening&gt;0,1,0),-IPMT(Rentevoet/12,$B323,AantalBetalingen,GeleendBedrag),""),"")</f>
        <v/>
      </c>
      <c r="H323" s="49" t="str">
        <f>IFERROR(IF(IF(B323="","",IF($B323&lt;=AantalBetalingen,1,0)*IF(GeleendBedrag*Rentevoet*Leningjaren*BegindatumLening&gt;0,1,0),-FV(Rentevoet/12,$B323,PMT(Rentevoet/12,AantalBetalingen,GeleendBedrag),GeleendBedrag),""),""),"")</f>
        <v/>
      </c>
    </row>
    <row r="324" ht="22.5" hidden="1" customHeight="1">
      <c r="A324" s="46">
        <f>ROW()-ROW(Lening[[#HEADERS],[BET.NR.]])</f>
        <v>315</v>
      </c>
      <c r="B324" s="50" t="str">
        <f>IFERROR(IF(IF(ROW()-ROW(Lening!$9:$9)&lt;=AantalBetalingen,1,0)*IF(GeleendBedrag*Rentevoet*$D$5*BegindatumLening&gt;0,1,0),ROW()-ROW(Lening!$9:$9),""),"")</f>
        <v/>
      </c>
      <c r="C324" s="48" t="str">
        <f>IFERROR(IF(B324="","",IF(IF(B324&lt;=AantalBetalingen,1,0)*IF(GeleendBedrag*Rentevoet*Leningjaren*BegindatumLening&gt;0,1,0),TEXT(DATE(YEAR(BegindatumLening),MONTH(BegindatumLening)+B324,DAY(BegindatumLening)),"d-m-yyyy"),""),""),"")</f>
        <v/>
      </c>
      <c r="D324" s="49" t="str">
        <f>IFERROR(IF(IF(B324="","",IF($B324&lt;=AantalBetalingen,1,0)*IF(GeleendBedrag*Rentevoet*Leningjaren*BegindatumLening&gt;0,1,0),-FV(Rentevoet/12,ROW()-ROW(Lening[[#HEADERS],[BET.NR.]])-1,PMT(Rentevoet/12,AantalBetalingen,GeleendBedrag),GeleendBedrag),""),""),"")</f>
        <v/>
      </c>
      <c r="E324" s="49" t="str">
        <f>IFERROR(IF(IF(B324="","",IF($B324&lt;=AantalBetalingen,1,0)*IF(GeleendBedrag*Rentevoet*Leningjaren*BegindatumLening&gt;0,1,0),-PMT(Rentevoet/12,AantalBetalingen,GeleendBedrag),""),""),"")</f>
        <v/>
      </c>
      <c r="F324" s="49" t="str">
        <f>IFERROR(IF(IF($B324&lt;=AantalBetalingen,1,0)*IF(GeleendBedrag*Rentevoet*Leningjaren*BegindatumLening&gt;0,1,0),-PPMT(Rentevoet/12,ROW()-ROW(Lening[[#HEADERS],[BET.NR.]]),AantalBetalingen,GeleendBedrag),""),"")</f>
        <v/>
      </c>
      <c r="G324" s="49" t="str">
        <f>IFERROR(IF(IF($B324&lt;=AantalBetalingen,1,0)*IF(GeleendBedrag*Rentevoet*Leningjaren*BegindatumLening&gt;0,1,0),-IPMT(Rentevoet/12,$B324,AantalBetalingen,GeleendBedrag),""),"")</f>
        <v/>
      </c>
      <c r="H324" s="49" t="str">
        <f>IFERROR(IF(IF(B324="","",IF($B324&lt;=AantalBetalingen,1,0)*IF(GeleendBedrag*Rentevoet*Leningjaren*BegindatumLening&gt;0,1,0),-FV(Rentevoet/12,$B324,PMT(Rentevoet/12,AantalBetalingen,GeleendBedrag),GeleendBedrag),""),""),"")</f>
        <v/>
      </c>
    </row>
    <row r="325" ht="22.5" hidden="1" customHeight="1">
      <c r="A325" s="46">
        <f>ROW()-ROW(Lening[[#HEADERS],[BET.NR.]])</f>
        <v>316</v>
      </c>
      <c r="B325" s="50" t="str">
        <f>IFERROR(IF(IF(ROW()-ROW(Lening!$9:$9)&lt;=AantalBetalingen,1,0)*IF(GeleendBedrag*Rentevoet*$D$5*BegindatumLening&gt;0,1,0),ROW()-ROW(Lening!$9:$9),""),"")</f>
        <v/>
      </c>
      <c r="C325" s="48" t="str">
        <f>IFERROR(IF(B325="","",IF(IF(B325&lt;=AantalBetalingen,1,0)*IF(GeleendBedrag*Rentevoet*Leningjaren*BegindatumLening&gt;0,1,0),TEXT(DATE(YEAR(BegindatumLening),MONTH(BegindatumLening)+B325,DAY(BegindatumLening)),"d-m-yyyy"),""),""),"")</f>
        <v/>
      </c>
      <c r="D325" s="49" t="str">
        <f>IFERROR(IF(IF(B325="","",IF($B325&lt;=AantalBetalingen,1,0)*IF(GeleendBedrag*Rentevoet*Leningjaren*BegindatumLening&gt;0,1,0),-FV(Rentevoet/12,ROW()-ROW(Lening[[#HEADERS],[BET.NR.]])-1,PMT(Rentevoet/12,AantalBetalingen,GeleendBedrag),GeleendBedrag),""),""),"")</f>
        <v/>
      </c>
      <c r="E325" s="49" t="str">
        <f>IFERROR(IF(IF(B325="","",IF($B325&lt;=AantalBetalingen,1,0)*IF(GeleendBedrag*Rentevoet*Leningjaren*BegindatumLening&gt;0,1,0),-PMT(Rentevoet/12,AantalBetalingen,GeleendBedrag),""),""),"")</f>
        <v/>
      </c>
      <c r="F325" s="49" t="str">
        <f>IFERROR(IF(IF($B325&lt;=AantalBetalingen,1,0)*IF(GeleendBedrag*Rentevoet*Leningjaren*BegindatumLening&gt;0,1,0),-PPMT(Rentevoet/12,ROW()-ROW(Lening[[#HEADERS],[BET.NR.]]),AantalBetalingen,GeleendBedrag),""),"")</f>
        <v/>
      </c>
      <c r="G325" s="49" t="str">
        <f>IFERROR(IF(IF($B325&lt;=AantalBetalingen,1,0)*IF(GeleendBedrag*Rentevoet*Leningjaren*BegindatumLening&gt;0,1,0),-IPMT(Rentevoet/12,$B325,AantalBetalingen,GeleendBedrag),""),"")</f>
        <v/>
      </c>
      <c r="H325" s="49" t="str">
        <f>IFERROR(IF(IF(B325="","",IF($B325&lt;=AantalBetalingen,1,0)*IF(GeleendBedrag*Rentevoet*Leningjaren*BegindatumLening&gt;0,1,0),-FV(Rentevoet/12,$B325,PMT(Rentevoet/12,AantalBetalingen,GeleendBedrag),GeleendBedrag),""),""),"")</f>
        <v/>
      </c>
    </row>
    <row r="326" ht="22.5" hidden="1" customHeight="1">
      <c r="A326" s="46">
        <f>ROW()-ROW(Lening[[#HEADERS],[BET.NR.]])</f>
        <v>317</v>
      </c>
      <c r="B326" s="50" t="str">
        <f>IFERROR(IF(IF(ROW()-ROW(Lening!$9:$9)&lt;=AantalBetalingen,1,0)*IF(GeleendBedrag*Rentevoet*$D$5*BegindatumLening&gt;0,1,0),ROW()-ROW(Lening!$9:$9),""),"")</f>
        <v/>
      </c>
      <c r="C326" s="48" t="str">
        <f>IFERROR(IF(B326="","",IF(IF(B326&lt;=AantalBetalingen,1,0)*IF(GeleendBedrag*Rentevoet*Leningjaren*BegindatumLening&gt;0,1,0),TEXT(DATE(YEAR(BegindatumLening),MONTH(BegindatumLening)+B326,DAY(BegindatumLening)),"d-m-yyyy"),""),""),"")</f>
        <v/>
      </c>
      <c r="D326" s="49" t="str">
        <f>IFERROR(IF(IF(B326="","",IF($B326&lt;=AantalBetalingen,1,0)*IF(GeleendBedrag*Rentevoet*Leningjaren*BegindatumLening&gt;0,1,0),-FV(Rentevoet/12,ROW()-ROW(Lening[[#HEADERS],[BET.NR.]])-1,PMT(Rentevoet/12,AantalBetalingen,GeleendBedrag),GeleendBedrag),""),""),"")</f>
        <v/>
      </c>
      <c r="E326" s="49" t="str">
        <f>IFERROR(IF(IF(B326="","",IF($B326&lt;=AantalBetalingen,1,0)*IF(GeleendBedrag*Rentevoet*Leningjaren*BegindatumLening&gt;0,1,0),-PMT(Rentevoet/12,AantalBetalingen,GeleendBedrag),""),""),"")</f>
        <v/>
      </c>
      <c r="F326" s="49" t="str">
        <f>IFERROR(IF(IF($B326&lt;=AantalBetalingen,1,0)*IF(GeleendBedrag*Rentevoet*Leningjaren*BegindatumLening&gt;0,1,0),-PPMT(Rentevoet/12,ROW()-ROW(Lening[[#HEADERS],[BET.NR.]]),AantalBetalingen,GeleendBedrag),""),"")</f>
        <v/>
      </c>
      <c r="G326" s="49" t="str">
        <f>IFERROR(IF(IF($B326&lt;=AantalBetalingen,1,0)*IF(GeleendBedrag*Rentevoet*Leningjaren*BegindatumLening&gt;0,1,0),-IPMT(Rentevoet/12,$B326,AantalBetalingen,GeleendBedrag),""),"")</f>
        <v/>
      </c>
      <c r="H326" s="49" t="str">
        <f>IFERROR(IF(IF(B326="","",IF($B326&lt;=AantalBetalingen,1,0)*IF(GeleendBedrag*Rentevoet*Leningjaren*BegindatumLening&gt;0,1,0),-FV(Rentevoet/12,$B326,PMT(Rentevoet/12,AantalBetalingen,GeleendBedrag),GeleendBedrag),""),""),"")</f>
        <v/>
      </c>
    </row>
    <row r="327" ht="22.5" hidden="1" customHeight="1">
      <c r="A327" s="46">
        <f>ROW()-ROW(Lening[[#HEADERS],[BET.NR.]])</f>
        <v>318</v>
      </c>
      <c r="B327" s="50" t="str">
        <f>IFERROR(IF(IF(ROW()-ROW(Lening!$9:$9)&lt;=AantalBetalingen,1,0)*IF(GeleendBedrag*Rentevoet*$D$5*BegindatumLening&gt;0,1,0),ROW()-ROW(Lening!$9:$9),""),"")</f>
        <v/>
      </c>
      <c r="C327" s="48" t="str">
        <f>IFERROR(IF(B327="","",IF(IF(B327&lt;=AantalBetalingen,1,0)*IF(GeleendBedrag*Rentevoet*Leningjaren*BegindatumLening&gt;0,1,0),TEXT(DATE(YEAR(BegindatumLening),MONTH(BegindatumLening)+B327,DAY(BegindatumLening)),"d-m-yyyy"),""),""),"")</f>
        <v/>
      </c>
      <c r="D327" s="49" t="str">
        <f>IFERROR(IF(IF(B327="","",IF($B327&lt;=AantalBetalingen,1,0)*IF(GeleendBedrag*Rentevoet*Leningjaren*BegindatumLening&gt;0,1,0),-FV(Rentevoet/12,ROW()-ROW(Lening[[#HEADERS],[BET.NR.]])-1,PMT(Rentevoet/12,AantalBetalingen,GeleendBedrag),GeleendBedrag),""),""),"")</f>
        <v/>
      </c>
      <c r="E327" s="49" t="str">
        <f>IFERROR(IF(IF(B327="","",IF($B327&lt;=AantalBetalingen,1,0)*IF(GeleendBedrag*Rentevoet*Leningjaren*BegindatumLening&gt;0,1,0),-PMT(Rentevoet/12,AantalBetalingen,GeleendBedrag),""),""),"")</f>
        <v/>
      </c>
      <c r="F327" s="49" t="str">
        <f>IFERROR(IF(IF($B327&lt;=AantalBetalingen,1,0)*IF(GeleendBedrag*Rentevoet*Leningjaren*BegindatumLening&gt;0,1,0),-PPMT(Rentevoet/12,ROW()-ROW(Lening[[#HEADERS],[BET.NR.]]),AantalBetalingen,GeleendBedrag),""),"")</f>
        <v/>
      </c>
      <c r="G327" s="49" t="str">
        <f>IFERROR(IF(IF($B327&lt;=AantalBetalingen,1,0)*IF(GeleendBedrag*Rentevoet*Leningjaren*BegindatumLening&gt;0,1,0),-IPMT(Rentevoet/12,$B327,AantalBetalingen,GeleendBedrag),""),"")</f>
        <v/>
      </c>
      <c r="H327" s="49" t="str">
        <f>IFERROR(IF(IF(B327="","",IF($B327&lt;=AantalBetalingen,1,0)*IF(GeleendBedrag*Rentevoet*Leningjaren*BegindatumLening&gt;0,1,0),-FV(Rentevoet/12,$B327,PMT(Rentevoet/12,AantalBetalingen,GeleendBedrag),GeleendBedrag),""),""),"")</f>
        <v/>
      </c>
    </row>
    <row r="328" ht="22.5" hidden="1" customHeight="1">
      <c r="A328" s="46">
        <f>ROW()-ROW(Lening[[#HEADERS],[BET.NR.]])</f>
        <v>319</v>
      </c>
      <c r="B328" s="50" t="str">
        <f>IFERROR(IF(IF(ROW()-ROW(Lening!$9:$9)&lt;=AantalBetalingen,1,0)*IF(GeleendBedrag*Rentevoet*$D$5*BegindatumLening&gt;0,1,0),ROW()-ROW(Lening!$9:$9),""),"")</f>
        <v/>
      </c>
      <c r="C328" s="48" t="str">
        <f>IFERROR(IF(B328="","",IF(IF(B328&lt;=AantalBetalingen,1,0)*IF(GeleendBedrag*Rentevoet*Leningjaren*BegindatumLening&gt;0,1,0),TEXT(DATE(YEAR(BegindatumLening),MONTH(BegindatumLening)+B328,DAY(BegindatumLening)),"d-m-yyyy"),""),""),"")</f>
        <v/>
      </c>
      <c r="D328" s="49" t="str">
        <f>IFERROR(IF(IF(B328="","",IF($B328&lt;=AantalBetalingen,1,0)*IF(GeleendBedrag*Rentevoet*Leningjaren*BegindatumLening&gt;0,1,0),-FV(Rentevoet/12,ROW()-ROW(Lening[[#HEADERS],[BET.NR.]])-1,PMT(Rentevoet/12,AantalBetalingen,GeleendBedrag),GeleendBedrag),""),""),"")</f>
        <v/>
      </c>
      <c r="E328" s="49" t="str">
        <f>IFERROR(IF(IF(B328="","",IF($B328&lt;=AantalBetalingen,1,0)*IF(GeleendBedrag*Rentevoet*Leningjaren*BegindatumLening&gt;0,1,0),-PMT(Rentevoet/12,AantalBetalingen,GeleendBedrag),""),""),"")</f>
        <v/>
      </c>
      <c r="F328" s="49" t="str">
        <f>IFERROR(IF(IF($B328&lt;=AantalBetalingen,1,0)*IF(GeleendBedrag*Rentevoet*Leningjaren*BegindatumLening&gt;0,1,0),-PPMT(Rentevoet/12,ROW()-ROW(Lening[[#HEADERS],[BET.NR.]]),AantalBetalingen,GeleendBedrag),""),"")</f>
        <v/>
      </c>
      <c r="G328" s="49" t="str">
        <f>IFERROR(IF(IF($B328&lt;=AantalBetalingen,1,0)*IF(GeleendBedrag*Rentevoet*Leningjaren*BegindatumLening&gt;0,1,0),-IPMT(Rentevoet/12,$B328,AantalBetalingen,GeleendBedrag),""),"")</f>
        <v/>
      </c>
      <c r="H328" s="49" t="str">
        <f>IFERROR(IF(IF(B328="","",IF($B328&lt;=AantalBetalingen,1,0)*IF(GeleendBedrag*Rentevoet*Leningjaren*BegindatumLening&gt;0,1,0),-FV(Rentevoet/12,$B328,PMT(Rentevoet/12,AantalBetalingen,GeleendBedrag),GeleendBedrag),""),""),"")</f>
        <v/>
      </c>
    </row>
    <row r="329" ht="22.5" hidden="1" customHeight="1">
      <c r="A329" s="46">
        <f>ROW()-ROW(Lening[[#HEADERS],[BET.NR.]])</f>
        <v>320</v>
      </c>
      <c r="B329" s="50" t="str">
        <f>IFERROR(IF(IF(ROW()-ROW(Lening!$9:$9)&lt;=AantalBetalingen,1,0)*IF(GeleendBedrag*Rentevoet*$D$5*BegindatumLening&gt;0,1,0),ROW()-ROW(Lening!$9:$9),""),"")</f>
        <v/>
      </c>
      <c r="C329" s="48" t="str">
        <f>IFERROR(IF(B329="","",IF(IF(B329&lt;=AantalBetalingen,1,0)*IF(GeleendBedrag*Rentevoet*Leningjaren*BegindatumLening&gt;0,1,0),TEXT(DATE(YEAR(BegindatumLening),MONTH(BegindatumLening)+B329,DAY(BegindatumLening)),"d-m-yyyy"),""),""),"")</f>
        <v/>
      </c>
      <c r="D329" s="49" t="str">
        <f>IFERROR(IF(IF(B329="","",IF($B329&lt;=AantalBetalingen,1,0)*IF(GeleendBedrag*Rentevoet*Leningjaren*BegindatumLening&gt;0,1,0),-FV(Rentevoet/12,ROW()-ROW(Lening[[#HEADERS],[BET.NR.]])-1,PMT(Rentevoet/12,AantalBetalingen,GeleendBedrag),GeleendBedrag),""),""),"")</f>
        <v/>
      </c>
      <c r="E329" s="49" t="str">
        <f>IFERROR(IF(IF(B329="","",IF($B329&lt;=AantalBetalingen,1,0)*IF(GeleendBedrag*Rentevoet*Leningjaren*BegindatumLening&gt;0,1,0),-PMT(Rentevoet/12,AantalBetalingen,GeleendBedrag),""),""),"")</f>
        <v/>
      </c>
      <c r="F329" s="49" t="str">
        <f>IFERROR(IF(IF($B329&lt;=AantalBetalingen,1,0)*IF(GeleendBedrag*Rentevoet*Leningjaren*BegindatumLening&gt;0,1,0),-PPMT(Rentevoet/12,ROW()-ROW(Lening[[#HEADERS],[BET.NR.]]),AantalBetalingen,GeleendBedrag),""),"")</f>
        <v/>
      </c>
      <c r="G329" s="49" t="str">
        <f>IFERROR(IF(IF($B329&lt;=AantalBetalingen,1,0)*IF(GeleendBedrag*Rentevoet*Leningjaren*BegindatumLening&gt;0,1,0),-IPMT(Rentevoet/12,$B329,AantalBetalingen,GeleendBedrag),""),"")</f>
        <v/>
      </c>
      <c r="H329" s="49" t="str">
        <f>IFERROR(IF(IF(B329="","",IF($B329&lt;=AantalBetalingen,1,0)*IF(GeleendBedrag*Rentevoet*Leningjaren*BegindatumLening&gt;0,1,0),-FV(Rentevoet/12,$B329,PMT(Rentevoet/12,AantalBetalingen,GeleendBedrag),GeleendBedrag),""),""),"")</f>
        <v/>
      </c>
    </row>
    <row r="330" ht="22.5" hidden="1" customHeight="1">
      <c r="A330" s="46">
        <f>ROW()-ROW(Lening[[#HEADERS],[BET.NR.]])</f>
        <v>321</v>
      </c>
      <c r="B330" s="50" t="str">
        <f>IFERROR(IF(IF(ROW()-ROW(Lening!$9:$9)&lt;=AantalBetalingen,1,0)*IF(GeleendBedrag*Rentevoet*$D$5*BegindatumLening&gt;0,1,0),ROW()-ROW(Lening!$9:$9),""),"")</f>
        <v/>
      </c>
      <c r="C330" s="48" t="str">
        <f>IFERROR(IF(B330="","",IF(IF(B330&lt;=AantalBetalingen,1,0)*IF(GeleendBedrag*Rentevoet*Leningjaren*BegindatumLening&gt;0,1,0),TEXT(DATE(YEAR(BegindatumLening),MONTH(BegindatumLening)+B330,DAY(BegindatumLening)),"d-m-yyyy"),""),""),"")</f>
        <v/>
      </c>
      <c r="D330" s="49" t="str">
        <f>IFERROR(IF(IF(B330="","",IF($B330&lt;=AantalBetalingen,1,0)*IF(GeleendBedrag*Rentevoet*Leningjaren*BegindatumLening&gt;0,1,0),-FV(Rentevoet/12,ROW()-ROW(Lening[[#HEADERS],[BET.NR.]])-1,PMT(Rentevoet/12,AantalBetalingen,GeleendBedrag),GeleendBedrag),""),""),"")</f>
        <v/>
      </c>
      <c r="E330" s="49" t="str">
        <f>IFERROR(IF(IF(B330="","",IF($B330&lt;=AantalBetalingen,1,0)*IF(GeleendBedrag*Rentevoet*Leningjaren*BegindatumLening&gt;0,1,0),-PMT(Rentevoet/12,AantalBetalingen,GeleendBedrag),""),""),"")</f>
        <v/>
      </c>
      <c r="F330" s="49" t="str">
        <f>IFERROR(IF(IF($B330&lt;=AantalBetalingen,1,0)*IF(GeleendBedrag*Rentevoet*Leningjaren*BegindatumLening&gt;0,1,0),-PPMT(Rentevoet/12,ROW()-ROW(Lening[[#HEADERS],[BET.NR.]]),AantalBetalingen,GeleendBedrag),""),"")</f>
        <v/>
      </c>
      <c r="G330" s="49" t="str">
        <f>IFERROR(IF(IF($B330&lt;=AantalBetalingen,1,0)*IF(GeleendBedrag*Rentevoet*Leningjaren*BegindatumLening&gt;0,1,0),-IPMT(Rentevoet/12,$B330,AantalBetalingen,GeleendBedrag),""),"")</f>
        <v/>
      </c>
      <c r="H330" s="49" t="str">
        <f>IFERROR(IF(IF(B330="","",IF($B330&lt;=AantalBetalingen,1,0)*IF(GeleendBedrag*Rentevoet*Leningjaren*BegindatumLening&gt;0,1,0),-FV(Rentevoet/12,$B330,PMT(Rentevoet/12,AantalBetalingen,GeleendBedrag),GeleendBedrag),""),""),"")</f>
        <v/>
      </c>
    </row>
    <row r="331" ht="22.5" hidden="1" customHeight="1">
      <c r="A331" s="46">
        <f>ROW()-ROW(Lening[[#HEADERS],[BET.NR.]])</f>
        <v>322</v>
      </c>
      <c r="B331" s="50" t="str">
        <f>IFERROR(IF(IF(ROW()-ROW(Lening!$9:$9)&lt;=AantalBetalingen,1,0)*IF(GeleendBedrag*Rentevoet*$D$5*BegindatumLening&gt;0,1,0),ROW()-ROW(Lening!$9:$9),""),"")</f>
        <v/>
      </c>
      <c r="C331" s="48" t="str">
        <f>IFERROR(IF(B331="","",IF(IF(B331&lt;=AantalBetalingen,1,0)*IF(GeleendBedrag*Rentevoet*Leningjaren*BegindatumLening&gt;0,1,0),TEXT(DATE(YEAR(BegindatumLening),MONTH(BegindatumLening)+B331,DAY(BegindatumLening)),"d-m-yyyy"),""),""),"")</f>
        <v/>
      </c>
      <c r="D331" s="49" t="str">
        <f>IFERROR(IF(IF(B331="","",IF($B331&lt;=AantalBetalingen,1,0)*IF(GeleendBedrag*Rentevoet*Leningjaren*BegindatumLening&gt;0,1,0),-FV(Rentevoet/12,ROW()-ROW(Lening[[#HEADERS],[BET.NR.]])-1,PMT(Rentevoet/12,AantalBetalingen,GeleendBedrag),GeleendBedrag),""),""),"")</f>
        <v/>
      </c>
      <c r="E331" s="49" t="str">
        <f>IFERROR(IF(IF(B331="","",IF($B331&lt;=AantalBetalingen,1,0)*IF(GeleendBedrag*Rentevoet*Leningjaren*BegindatumLening&gt;0,1,0),-PMT(Rentevoet/12,AantalBetalingen,GeleendBedrag),""),""),"")</f>
        <v/>
      </c>
      <c r="F331" s="49" t="str">
        <f>IFERROR(IF(IF($B331&lt;=AantalBetalingen,1,0)*IF(GeleendBedrag*Rentevoet*Leningjaren*BegindatumLening&gt;0,1,0),-PPMT(Rentevoet/12,ROW()-ROW(Lening[[#HEADERS],[BET.NR.]]),AantalBetalingen,GeleendBedrag),""),"")</f>
        <v/>
      </c>
      <c r="G331" s="49" t="str">
        <f>IFERROR(IF(IF($B331&lt;=AantalBetalingen,1,0)*IF(GeleendBedrag*Rentevoet*Leningjaren*BegindatumLening&gt;0,1,0),-IPMT(Rentevoet/12,$B331,AantalBetalingen,GeleendBedrag),""),"")</f>
        <v/>
      </c>
      <c r="H331" s="49" t="str">
        <f>IFERROR(IF(IF(B331="","",IF($B331&lt;=AantalBetalingen,1,0)*IF(GeleendBedrag*Rentevoet*Leningjaren*BegindatumLening&gt;0,1,0),-FV(Rentevoet/12,$B331,PMT(Rentevoet/12,AantalBetalingen,GeleendBedrag),GeleendBedrag),""),""),"")</f>
        <v/>
      </c>
    </row>
    <row r="332" ht="22.5" hidden="1" customHeight="1">
      <c r="A332" s="46">
        <f>ROW()-ROW(Lening[[#HEADERS],[BET.NR.]])</f>
        <v>323</v>
      </c>
      <c r="B332" s="50" t="str">
        <f>IFERROR(IF(IF(ROW()-ROW(Lening!$9:$9)&lt;=AantalBetalingen,1,0)*IF(GeleendBedrag*Rentevoet*$D$5*BegindatumLening&gt;0,1,0),ROW()-ROW(Lening!$9:$9),""),"")</f>
        <v/>
      </c>
      <c r="C332" s="48" t="str">
        <f>IFERROR(IF(B332="","",IF(IF(B332&lt;=AantalBetalingen,1,0)*IF(GeleendBedrag*Rentevoet*Leningjaren*BegindatumLening&gt;0,1,0),TEXT(DATE(YEAR(BegindatumLening),MONTH(BegindatumLening)+B332,DAY(BegindatumLening)),"d-m-yyyy"),""),""),"")</f>
        <v/>
      </c>
      <c r="D332" s="49" t="str">
        <f>IFERROR(IF(IF(B332="","",IF($B332&lt;=AantalBetalingen,1,0)*IF(GeleendBedrag*Rentevoet*Leningjaren*BegindatumLening&gt;0,1,0),-FV(Rentevoet/12,ROW()-ROW(Lening[[#HEADERS],[BET.NR.]])-1,PMT(Rentevoet/12,AantalBetalingen,GeleendBedrag),GeleendBedrag),""),""),"")</f>
        <v/>
      </c>
      <c r="E332" s="49" t="str">
        <f>IFERROR(IF(IF(B332="","",IF($B332&lt;=AantalBetalingen,1,0)*IF(GeleendBedrag*Rentevoet*Leningjaren*BegindatumLening&gt;0,1,0),-PMT(Rentevoet/12,AantalBetalingen,GeleendBedrag),""),""),"")</f>
        <v/>
      </c>
      <c r="F332" s="49" t="str">
        <f>IFERROR(IF(IF($B332&lt;=AantalBetalingen,1,0)*IF(GeleendBedrag*Rentevoet*Leningjaren*BegindatumLening&gt;0,1,0),-PPMT(Rentevoet/12,ROW()-ROW(Lening[[#HEADERS],[BET.NR.]]),AantalBetalingen,GeleendBedrag),""),"")</f>
        <v/>
      </c>
      <c r="G332" s="49" t="str">
        <f>IFERROR(IF(IF($B332&lt;=AantalBetalingen,1,0)*IF(GeleendBedrag*Rentevoet*Leningjaren*BegindatumLening&gt;0,1,0),-IPMT(Rentevoet/12,$B332,AantalBetalingen,GeleendBedrag),""),"")</f>
        <v/>
      </c>
      <c r="H332" s="49" t="str">
        <f>IFERROR(IF(IF(B332="","",IF($B332&lt;=AantalBetalingen,1,0)*IF(GeleendBedrag*Rentevoet*Leningjaren*BegindatumLening&gt;0,1,0),-FV(Rentevoet/12,$B332,PMT(Rentevoet/12,AantalBetalingen,GeleendBedrag),GeleendBedrag),""),""),"")</f>
        <v/>
      </c>
    </row>
    <row r="333" ht="22.5" hidden="1" customHeight="1">
      <c r="A333" s="46">
        <f>ROW()-ROW(Lening[[#HEADERS],[BET.NR.]])</f>
        <v>324</v>
      </c>
      <c r="B333" s="50" t="str">
        <f>IFERROR(IF(IF(ROW()-ROW(Lening!$9:$9)&lt;=AantalBetalingen,1,0)*IF(GeleendBedrag*Rentevoet*$D$5*BegindatumLening&gt;0,1,0),ROW()-ROW(Lening!$9:$9),""),"")</f>
        <v/>
      </c>
      <c r="C333" s="48" t="str">
        <f>IFERROR(IF(B333="","",IF(IF(B333&lt;=AantalBetalingen,1,0)*IF(GeleendBedrag*Rentevoet*Leningjaren*BegindatumLening&gt;0,1,0),TEXT(DATE(YEAR(BegindatumLening),MONTH(BegindatumLening)+B333,DAY(BegindatumLening)),"d-m-yyyy"),""),""),"")</f>
        <v/>
      </c>
      <c r="D333" s="49" t="str">
        <f>IFERROR(IF(IF(B333="","",IF($B333&lt;=AantalBetalingen,1,0)*IF(GeleendBedrag*Rentevoet*Leningjaren*BegindatumLening&gt;0,1,0),-FV(Rentevoet/12,ROW()-ROW(Lening[[#HEADERS],[BET.NR.]])-1,PMT(Rentevoet/12,AantalBetalingen,GeleendBedrag),GeleendBedrag),""),""),"")</f>
        <v/>
      </c>
      <c r="E333" s="49" t="str">
        <f>IFERROR(IF(IF(B333="","",IF($B333&lt;=AantalBetalingen,1,0)*IF(GeleendBedrag*Rentevoet*Leningjaren*BegindatumLening&gt;0,1,0),-PMT(Rentevoet/12,AantalBetalingen,GeleendBedrag),""),""),"")</f>
        <v/>
      </c>
      <c r="F333" s="49" t="str">
        <f>IFERROR(IF(IF($B333&lt;=AantalBetalingen,1,0)*IF(GeleendBedrag*Rentevoet*Leningjaren*BegindatumLening&gt;0,1,0),-PPMT(Rentevoet/12,ROW()-ROW(Lening[[#HEADERS],[BET.NR.]]),AantalBetalingen,GeleendBedrag),""),"")</f>
        <v/>
      </c>
      <c r="G333" s="49" t="str">
        <f>IFERROR(IF(IF($B333&lt;=AantalBetalingen,1,0)*IF(GeleendBedrag*Rentevoet*Leningjaren*BegindatumLening&gt;0,1,0),-IPMT(Rentevoet/12,$B333,AantalBetalingen,GeleendBedrag),""),"")</f>
        <v/>
      </c>
      <c r="H333" s="49" t="str">
        <f>IFERROR(IF(IF(B333="","",IF($B333&lt;=AantalBetalingen,1,0)*IF(GeleendBedrag*Rentevoet*Leningjaren*BegindatumLening&gt;0,1,0),-FV(Rentevoet/12,$B333,PMT(Rentevoet/12,AantalBetalingen,GeleendBedrag),GeleendBedrag),""),""),"")</f>
        <v/>
      </c>
    </row>
    <row r="334" ht="22.5" hidden="1" customHeight="1">
      <c r="A334" s="46">
        <f>ROW()-ROW(Lening[[#HEADERS],[BET.NR.]])</f>
        <v>325</v>
      </c>
      <c r="B334" s="50" t="str">
        <f>IFERROR(IF(IF(ROW()-ROW(Lening!$9:$9)&lt;=AantalBetalingen,1,0)*IF(GeleendBedrag*Rentevoet*$D$5*BegindatumLening&gt;0,1,0),ROW()-ROW(Lening!$9:$9),""),"")</f>
        <v/>
      </c>
      <c r="C334" s="48" t="str">
        <f>IFERROR(IF(B334="","",IF(IF(B334&lt;=AantalBetalingen,1,0)*IF(GeleendBedrag*Rentevoet*Leningjaren*BegindatumLening&gt;0,1,0),TEXT(DATE(YEAR(BegindatumLening),MONTH(BegindatumLening)+B334,DAY(BegindatumLening)),"d-m-yyyy"),""),""),"")</f>
        <v/>
      </c>
      <c r="D334" s="49" t="str">
        <f>IFERROR(IF(IF(B334="","",IF($B334&lt;=AantalBetalingen,1,0)*IF(GeleendBedrag*Rentevoet*Leningjaren*BegindatumLening&gt;0,1,0),-FV(Rentevoet/12,ROW()-ROW(Lening[[#HEADERS],[BET.NR.]])-1,PMT(Rentevoet/12,AantalBetalingen,GeleendBedrag),GeleendBedrag),""),""),"")</f>
        <v/>
      </c>
      <c r="E334" s="49" t="str">
        <f>IFERROR(IF(IF(B334="","",IF($B334&lt;=AantalBetalingen,1,0)*IF(GeleendBedrag*Rentevoet*Leningjaren*BegindatumLening&gt;0,1,0),-PMT(Rentevoet/12,AantalBetalingen,GeleendBedrag),""),""),"")</f>
        <v/>
      </c>
      <c r="F334" s="49" t="str">
        <f>IFERROR(IF(IF($B334&lt;=AantalBetalingen,1,0)*IF(GeleendBedrag*Rentevoet*Leningjaren*BegindatumLening&gt;0,1,0),-PPMT(Rentevoet/12,ROW()-ROW(Lening[[#HEADERS],[BET.NR.]]),AantalBetalingen,GeleendBedrag),""),"")</f>
        <v/>
      </c>
      <c r="G334" s="49" t="str">
        <f>IFERROR(IF(IF($B334&lt;=AantalBetalingen,1,0)*IF(GeleendBedrag*Rentevoet*Leningjaren*BegindatumLening&gt;0,1,0),-IPMT(Rentevoet/12,$B334,AantalBetalingen,GeleendBedrag),""),"")</f>
        <v/>
      </c>
      <c r="H334" s="49" t="str">
        <f>IFERROR(IF(IF(B334="","",IF($B334&lt;=AantalBetalingen,1,0)*IF(GeleendBedrag*Rentevoet*Leningjaren*BegindatumLening&gt;0,1,0),-FV(Rentevoet/12,$B334,PMT(Rentevoet/12,AantalBetalingen,GeleendBedrag),GeleendBedrag),""),""),"")</f>
        <v/>
      </c>
    </row>
    <row r="335" ht="22.5" hidden="1" customHeight="1">
      <c r="A335" s="46">
        <f>ROW()-ROW(Lening[[#HEADERS],[BET.NR.]])</f>
        <v>326</v>
      </c>
      <c r="B335" s="50" t="str">
        <f>IFERROR(IF(IF(ROW()-ROW(Lening!$9:$9)&lt;=AantalBetalingen,1,0)*IF(GeleendBedrag*Rentevoet*$D$5*BegindatumLening&gt;0,1,0),ROW()-ROW(Lening!$9:$9),""),"")</f>
        <v/>
      </c>
      <c r="C335" s="48" t="str">
        <f>IFERROR(IF(B335="","",IF(IF(B335&lt;=AantalBetalingen,1,0)*IF(GeleendBedrag*Rentevoet*Leningjaren*BegindatumLening&gt;0,1,0),TEXT(DATE(YEAR(BegindatumLening),MONTH(BegindatumLening)+B335,DAY(BegindatumLening)),"d-m-yyyy"),""),""),"")</f>
        <v/>
      </c>
      <c r="D335" s="49" t="str">
        <f>IFERROR(IF(IF(B335="","",IF($B335&lt;=AantalBetalingen,1,0)*IF(GeleendBedrag*Rentevoet*Leningjaren*BegindatumLening&gt;0,1,0),-FV(Rentevoet/12,ROW()-ROW(Lening[[#HEADERS],[BET.NR.]])-1,PMT(Rentevoet/12,AantalBetalingen,GeleendBedrag),GeleendBedrag),""),""),"")</f>
        <v/>
      </c>
      <c r="E335" s="49" t="str">
        <f>IFERROR(IF(IF(B335="","",IF($B335&lt;=AantalBetalingen,1,0)*IF(GeleendBedrag*Rentevoet*Leningjaren*BegindatumLening&gt;0,1,0),-PMT(Rentevoet/12,AantalBetalingen,GeleendBedrag),""),""),"")</f>
        <v/>
      </c>
      <c r="F335" s="49" t="str">
        <f>IFERROR(IF(IF($B335&lt;=AantalBetalingen,1,0)*IF(GeleendBedrag*Rentevoet*Leningjaren*BegindatumLening&gt;0,1,0),-PPMT(Rentevoet/12,ROW()-ROW(Lening[[#HEADERS],[BET.NR.]]),AantalBetalingen,GeleendBedrag),""),"")</f>
        <v/>
      </c>
      <c r="G335" s="49" t="str">
        <f>IFERROR(IF(IF($B335&lt;=AantalBetalingen,1,0)*IF(GeleendBedrag*Rentevoet*Leningjaren*BegindatumLening&gt;0,1,0),-IPMT(Rentevoet/12,$B335,AantalBetalingen,GeleendBedrag),""),"")</f>
        <v/>
      </c>
      <c r="H335" s="49" t="str">
        <f>IFERROR(IF(IF(B335="","",IF($B335&lt;=AantalBetalingen,1,0)*IF(GeleendBedrag*Rentevoet*Leningjaren*BegindatumLening&gt;0,1,0),-FV(Rentevoet/12,$B335,PMT(Rentevoet/12,AantalBetalingen,GeleendBedrag),GeleendBedrag),""),""),"")</f>
        <v/>
      </c>
    </row>
    <row r="336" ht="22.5" hidden="1" customHeight="1">
      <c r="A336" s="46">
        <f>ROW()-ROW(Lening[[#HEADERS],[BET.NR.]])</f>
        <v>327</v>
      </c>
      <c r="B336" s="50" t="str">
        <f>IFERROR(IF(IF(ROW()-ROW(Lening!$9:$9)&lt;=AantalBetalingen,1,0)*IF(GeleendBedrag*Rentevoet*$D$5*BegindatumLening&gt;0,1,0),ROW()-ROW(Lening!$9:$9),""),"")</f>
        <v/>
      </c>
      <c r="C336" s="48" t="str">
        <f>IFERROR(IF(B336="","",IF(IF(B336&lt;=AantalBetalingen,1,0)*IF(GeleendBedrag*Rentevoet*Leningjaren*BegindatumLening&gt;0,1,0),TEXT(DATE(YEAR(BegindatumLening),MONTH(BegindatumLening)+B336,DAY(BegindatumLening)),"d-m-yyyy"),""),""),"")</f>
        <v/>
      </c>
      <c r="D336" s="49" t="str">
        <f>IFERROR(IF(IF(B336="","",IF($B336&lt;=AantalBetalingen,1,0)*IF(GeleendBedrag*Rentevoet*Leningjaren*BegindatumLening&gt;0,1,0),-FV(Rentevoet/12,ROW()-ROW(Lening[[#HEADERS],[BET.NR.]])-1,PMT(Rentevoet/12,AantalBetalingen,GeleendBedrag),GeleendBedrag),""),""),"")</f>
        <v/>
      </c>
      <c r="E336" s="49" t="str">
        <f>IFERROR(IF(IF(B336="","",IF($B336&lt;=AantalBetalingen,1,0)*IF(GeleendBedrag*Rentevoet*Leningjaren*BegindatumLening&gt;0,1,0),-PMT(Rentevoet/12,AantalBetalingen,GeleendBedrag),""),""),"")</f>
        <v/>
      </c>
      <c r="F336" s="49" t="str">
        <f>IFERROR(IF(IF($B336&lt;=AantalBetalingen,1,0)*IF(GeleendBedrag*Rentevoet*Leningjaren*BegindatumLening&gt;0,1,0),-PPMT(Rentevoet/12,ROW()-ROW(Lening[[#HEADERS],[BET.NR.]]),AantalBetalingen,GeleendBedrag),""),"")</f>
        <v/>
      </c>
      <c r="G336" s="49" t="str">
        <f>IFERROR(IF(IF($B336&lt;=AantalBetalingen,1,0)*IF(GeleendBedrag*Rentevoet*Leningjaren*BegindatumLening&gt;0,1,0),-IPMT(Rentevoet/12,$B336,AantalBetalingen,GeleendBedrag),""),"")</f>
        <v/>
      </c>
      <c r="H336" s="49" t="str">
        <f>IFERROR(IF(IF(B336="","",IF($B336&lt;=AantalBetalingen,1,0)*IF(GeleendBedrag*Rentevoet*Leningjaren*BegindatumLening&gt;0,1,0),-FV(Rentevoet/12,$B336,PMT(Rentevoet/12,AantalBetalingen,GeleendBedrag),GeleendBedrag),""),""),"")</f>
        <v/>
      </c>
    </row>
    <row r="337" ht="22.5" hidden="1" customHeight="1">
      <c r="A337" s="46">
        <f>ROW()-ROW(Lening[[#HEADERS],[BET.NR.]])</f>
        <v>328</v>
      </c>
      <c r="B337" s="50" t="str">
        <f>IFERROR(IF(IF(ROW()-ROW(Lening!$9:$9)&lt;=AantalBetalingen,1,0)*IF(GeleendBedrag*Rentevoet*$D$5*BegindatumLening&gt;0,1,0),ROW()-ROW(Lening!$9:$9),""),"")</f>
        <v/>
      </c>
      <c r="C337" s="48" t="str">
        <f>IFERROR(IF(B337="","",IF(IF(B337&lt;=AantalBetalingen,1,0)*IF(GeleendBedrag*Rentevoet*Leningjaren*BegindatumLening&gt;0,1,0),TEXT(DATE(YEAR(BegindatumLening),MONTH(BegindatumLening)+B337,DAY(BegindatumLening)),"d-m-yyyy"),""),""),"")</f>
        <v/>
      </c>
      <c r="D337" s="49" t="str">
        <f>IFERROR(IF(IF(B337="","",IF($B337&lt;=AantalBetalingen,1,0)*IF(GeleendBedrag*Rentevoet*Leningjaren*BegindatumLening&gt;0,1,0),-FV(Rentevoet/12,ROW()-ROW(Lening[[#HEADERS],[BET.NR.]])-1,PMT(Rentevoet/12,AantalBetalingen,GeleendBedrag),GeleendBedrag),""),""),"")</f>
        <v/>
      </c>
      <c r="E337" s="49" t="str">
        <f>IFERROR(IF(IF(B337="","",IF($B337&lt;=AantalBetalingen,1,0)*IF(GeleendBedrag*Rentevoet*Leningjaren*BegindatumLening&gt;0,1,0),-PMT(Rentevoet/12,AantalBetalingen,GeleendBedrag),""),""),"")</f>
        <v/>
      </c>
      <c r="F337" s="49" t="str">
        <f>IFERROR(IF(IF($B337&lt;=AantalBetalingen,1,0)*IF(GeleendBedrag*Rentevoet*Leningjaren*BegindatumLening&gt;0,1,0),-PPMT(Rentevoet/12,ROW()-ROW(Lening[[#HEADERS],[BET.NR.]]),AantalBetalingen,GeleendBedrag),""),"")</f>
        <v/>
      </c>
      <c r="G337" s="49" t="str">
        <f>IFERROR(IF(IF($B337&lt;=AantalBetalingen,1,0)*IF(GeleendBedrag*Rentevoet*Leningjaren*BegindatumLening&gt;0,1,0),-IPMT(Rentevoet/12,$B337,AantalBetalingen,GeleendBedrag),""),"")</f>
        <v/>
      </c>
      <c r="H337" s="49" t="str">
        <f>IFERROR(IF(IF(B337="","",IF($B337&lt;=AantalBetalingen,1,0)*IF(GeleendBedrag*Rentevoet*Leningjaren*BegindatumLening&gt;0,1,0),-FV(Rentevoet/12,$B337,PMT(Rentevoet/12,AantalBetalingen,GeleendBedrag),GeleendBedrag),""),""),"")</f>
        <v/>
      </c>
    </row>
    <row r="338" ht="22.5" hidden="1" customHeight="1">
      <c r="A338" s="46">
        <f>ROW()-ROW(Lening[[#HEADERS],[BET.NR.]])</f>
        <v>329</v>
      </c>
      <c r="B338" s="50" t="str">
        <f>IFERROR(IF(IF(ROW()-ROW(Lening!$9:$9)&lt;=AantalBetalingen,1,0)*IF(GeleendBedrag*Rentevoet*$D$5*BegindatumLening&gt;0,1,0),ROW()-ROW(Lening!$9:$9),""),"")</f>
        <v/>
      </c>
      <c r="C338" s="48" t="str">
        <f>IFERROR(IF(B338="","",IF(IF(B338&lt;=AantalBetalingen,1,0)*IF(GeleendBedrag*Rentevoet*Leningjaren*BegindatumLening&gt;0,1,0),TEXT(DATE(YEAR(BegindatumLening),MONTH(BegindatumLening)+B338,DAY(BegindatumLening)),"d-m-yyyy"),""),""),"")</f>
        <v/>
      </c>
      <c r="D338" s="49" t="str">
        <f>IFERROR(IF(IF(B338="","",IF($B338&lt;=AantalBetalingen,1,0)*IF(GeleendBedrag*Rentevoet*Leningjaren*BegindatumLening&gt;0,1,0),-FV(Rentevoet/12,ROW()-ROW(Lening[[#HEADERS],[BET.NR.]])-1,PMT(Rentevoet/12,AantalBetalingen,GeleendBedrag),GeleendBedrag),""),""),"")</f>
        <v/>
      </c>
      <c r="E338" s="49" t="str">
        <f>IFERROR(IF(IF(B338="","",IF($B338&lt;=AantalBetalingen,1,0)*IF(GeleendBedrag*Rentevoet*Leningjaren*BegindatumLening&gt;0,1,0),-PMT(Rentevoet/12,AantalBetalingen,GeleendBedrag),""),""),"")</f>
        <v/>
      </c>
      <c r="F338" s="49" t="str">
        <f>IFERROR(IF(IF($B338&lt;=AantalBetalingen,1,0)*IF(GeleendBedrag*Rentevoet*Leningjaren*BegindatumLening&gt;0,1,0),-PPMT(Rentevoet/12,ROW()-ROW(Lening[[#HEADERS],[BET.NR.]]),AantalBetalingen,GeleendBedrag),""),"")</f>
        <v/>
      </c>
      <c r="G338" s="49" t="str">
        <f>IFERROR(IF(IF($B338&lt;=AantalBetalingen,1,0)*IF(GeleendBedrag*Rentevoet*Leningjaren*BegindatumLening&gt;0,1,0),-IPMT(Rentevoet/12,$B338,AantalBetalingen,GeleendBedrag),""),"")</f>
        <v/>
      </c>
      <c r="H338" s="49" t="str">
        <f>IFERROR(IF(IF(B338="","",IF($B338&lt;=AantalBetalingen,1,0)*IF(GeleendBedrag*Rentevoet*Leningjaren*BegindatumLening&gt;0,1,0),-FV(Rentevoet/12,$B338,PMT(Rentevoet/12,AantalBetalingen,GeleendBedrag),GeleendBedrag),""),""),"")</f>
        <v/>
      </c>
    </row>
    <row r="339" ht="22.5" hidden="1" customHeight="1">
      <c r="A339" s="46">
        <f>ROW()-ROW(Lening[[#HEADERS],[BET.NR.]])</f>
        <v>330</v>
      </c>
      <c r="B339" s="50" t="str">
        <f>IFERROR(IF(IF(ROW()-ROW(Lening!$9:$9)&lt;=AantalBetalingen,1,0)*IF(GeleendBedrag*Rentevoet*$D$5*BegindatumLening&gt;0,1,0),ROW()-ROW(Lening!$9:$9),""),"")</f>
        <v/>
      </c>
      <c r="C339" s="48" t="str">
        <f>IFERROR(IF(B339="","",IF(IF(B339&lt;=AantalBetalingen,1,0)*IF(GeleendBedrag*Rentevoet*Leningjaren*BegindatumLening&gt;0,1,0),TEXT(DATE(YEAR(BegindatumLening),MONTH(BegindatumLening)+B339,DAY(BegindatumLening)),"d-m-yyyy"),""),""),"")</f>
        <v/>
      </c>
      <c r="D339" s="49" t="str">
        <f>IFERROR(IF(IF(B339="","",IF($B339&lt;=AantalBetalingen,1,0)*IF(GeleendBedrag*Rentevoet*Leningjaren*BegindatumLening&gt;0,1,0),-FV(Rentevoet/12,ROW()-ROW(Lening[[#HEADERS],[BET.NR.]])-1,PMT(Rentevoet/12,AantalBetalingen,GeleendBedrag),GeleendBedrag),""),""),"")</f>
        <v/>
      </c>
      <c r="E339" s="49" t="str">
        <f>IFERROR(IF(IF(B339="","",IF($B339&lt;=AantalBetalingen,1,0)*IF(GeleendBedrag*Rentevoet*Leningjaren*BegindatumLening&gt;0,1,0),-PMT(Rentevoet/12,AantalBetalingen,GeleendBedrag),""),""),"")</f>
        <v/>
      </c>
      <c r="F339" s="49" t="str">
        <f>IFERROR(IF(IF($B339&lt;=AantalBetalingen,1,0)*IF(GeleendBedrag*Rentevoet*Leningjaren*BegindatumLening&gt;0,1,0),-PPMT(Rentevoet/12,ROW()-ROW(Lening[[#HEADERS],[BET.NR.]]),AantalBetalingen,GeleendBedrag),""),"")</f>
        <v/>
      </c>
      <c r="G339" s="49" t="str">
        <f>IFERROR(IF(IF($B339&lt;=AantalBetalingen,1,0)*IF(GeleendBedrag*Rentevoet*Leningjaren*BegindatumLening&gt;0,1,0),-IPMT(Rentevoet/12,$B339,AantalBetalingen,GeleendBedrag),""),"")</f>
        <v/>
      </c>
      <c r="H339" s="49" t="str">
        <f>IFERROR(IF(IF(B339="","",IF($B339&lt;=AantalBetalingen,1,0)*IF(GeleendBedrag*Rentevoet*Leningjaren*BegindatumLening&gt;0,1,0),-FV(Rentevoet/12,$B339,PMT(Rentevoet/12,AantalBetalingen,GeleendBedrag),GeleendBedrag),""),""),"")</f>
        <v/>
      </c>
    </row>
    <row r="340" ht="22.5" hidden="1" customHeight="1">
      <c r="A340" s="46">
        <f>ROW()-ROW(Lening[[#HEADERS],[BET.NR.]])</f>
        <v>331</v>
      </c>
      <c r="B340" s="50" t="str">
        <f>IFERROR(IF(IF(ROW()-ROW(Lening!$9:$9)&lt;=AantalBetalingen,1,0)*IF(GeleendBedrag*Rentevoet*$D$5*BegindatumLening&gt;0,1,0),ROW()-ROW(Lening!$9:$9),""),"")</f>
        <v/>
      </c>
      <c r="C340" s="48" t="str">
        <f>IFERROR(IF(B340="","",IF(IF(B340&lt;=AantalBetalingen,1,0)*IF(GeleendBedrag*Rentevoet*Leningjaren*BegindatumLening&gt;0,1,0),TEXT(DATE(YEAR(BegindatumLening),MONTH(BegindatumLening)+B340,DAY(BegindatumLening)),"d-m-yyyy"),""),""),"")</f>
        <v/>
      </c>
      <c r="D340" s="49" t="str">
        <f>IFERROR(IF(IF(B340="","",IF($B340&lt;=AantalBetalingen,1,0)*IF(GeleendBedrag*Rentevoet*Leningjaren*BegindatumLening&gt;0,1,0),-FV(Rentevoet/12,ROW()-ROW(Lening[[#HEADERS],[BET.NR.]])-1,PMT(Rentevoet/12,AantalBetalingen,GeleendBedrag),GeleendBedrag),""),""),"")</f>
        <v/>
      </c>
      <c r="E340" s="49" t="str">
        <f>IFERROR(IF(IF(B340="","",IF($B340&lt;=AantalBetalingen,1,0)*IF(GeleendBedrag*Rentevoet*Leningjaren*BegindatumLening&gt;0,1,0),-PMT(Rentevoet/12,AantalBetalingen,GeleendBedrag),""),""),"")</f>
        <v/>
      </c>
      <c r="F340" s="49" t="str">
        <f>IFERROR(IF(IF($B340&lt;=AantalBetalingen,1,0)*IF(GeleendBedrag*Rentevoet*Leningjaren*BegindatumLening&gt;0,1,0),-PPMT(Rentevoet/12,ROW()-ROW(Lening[[#HEADERS],[BET.NR.]]),AantalBetalingen,GeleendBedrag),""),"")</f>
        <v/>
      </c>
      <c r="G340" s="49" t="str">
        <f>IFERROR(IF(IF($B340&lt;=AantalBetalingen,1,0)*IF(GeleendBedrag*Rentevoet*Leningjaren*BegindatumLening&gt;0,1,0),-IPMT(Rentevoet/12,$B340,AantalBetalingen,GeleendBedrag),""),"")</f>
        <v/>
      </c>
      <c r="H340" s="49" t="str">
        <f>IFERROR(IF(IF(B340="","",IF($B340&lt;=AantalBetalingen,1,0)*IF(GeleendBedrag*Rentevoet*Leningjaren*BegindatumLening&gt;0,1,0),-FV(Rentevoet/12,$B340,PMT(Rentevoet/12,AantalBetalingen,GeleendBedrag),GeleendBedrag),""),""),"")</f>
        <v/>
      </c>
    </row>
    <row r="341" ht="22.5" hidden="1" customHeight="1">
      <c r="A341" s="46">
        <f>ROW()-ROW(Lening[[#HEADERS],[BET.NR.]])</f>
        <v>332</v>
      </c>
      <c r="B341" s="50" t="str">
        <f>IFERROR(IF(IF(ROW()-ROW(Lening!$9:$9)&lt;=AantalBetalingen,1,0)*IF(GeleendBedrag*Rentevoet*$D$5*BegindatumLening&gt;0,1,0),ROW()-ROW(Lening!$9:$9),""),"")</f>
        <v/>
      </c>
      <c r="C341" s="48" t="str">
        <f>IFERROR(IF(B341="","",IF(IF(B341&lt;=AantalBetalingen,1,0)*IF(GeleendBedrag*Rentevoet*Leningjaren*BegindatumLening&gt;0,1,0),TEXT(DATE(YEAR(BegindatumLening),MONTH(BegindatumLening)+B341,DAY(BegindatumLening)),"d-m-yyyy"),""),""),"")</f>
        <v/>
      </c>
      <c r="D341" s="49" t="str">
        <f>IFERROR(IF(IF(B341="","",IF($B341&lt;=AantalBetalingen,1,0)*IF(GeleendBedrag*Rentevoet*Leningjaren*BegindatumLening&gt;0,1,0),-FV(Rentevoet/12,ROW()-ROW(Lening[[#HEADERS],[BET.NR.]])-1,PMT(Rentevoet/12,AantalBetalingen,GeleendBedrag),GeleendBedrag),""),""),"")</f>
        <v/>
      </c>
      <c r="E341" s="49" t="str">
        <f>IFERROR(IF(IF(B341="","",IF($B341&lt;=AantalBetalingen,1,0)*IF(GeleendBedrag*Rentevoet*Leningjaren*BegindatumLening&gt;0,1,0),-PMT(Rentevoet/12,AantalBetalingen,GeleendBedrag),""),""),"")</f>
        <v/>
      </c>
      <c r="F341" s="49" t="str">
        <f>IFERROR(IF(IF($B341&lt;=AantalBetalingen,1,0)*IF(GeleendBedrag*Rentevoet*Leningjaren*BegindatumLening&gt;0,1,0),-PPMT(Rentevoet/12,ROW()-ROW(Lening[[#HEADERS],[BET.NR.]]),AantalBetalingen,GeleendBedrag),""),"")</f>
        <v/>
      </c>
      <c r="G341" s="49" t="str">
        <f>IFERROR(IF(IF($B341&lt;=AantalBetalingen,1,0)*IF(GeleendBedrag*Rentevoet*Leningjaren*BegindatumLening&gt;0,1,0),-IPMT(Rentevoet/12,$B341,AantalBetalingen,GeleendBedrag),""),"")</f>
        <v/>
      </c>
      <c r="H341" s="49" t="str">
        <f>IFERROR(IF(IF(B341="","",IF($B341&lt;=AantalBetalingen,1,0)*IF(GeleendBedrag*Rentevoet*Leningjaren*BegindatumLening&gt;0,1,0),-FV(Rentevoet/12,$B341,PMT(Rentevoet/12,AantalBetalingen,GeleendBedrag),GeleendBedrag),""),""),"")</f>
        <v/>
      </c>
    </row>
    <row r="342" ht="22.5" hidden="1" customHeight="1">
      <c r="A342" s="46">
        <f>ROW()-ROW(Lening[[#HEADERS],[BET.NR.]])</f>
        <v>333</v>
      </c>
      <c r="B342" s="50" t="str">
        <f>IFERROR(IF(IF(ROW()-ROW(Lening!$9:$9)&lt;=AantalBetalingen,1,0)*IF(GeleendBedrag*Rentevoet*$D$5*BegindatumLening&gt;0,1,0),ROW()-ROW(Lening!$9:$9),""),"")</f>
        <v/>
      </c>
      <c r="C342" s="48" t="str">
        <f>IFERROR(IF(B342="","",IF(IF(B342&lt;=AantalBetalingen,1,0)*IF(GeleendBedrag*Rentevoet*Leningjaren*BegindatumLening&gt;0,1,0),TEXT(DATE(YEAR(BegindatumLening),MONTH(BegindatumLening)+B342,DAY(BegindatumLening)),"d-m-yyyy"),""),""),"")</f>
        <v/>
      </c>
      <c r="D342" s="49" t="str">
        <f>IFERROR(IF(IF(B342="","",IF($B342&lt;=AantalBetalingen,1,0)*IF(GeleendBedrag*Rentevoet*Leningjaren*BegindatumLening&gt;0,1,0),-FV(Rentevoet/12,ROW()-ROW(Lening[[#HEADERS],[BET.NR.]])-1,PMT(Rentevoet/12,AantalBetalingen,GeleendBedrag),GeleendBedrag),""),""),"")</f>
        <v/>
      </c>
      <c r="E342" s="49" t="str">
        <f>IFERROR(IF(IF(B342="","",IF($B342&lt;=AantalBetalingen,1,0)*IF(GeleendBedrag*Rentevoet*Leningjaren*BegindatumLening&gt;0,1,0),-PMT(Rentevoet/12,AantalBetalingen,GeleendBedrag),""),""),"")</f>
        <v/>
      </c>
      <c r="F342" s="49" t="str">
        <f>IFERROR(IF(IF($B342&lt;=AantalBetalingen,1,0)*IF(GeleendBedrag*Rentevoet*Leningjaren*BegindatumLening&gt;0,1,0),-PPMT(Rentevoet/12,ROW()-ROW(Lening[[#HEADERS],[BET.NR.]]),AantalBetalingen,GeleendBedrag),""),"")</f>
        <v/>
      </c>
      <c r="G342" s="49" t="str">
        <f>IFERROR(IF(IF($B342&lt;=AantalBetalingen,1,0)*IF(GeleendBedrag*Rentevoet*Leningjaren*BegindatumLening&gt;0,1,0),-IPMT(Rentevoet/12,$B342,AantalBetalingen,GeleendBedrag),""),"")</f>
        <v/>
      </c>
      <c r="H342" s="49" t="str">
        <f>IFERROR(IF(IF(B342="","",IF($B342&lt;=AantalBetalingen,1,0)*IF(GeleendBedrag*Rentevoet*Leningjaren*BegindatumLening&gt;0,1,0),-FV(Rentevoet/12,$B342,PMT(Rentevoet/12,AantalBetalingen,GeleendBedrag),GeleendBedrag),""),""),"")</f>
        <v/>
      </c>
    </row>
    <row r="343" ht="22.5" hidden="1" customHeight="1">
      <c r="A343" s="46">
        <f>ROW()-ROW(Lening[[#HEADERS],[BET.NR.]])</f>
        <v>334</v>
      </c>
      <c r="B343" s="50" t="str">
        <f>IFERROR(IF(IF(ROW()-ROW(Lening!$9:$9)&lt;=AantalBetalingen,1,0)*IF(GeleendBedrag*Rentevoet*$D$5*BegindatumLening&gt;0,1,0),ROW()-ROW(Lening!$9:$9),""),"")</f>
        <v/>
      </c>
      <c r="C343" s="48" t="str">
        <f>IFERROR(IF(B343="","",IF(IF(B343&lt;=AantalBetalingen,1,0)*IF(GeleendBedrag*Rentevoet*Leningjaren*BegindatumLening&gt;0,1,0),TEXT(DATE(YEAR(BegindatumLening),MONTH(BegindatumLening)+B343,DAY(BegindatumLening)),"d-m-yyyy"),""),""),"")</f>
        <v/>
      </c>
      <c r="D343" s="49" t="str">
        <f>IFERROR(IF(IF(B343="","",IF($B343&lt;=AantalBetalingen,1,0)*IF(GeleendBedrag*Rentevoet*Leningjaren*BegindatumLening&gt;0,1,0),-FV(Rentevoet/12,ROW()-ROW(Lening[[#HEADERS],[BET.NR.]])-1,PMT(Rentevoet/12,AantalBetalingen,GeleendBedrag),GeleendBedrag),""),""),"")</f>
        <v/>
      </c>
      <c r="E343" s="49" t="str">
        <f>IFERROR(IF(IF(B343="","",IF($B343&lt;=AantalBetalingen,1,0)*IF(GeleendBedrag*Rentevoet*Leningjaren*BegindatumLening&gt;0,1,0),-PMT(Rentevoet/12,AantalBetalingen,GeleendBedrag),""),""),"")</f>
        <v/>
      </c>
      <c r="F343" s="49" t="str">
        <f>IFERROR(IF(IF($B343&lt;=AantalBetalingen,1,0)*IF(GeleendBedrag*Rentevoet*Leningjaren*BegindatumLening&gt;0,1,0),-PPMT(Rentevoet/12,ROW()-ROW(Lening[[#HEADERS],[BET.NR.]]),AantalBetalingen,GeleendBedrag),""),"")</f>
        <v/>
      </c>
      <c r="G343" s="49" t="str">
        <f>IFERROR(IF(IF($B343&lt;=AantalBetalingen,1,0)*IF(GeleendBedrag*Rentevoet*Leningjaren*BegindatumLening&gt;0,1,0),-IPMT(Rentevoet/12,$B343,AantalBetalingen,GeleendBedrag),""),"")</f>
        <v/>
      </c>
      <c r="H343" s="49" t="str">
        <f>IFERROR(IF(IF(B343="","",IF($B343&lt;=AantalBetalingen,1,0)*IF(GeleendBedrag*Rentevoet*Leningjaren*BegindatumLening&gt;0,1,0),-FV(Rentevoet/12,$B343,PMT(Rentevoet/12,AantalBetalingen,GeleendBedrag),GeleendBedrag),""),""),"")</f>
        <v/>
      </c>
    </row>
    <row r="344" ht="22.5" hidden="1" customHeight="1">
      <c r="A344" s="46">
        <f>ROW()-ROW(Lening[[#HEADERS],[BET.NR.]])</f>
        <v>335</v>
      </c>
      <c r="B344" s="50" t="str">
        <f>IFERROR(IF(IF(ROW()-ROW(Lening!$9:$9)&lt;=AantalBetalingen,1,0)*IF(GeleendBedrag*Rentevoet*$D$5*BegindatumLening&gt;0,1,0),ROW()-ROW(Lening!$9:$9),""),"")</f>
        <v/>
      </c>
      <c r="C344" s="48" t="str">
        <f>IFERROR(IF(B344="","",IF(IF(B344&lt;=AantalBetalingen,1,0)*IF(GeleendBedrag*Rentevoet*Leningjaren*BegindatumLening&gt;0,1,0),TEXT(DATE(YEAR(BegindatumLening),MONTH(BegindatumLening)+B344,DAY(BegindatumLening)),"d-m-yyyy"),""),""),"")</f>
        <v/>
      </c>
      <c r="D344" s="49" t="str">
        <f>IFERROR(IF(IF(B344="","",IF($B344&lt;=AantalBetalingen,1,0)*IF(GeleendBedrag*Rentevoet*Leningjaren*BegindatumLening&gt;0,1,0),-FV(Rentevoet/12,ROW()-ROW(Lening[[#HEADERS],[BET.NR.]])-1,PMT(Rentevoet/12,AantalBetalingen,GeleendBedrag),GeleendBedrag),""),""),"")</f>
        <v/>
      </c>
      <c r="E344" s="49" t="str">
        <f>IFERROR(IF(IF(B344="","",IF($B344&lt;=AantalBetalingen,1,0)*IF(GeleendBedrag*Rentevoet*Leningjaren*BegindatumLening&gt;0,1,0),-PMT(Rentevoet/12,AantalBetalingen,GeleendBedrag),""),""),"")</f>
        <v/>
      </c>
      <c r="F344" s="49" t="str">
        <f>IFERROR(IF(IF($B344&lt;=AantalBetalingen,1,0)*IF(GeleendBedrag*Rentevoet*Leningjaren*BegindatumLening&gt;0,1,0),-PPMT(Rentevoet/12,ROW()-ROW(Lening[[#HEADERS],[BET.NR.]]),AantalBetalingen,GeleendBedrag),""),"")</f>
        <v/>
      </c>
      <c r="G344" s="49" t="str">
        <f>IFERROR(IF(IF($B344&lt;=AantalBetalingen,1,0)*IF(GeleendBedrag*Rentevoet*Leningjaren*BegindatumLening&gt;0,1,0),-IPMT(Rentevoet/12,$B344,AantalBetalingen,GeleendBedrag),""),"")</f>
        <v/>
      </c>
      <c r="H344" s="49" t="str">
        <f>IFERROR(IF(IF(B344="","",IF($B344&lt;=AantalBetalingen,1,0)*IF(GeleendBedrag*Rentevoet*Leningjaren*BegindatumLening&gt;0,1,0),-FV(Rentevoet/12,$B344,PMT(Rentevoet/12,AantalBetalingen,GeleendBedrag),GeleendBedrag),""),""),"")</f>
        <v/>
      </c>
    </row>
    <row r="345" ht="22.5" hidden="1" customHeight="1">
      <c r="A345" s="46">
        <f>ROW()-ROW(Lening[[#HEADERS],[BET.NR.]])</f>
        <v>336</v>
      </c>
      <c r="B345" s="50" t="str">
        <f>IFERROR(IF(IF(ROW()-ROW(Lening!$9:$9)&lt;=AantalBetalingen,1,0)*IF(GeleendBedrag*Rentevoet*$D$5*BegindatumLening&gt;0,1,0),ROW()-ROW(Lening!$9:$9),""),"")</f>
        <v/>
      </c>
      <c r="C345" s="48" t="str">
        <f>IFERROR(IF(B345="","",IF(IF(B345&lt;=AantalBetalingen,1,0)*IF(GeleendBedrag*Rentevoet*Leningjaren*BegindatumLening&gt;0,1,0),TEXT(DATE(YEAR(BegindatumLening),MONTH(BegindatumLening)+B345,DAY(BegindatumLening)),"d-m-yyyy"),""),""),"")</f>
        <v/>
      </c>
      <c r="D345" s="49" t="str">
        <f>IFERROR(IF(IF(B345="","",IF($B345&lt;=AantalBetalingen,1,0)*IF(GeleendBedrag*Rentevoet*Leningjaren*BegindatumLening&gt;0,1,0),-FV(Rentevoet/12,ROW()-ROW(Lening[[#HEADERS],[BET.NR.]])-1,PMT(Rentevoet/12,AantalBetalingen,GeleendBedrag),GeleendBedrag),""),""),"")</f>
        <v/>
      </c>
      <c r="E345" s="49" t="str">
        <f>IFERROR(IF(IF(B345="","",IF($B345&lt;=AantalBetalingen,1,0)*IF(GeleendBedrag*Rentevoet*Leningjaren*BegindatumLening&gt;0,1,0),-PMT(Rentevoet/12,AantalBetalingen,GeleendBedrag),""),""),"")</f>
        <v/>
      </c>
      <c r="F345" s="49" t="str">
        <f>IFERROR(IF(IF($B345&lt;=AantalBetalingen,1,0)*IF(GeleendBedrag*Rentevoet*Leningjaren*BegindatumLening&gt;0,1,0),-PPMT(Rentevoet/12,ROW()-ROW(Lening[[#HEADERS],[BET.NR.]]),AantalBetalingen,GeleendBedrag),""),"")</f>
        <v/>
      </c>
      <c r="G345" s="49" t="str">
        <f>IFERROR(IF(IF($B345&lt;=AantalBetalingen,1,0)*IF(GeleendBedrag*Rentevoet*Leningjaren*BegindatumLening&gt;0,1,0),-IPMT(Rentevoet/12,$B345,AantalBetalingen,GeleendBedrag),""),"")</f>
        <v/>
      </c>
      <c r="H345" s="49" t="str">
        <f>IFERROR(IF(IF(B345="","",IF($B345&lt;=AantalBetalingen,1,0)*IF(GeleendBedrag*Rentevoet*Leningjaren*BegindatumLening&gt;0,1,0),-FV(Rentevoet/12,$B345,PMT(Rentevoet/12,AantalBetalingen,GeleendBedrag),GeleendBedrag),""),""),"")</f>
        <v/>
      </c>
    </row>
    <row r="346" ht="22.5" hidden="1" customHeight="1">
      <c r="A346" s="46">
        <f>ROW()-ROW(Lening[[#HEADERS],[BET.NR.]])</f>
        <v>337</v>
      </c>
      <c r="B346" s="50" t="str">
        <f>IFERROR(IF(IF(ROW()-ROW(Lening!$9:$9)&lt;=AantalBetalingen,1,0)*IF(GeleendBedrag*Rentevoet*$D$5*BegindatumLening&gt;0,1,0),ROW()-ROW(Lening!$9:$9),""),"")</f>
        <v/>
      </c>
      <c r="C346" s="48" t="str">
        <f>IFERROR(IF(B346="","",IF(IF(B346&lt;=AantalBetalingen,1,0)*IF(GeleendBedrag*Rentevoet*Leningjaren*BegindatumLening&gt;0,1,0),TEXT(DATE(YEAR(BegindatumLening),MONTH(BegindatumLening)+B346,DAY(BegindatumLening)),"d-m-yyyy"),""),""),"")</f>
        <v/>
      </c>
      <c r="D346" s="49" t="str">
        <f>IFERROR(IF(IF(B346="","",IF($B346&lt;=AantalBetalingen,1,0)*IF(GeleendBedrag*Rentevoet*Leningjaren*BegindatumLening&gt;0,1,0),-FV(Rentevoet/12,ROW()-ROW(Lening[[#HEADERS],[BET.NR.]])-1,PMT(Rentevoet/12,AantalBetalingen,GeleendBedrag),GeleendBedrag),""),""),"")</f>
        <v/>
      </c>
      <c r="E346" s="49" t="str">
        <f>IFERROR(IF(IF(B346="","",IF($B346&lt;=AantalBetalingen,1,0)*IF(GeleendBedrag*Rentevoet*Leningjaren*BegindatumLening&gt;0,1,0),-PMT(Rentevoet/12,AantalBetalingen,GeleendBedrag),""),""),"")</f>
        <v/>
      </c>
      <c r="F346" s="49" t="str">
        <f>IFERROR(IF(IF($B346&lt;=AantalBetalingen,1,0)*IF(GeleendBedrag*Rentevoet*Leningjaren*BegindatumLening&gt;0,1,0),-PPMT(Rentevoet/12,ROW()-ROW(Lening[[#HEADERS],[BET.NR.]]),AantalBetalingen,GeleendBedrag),""),"")</f>
        <v/>
      </c>
      <c r="G346" s="49" t="str">
        <f>IFERROR(IF(IF($B346&lt;=AantalBetalingen,1,0)*IF(GeleendBedrag*Rentevoet*Leningjaren*BegindatumLening&gt;0,1,0),-IPMT(Rentevoet/12,$B346,AantalBetalingen,GeleendBedrag),""),"")</f>
        <v/>
      </c>
      <c r="H346" s="49" t="str">
        <f>IFERROR(IF(IF(B346="","",IF($B346&lt;=AantalBetalingen,1,0)*IF(GeleendBedrag*Rentevoet*Leningjaren*BegindatumLening&gt;0,1,0),-FV(Rentevoet/12,$B346,PMT(Rentevoet/12,AantalBetalingen,GeleendBedrag),GeleendBedrag),""),""),"")</f>
        <v/>
      </c>
    </row>
    <row r="347" ht="22.5" hidden="1" customHeight="1">
      <c r="A347" s="46">
        <f>ROW()-ROW(Lening[[#HEADERS],[BET.NR.]])</f>
        <v>338</v>
      </c>
      <c r="B347" s="50" t="str">
        <f>IFERROR(IF(IF(ROW()-ROW(Lening!$9:$9)&lt;=AantalBetalingen,1,0)*IF(GeleendBedrag*Rentevoet*$D$5*BegindatumLening&gt;0,1,0),ROW()-ROW(Lening!$9:$9),""),"")</f>
        <v/>
      </c>
      <c r="C347" s="48" t="str">
        <f>IFERROR(IF(B347="","",IF(IF(B347&lt;=AantalBetalingen,1,0)*IF(GeleendBedrag*Rentevoet*Leningjaren*BegindatumLening&gt;0,1,0),TEXT(DATE(YEAR(BegindatumLening),MONTH(BegindatumLening)+B347,DAY(BegindatumLening)),"d-m-yyyy"),""),""),"")</f>
        <v/>
      </c>
      <c r="D347" s="49" t="str">
        <f>IFERROR(IF(IF(B347="","",IF($B347&lt;=AantalBetalingen,1,0)*IF(GeleendBedrag*Rentevoet*Leningjaren*BegindatumLening&gt;0,1,0),-FV(Rentevoet/12,ROW()-ROW(Lening[[#HEADERS],[BET.NR.]])-1,PMT(Rentevoet/12,AantalBetalingen,GeleendBedrag),GeleendBedrag),""),""),"")</f>
        <v/>
      </c>
      <c r="E347" s="49" t="str">
        <f>IFERROR(IF(IF(B347="","",IF($B347&lt;=AantalBetalingen,1,0)*IF(GeleendBedrag*Rentevoet*Leningjaren*BegindatumLening&gt;0,1,0),-PMT(Rentevoet/12,AantalBetalingen,GeleendBedrag),""),""),"")</f>
        <v/>
      </c>
      <c r="F347" s="49" t="str">
        <f>IFERROR(IF(IF($B347&lt;=AantalBetalingen,1,0)*IF(GeleendBedrag*Rentevoet*Leningjaren*BegindatumLening&gt;0,1,0),-PPMT(Rentevoet/12,ROW()-ROW(Lening[[#HEADERS],[BET.NR.]]),AantalBetalingen,GeleendBedrag),""),"")</f>
        <v/>
      </c>
      <c r="G347" s="49" t="str">
        <f>IFERROR(IF(IF($B347&lt;=AantalBetalingen,1,0)*IF(GeleendBedrag*Rentevoet*Leningjaren*BegindatumLening&gt;0,1,0),-IPMT(Rentevoet/12,$B347,AantalBetalingen,GeleendBedrag),""),"")</f>
        <v/>
      </c>
      <c r="H347" s="49" t="str">
        <f>IFERROR(IF(IF(B347="","",IF($B347&lt;=AantalBetalingen,1,0)*IF(GeleendBedrag*Rentevoet*Leningjaren*BegindatumLening&gt;0,1,0),-FV(Rentevoet/12,$B347,PMT(Rentevoet/12,AantalBetalingen,GeleendBedrag),GeleendBedrag),""),""),"")</f>
        <v/>
      </c>
    </row>
    <row r="348" ht="22.5" hidden="1" customHeight="1">
      <c r="A348" s="46">
        <f>ROW()-ROW(Lening[[#HEADERS],[BET.NR.]])</f>
        <v>339</v>
      </c>
      <c r="B348" s="50" t="str">
        <f>IFERROR(IF(IF(ROW()-ROW(Lening!$9:$9)&lt;=AantalBetalingen,1,0)*IF(GeleendBedrag*Rentevoet*$D$5*BegindatumLening&gt;0,1,0),ROW()-ROW(Lening!$9:$9),""),"")</f>
        <v/>
      </c>
      <c r="C348" s="48" t="str">
        <f>IFERROR(IF(B348="","",IF(IF(B348&lt;=AantalBetalingen,1,0)*IF(GeleendBedrag*Rentevoet*Leningjaren*BegindatumLening&gt;0,1,0),TEXT(DATE(YEAR(BegindatumLening),MONTH(BegindatumLening)+B348,DAY(BegindatumLening)),"d-m-yyyy"),""),""),"")</f>
        <v/>
      </c>
      <c r="D348" s="49" t="str">
        <f>IFERROR(IF(IF(B348="","",IF($B348&lt;=AantalBetalingen,1,0)*IF(GeleendBedrag*Rentevoet*Leningjaren*BegindatumLening&gt;0,1,0),-FV(Rentevoet/12,ROW()-ROW(Lening[[#HEADERS],[BET.NR.]])-1,PMT(Rentevoet/12,AantalBetalingen,GeleendBedrag),GeleendBedrag),""),""),"")</f>
        <v/>
      </c>
      <c r="E348" s="49" t="str">
        <f>IFERROR(IF(IF(B348="","",IF($B348&lt;=AantalBetalingen,1,0)*IF(GeleendBedrag*Rentevoet*Leningjaren*BegindatumLening&gt;0,1,0),-PMT(Rentevoet/12,AantalBetalingen,GeleendBedrag),""),""),"")</f>
        <v/>
      </c>
      <c r="F348" s="49" t="str">
        <f>IFERROR(IF(IF($B348&lt;=AantalBetalingen,1,0)*IF(GeleendBedrag*Rentevoet*Leningjaren*BegindatumLening&gt;0,1,0),-PPMT(Rentevoet/12,ROW()-ROW(Lening[[#HEADERS],[BET.NR.]]),AantalBetalingen,GeleendBedrag),""),"")</f>
        <v/>
      </c>
      <c r="G348" s="49" t="str">
        <f>IFERROR(IF(IF($B348&lt;=AantalBetalingen,1,0)*IF(GeleendBedrag*Rentevoet*Leningjaren*BegindatumLening&gt;0,1,0),-IPMT(Rentevoet/12,$B348,AantalBetalingen,GeleendBedrag),""),"")</f>
        <v/>
      </c>
      <c r="H348" s="49" t="str">
        <f>IFERROR(IF(IF(B348="","",IF($B348&lt;=AantalBetalingen,1,0)*IF(GeleendBedrag*Rentevoet*Leningjaren*BegindatumLening&gt;0,1,0),-FV(Rentevoet/12,$B348,PMT(Rentevoet/12,AantalBetalingen,GeleendBedrag),GeleendBedrag),""),""),"")</f>
        <v/>
      </c>
    </row>
    <row r="349" ht="22.5" hidden="1" customHeight="1">
      <c r="A349" s="46">
        <f>ROW()-ROW(Lening[[#HEADERS],[BET.NR.]])</f>
        <v>340</v>
      </c>
      <c r="B349" s="50" t="str">
        <f>IFERROR(IF(IF(ROW()-ROW(Lening!$9:$9)&lt;=AantalBetalingen,1,0)*IF(GeleendBedrag*Rentevoet*$D$5*BegindatumLening&gt;0,1,0),ROW()-ROW(Lening!$9:$9),""),"")</f>
        <v/>
      </c>
      <c r="C349" s="48" t="str">
        <f>IFERROR(IF(B349="","",IF(IF(B349&lt;=AantalBetalingen,1,0)*IF(GeleendBedrag*Rentevoet*Leningjaren*BegindatumLening&gt;0,1,0),TEXT(DATE(YEAR(BegindatumLening),MONTH(BegindatumLening)+B349,DAY(BegindatumLening)),"d-m-yyyy"),""),""),"")</f>
        <v/>
      </c>
      <c r="D349" s="49" t="str">
        <f>IFERROR(IF(IF(B349="","",IF($B349&lt;=AantalBetalingen,1,0)*IF(GeleendBedrag*Rentevoet*Leningjaren*BegindatumLening&gt;0,1,0),-FV(Rentevoet/12,ROW()-ROW(Lening[[#HEADERS],[BET.NR.]])-1,PMT(Rentevoet/12,AantalBetalingen,GeleendBedrag),GeleendBedrag),""),""),"")</f>
        <v/>
      </c>
      <c r="E349" s="49" t="str">
        <f>IFERROR(IF(IF(B349="","",IF($B349&lt;=AantalBetalingen,1,0)*IF(GeleendBedrag*Rentevoet*Leningjaren*BegindatumLening&gt;0,1,0),-PMT(Rentevoet/12,AantalBetalingen,GeleendBedrag),""),""),"")</f>
        <v/>
      </c>
      <c r="F349" s="49" t="str">
        <f>IFERROR(IF(IF($B349&lt;=AantalBetalingen,1,0)*IF(GeleendBedrag*Rentevoet*Leningjaren*BegindatumLening&gt;0,1,0),-PPMT(Rentevoet/12,ROW()-ROW(Lening[[#HEADERS],[BET.NR.]]),AantalBetalingen,GeleendBedrag),""),"")</f>
        <v/>
      </c>
      <c r="G349" s="49" t="str">
        <f>IFERROR(IF(IF($B349&lt;=AantalBetalingen,1,0)*IF(GeleendBedrag*Rentevoet*Leningjaren*BegindatumLening&gt;0,1,0),-IPMT(Rentevoet/12,$B349,AantalBetalingen,GeleendBedrag),""),"")</f>
        <v/>
      </c>
      <c r="H349" s="49" t="str">
        <f>IFERROR(IF(IF(B349="","",IF($B349&lt;=AantalBetalingen,1,0)*IF(GeleendBedrag*Rentevoet*Leningjaren*BegindatumLening&gt;0,1,0),-FV(Rentevoet/12,$B349,PMT(Rentevoet/12,AantalBetalingen,GeleendBedrag),GeleendBedrag),""),""),"")</f>
        <v/>
      </c>
    </row>
    <row r="350" ht="22.5" hidden="1" customHeight="1">
      <c r="A350" s="46">
        <f>ROW()-ROW(Lening[[#HEADERS],[BET.NR.]])</f>
        <v>341</v>
      </c>
      <c r="B350" s="50" t="str">
        <f>IFERROR(IF(IF(ROW()-ROW(Lening!$9:$9)&lt;=AantalBetalingen,1,0)*IF(GeleendBedrag*Rentevoet*$D$5*BegindatumLening&gt;0,1,0),ROW()-ROW(Lening!$9:$9),""),"")</f>
        <v/>
      </c>
      <c r="C350" s="48" t="str">
        <f>IFERROR(IF(B350="","",IF(IF(B350&lt;=AantalBetalingen,1,0)*IF(GeleendBedrag*Rentevoet*Leningjaren*BegindatumLening&gt;0,1,0),TEXT(DATE(YEAR(BegindatumLening),MONTH(BegindatumLening)+B350,DAY(BegindatumLening)),"d-m-yyyy"),""),""),"")</f>
        <v/>
      </c>
      <c r="D350" s="49" t="str">
        <f>IFERROR(IF(IF(B350="","",IF($B350&lt;=AantalBetalingen,1,0)*IF(GeleendBedrag*Rentevoet*Leningjaren*BegindatumLening&gt;0,1,0),-FV(Rentevoet/12,ROW()-ROW(Lening[[#HEADERS],[BET.NR.]])-1,PMT(Rentevoet/12,AantalBetalingen,GeleendBedrag),GeleendBedrag),""),""),"")</f>
        <v/>
      </c>
      <c r="E350" s="49" t="str">
        <f>IFERROR(IF(IF(B350="","",IF($B350&lt;=AantalBetalingen,1,0)*IF(GeleendBedrag*Rentevoet*Leningjaren*BegindatumLening&gt;0,1,0),-PMT(Rentevoet/12,AantalBetalingen,GeleendBedrag),""),""),"")</f>
        <v/>
      </c>
      <c r="F350" s="49" t="str">
        <f>IFERROR(IF(IF($B350&lt;=AantalBetalingen,1,0)*IF(GeleendBedrag*Rentevoet*Leningjaren*BegindatumLening&gt;0,1,0),-PPMT(Rentevoet/12,ROW()-ROW(Lening[[#HEADERS],[BET.NR.]]),AantalBetalingen,GeleendBedrag),""),"")</f>
        <v/>
      </c>
      <c r="G350" s="49" t="str">
        <f>IFERROR(IF(IF($B350&lt;=AantalBetalingen,1,0)*IF(GeleendBedrag*Rentevoet*Leningjaren*BegindatumLening&gt;0,1,0),-IPMT(Rentevoet/12,$B350,AantalBetalingen,GeleendBedrag),""),"")</f>
        <v/>
      </c>
      <c r="H350" s="49" t="str">
        <f>IFERROR(IF(IF(B350="","",IF($B350&lt;=AantalBetalingen,1,0)*IF(GeleendBedrag*Rentevoet*Leningjaren*BegindatumLening&gt;0,1,0),-FV(Rentevoet/12,$B350,PMT(Rentevoet/12,AantalBetalingen,GeleendBedrag),GeleendBedrag),""),""),"")</f>
        <v/>
      </c>
    </row>
    <row r="351" ht="22.5" hidden="1" customHeight="1">
      <c r="A351" s="46">
        <f>ROW()-ROW(Lening[[#HEADERS],[BET.NR.]])</f>
        <v>342</v>
      </c>
      <c r="B351" s="50" t="str">
        <f>IFERROR(IF(IF(ROW()-ROW(Lening!$9:$9)&lt;=AantalBetalingen,1,0)*IF(GeleendBedrag*Rentevoet*$D$5*BegindatumLening&gt;0,1,0),ROW()-ROW(Lening!$9:$9),""),"")</f>
        <v/>
      </c>
      <c r="C351" s="48" t="str">
        <f>IFERROR(IF(B351="","",IF(IF(B351&lt;=AantalBetalingen,1,0)*IF(GeleendBedrag*Rentevoet*Leningjaren*BegindatumLening&gt;0,1,0),TEXT(DATE(YEAR(BegindatumLening),MONTH(BegindatumLening)+B351,DAY(BegindatumLening)),"d-m-yyyy"),""),""),"")</f>
        <v/>
      </c>
      <c r="D351" s="49" t="str">
        <f>IFERROR(IF(IF(B351="","",IF($B351&lt;=AantalBetalingen,1,0)*IF(GeleendBedrag*Rentevoet*Leningjaren*BegindatumLening&gt;0,1,0),-FV(Rentevoet/12,ROW()-ROW(Lening[[#HEADERS],[BET.NR.]])-1,PMT(Rentevoet/12,AantalBetalingen,GeleendBedrag),GeleendBedrag),""),""),"")</f>
        <v/>
      </c>
      <c r="E351" s="49" t="str">
        <f>IFERROR(IF(IF(B351="","",IF($B351&lt;=AantalBetalingen,1,0)*IF(GeleendBedrag*Rentevoet*Leningjaren*BegindatumLening&gt;0,1,0),-PMT(Rentevoet/12,AantalBetalingen,GeleendBedrag),""),""),"")</f>
        <v/>
      </c>
      <c r="F351" s="49" t="str">
        <f>IFERROR(IF(IF($B351&lt;=AantalBetalingen,1,0)*IF(GeleendBedrag*Rentevoet*Leningjaren*BegindatumLening&gt;0,1,0),-PPMT(Rentevoet/12,ROW()-ROW(Lening[[#HEADERS],[BET.NR.]]),AantalBetalingen,GeleendBedrag),""),"")</f>
        <v/>
      </c>
      <c r="G351" s="49" t="str">
        <f>IFERROR(IF(IF($B351&lt;=AantalBetalingen,1,0)*IF(GeleendBedrag*Rentevoet*Leningjaren*BegindatumLening&gt;0,1,0),-IPMT(Rentevoet/12,$B351,AantalBetalingen,GeleendBedrag),""),"")</f>
        <v/>
      </c>
      <c r="H351" s="49" t="str">
        <f>IFERROR(IF(IF(B351="","",IF($B351&lt;=AantalBetalingen,1,0)*IF(GeleendBedrag*Rentevoet*Leningjaren*BegindatumLening&gt;0,1,0),-FV(Rentevoet/12,$B351,PMT(Rentevoet/12,AantalBetalingen,GeleendBedrag),GeleendBedrag),""),""),"")</f>
        <v/>
      </c>
    </row>
    <row r="352" ht="22.5" hidden="1" customHeight="1">
      <c r="A352" s="46">
        <f>ROW()-ROW(Lening[[#HEADERS],[BET.NR.]])</f>
        <v>343</v>
      </c>
      <c r="B352" s="50" t="str">
        <f>IFERROR(IF(IF(ROW()-ROW(Lening!$9:$9)&lt;=AantalBetalingen,1,0)*IF(GeleendBedrag*Rentevoet*$D$5*BegindatumLening&gt;0,1,0),ROW()-ROW(Lening!$9:$9),""),"")</f>
        <v/>
      </c>
      <c r="C352" s="48" t="str">
        <f>IFERROR(IF(B352="","",IF(IF(B352&lt;=AantalBetalingen,1,0)*IF(GeleendBedrag*Rentevoet*Leningjaren*BegindatumLening&gt;0,1,0),TEXT(DATE(YEAR(BegindatumLening),MONTH(BegindatumLening)+B352,DAY(BegindatumLening)),"d-m-yyyy"),""),""),"")</f>
        <v/>
      </c>
      <c r="D352" s="49" t="str">
        <f>IFERROR(IF(IF(B352="","",IF($B352&lt;=AantalBetalingen,1,0)*IF(GeleendBedrag*Rentevoet*Leningjaren*BegindatumLening&gt;0,1,0),-FV(Rentevoet/12,ROW()-ROW(Lening[[#HEADERS],[BET.NR.]])-1,PMT(Rentevoet/12,AantalBetalingen,GeleendBedrag),GeleendBedrag),""),""),"")</f>
        <v/>
      </c>
      <c r="E352" s="49" t="str">
        <f>IFERROR(IF(IF(B352="","",IF($B352&lt;=AantalBetalingen,1,0)*IF(GeleendBedrag*Rentevoet*Leningjaren*BegindatumLening&gt;0,1,0),-PMT(Rentevoet/12,AantalBetalingen,GeleendBedrag),""),""),"")</f>
        <v/>
      </c>
      <c r="F352" s="49" t="str">
        <f>IFERROR(IF(IF($B352&lt;=AantalBetalingen,1,0)*IF(GeleendBedrag*Rentevoet*Leningjaren*BegindatumLening&gt;0,1,0),-PPMT(Rentevoet/12,ROW()-ROW(Lening[[#HEADERS],[BET.NR.]]),AantalBetalingen,GeleendBedrag),""),"")</f>
        <v/>
      </c>
      <c r="G352" s="49" t="str">
        <f>IFERROR(IF(IF($B352&lt;=AantalBetalingen,1,0)*IF(GeleendBedrag*Rentevoet*Leningjaren*BegindatumLening&gt;0,1,0),-IPMT(Rentevoet/12,$B352,AantalBetalingen,GeleendBedrag),""),"")</f>
        <v/>
      </c>
      <c r="H352" s="49" t="str">
        <f>IFERROR(IF(IF(B352="","",IF($B352&lt;=AantalBetalingen,1,0)*IF(GeleendBedrag*Rentevoet*Leningjaren*BegindatumLening&gt;0,1,0),-FV(Rentevoet/12,$B352,PMT(Rentevoet/12,AantalBetalingen,GeleendBedrag),GeleendBedrag),""),""),"")</f>
        <v/>
      </c>
    </row>
    <row r="353" ht="22.5" hidden="1" customHeight="1">
      <c r="A353" s="46">
        <f>ROW()-ROW(Lening[[#HEADERS],[BET.NR.]])</f>
        <v>344</v>
      </c>
      <c r="B353" s="50" t="str">
        <f>IFERROR(IF(IF(ROW()-ROW(Lening!$9:$9)&lt;=AantalBetalingen,1,0)*IF(GeleendBedrag*Rentevoet*$D$5*BegindatumLening&gt;0,1,0),ROW()-ROW(Lening!$9:$9),""),"")</f>
        <v/>
      </c>
      <c r="C353" s="48" t="str">
        <f>IFERROR(IF(B353="","",IF(IF(B353&lt;=AantalBetalingen,1,0)*IF(GeleendBedrag*Rentevoet*Leningjaren*BegindatumLening&gt;0,1,0),TEXT(DATE(YEAR(BegindatumLening),MONTH(BegindatumLening)+B353,DAY(BegindatumLening)),"d-m-yyyy"),""),""),"")</f>
        <v/>
      </c>
      <c r="D353" s="49" t="str">
        <f>IFERROR(IF(IF(B353="","",IF($B353&lt;=AantalBetalingen,1,0)*IF(GeleendBedrag*Rentevoet*Leningjaren*BegindatumLening&gt;0,1,0),-FV(Rentevoet/12,ROW()-ROW(Lening[[#HEADERS],[BET.NR.]])-1,PMT(Rentevoet/12,AantalBetalingen,GeleendBedrag),GeleendBedrag),""),""),"")</f>
        <v/>
      </c>
      <c r="E353" s="49" t="str">
        <f>IFERROR(IF(IF(B353="","",IF($B353&lt;=AantalBetalingen,1,0)*IF(GeleendBedrag*Rentevoet*Leningjaren*BegindatumLening&gt;0,1,0),-PMT(Rentevoet/12,AantalBetalingen,GeleendBedrag),""),""),"")</f>
        <v/>
      </c>
      <c r="F353" s="49" t="str">
        <f>IFERROR(IF(IF($B353&lt;=AantalBetalingen,1,0)*IF(GeleendBedrag*Rentevoet*Leningjaren*BegindatumLening&gt;0,1,0),-PPMT(Rentevoet/12,ROW()-ROW(Lening[[#HEADERS],[BET.NR.]]),AantalBetalingen,GeleendBedrag),""),"")</f>
        <v/>
      </c>
      <c r="G353" s="49" t="str">
        <f>IFERROR(IF(IF($B353&lt;=AantalBetalingen,1,0)*IF(GeleendBedrag*Rentevoet*Leningjaren*BegindatumLening&gt;0,1,0),-IPMT(Rentevoet/12,$B353,AantalBetalingen,GeleendBedrag),""),"")</f>
        <v/>
      </c>
      <c r="H353" s="49" t="str">
        <f>IFERROR(IF(IF(B353="","",IF($B353&lt;=AantalBetalingen,1,0)*IF(GeleendBedrag*Rentevoet*Leningjaren*BegindatumLening&gt;0,1,0),-FV(Rentevoet/12,$B353,PMT(Rentevoet/12,AantalBetalingen,GeleendBedrag),GeleendBedrag),""),""),"")</f>
        <v/>
      </c>
    </row>
    <row r="354" ht="22.5" hidden="1" customHeight="1">
      <c r="A354" s="46">
        <f>ROW()-ROW(Lening[[#HEADERS],[BET.NR.]])</f>
        <v>345</v>
      </c>
      <c r="B354" s="50" t="str">
        <f>IFERROR(IF(IF(ROW()-ROW(Lening!$9:$9)&lt;=AantalBetalingen,1,0)*IF(GeleendBedrag*Rentevoet*$D$5*BegindatumLening&gt;0,1,0),ROW()-ROW(Lening!$9:$9),""),"")</f>
        <v/>
      </c>
      <c r="C354" s="48" t="str">
        <f>IFERROR(IF(B354="","",IF(IF(B354&lt;=AantalBetalingen,1,0)*IF(GeleendBedrag*Rentevoet*Leningjaren*BegindatumLening&gt;0,1,0),TEXT(DATE(YEAR(BegindatumLening),MONTH(BegindatumLening)+B354,DAY(BegindatumLening)),"d-m-yyyy"),""),""),"")</f>
        <v/>
      </c>
      <c r="D354" s="49" t="str">
        <f>IFERROR(IF(IF(B354="","",IF($B354&lt;=AantalBetalingen,1,0)*IF(GeleendBedrag*Rentevoet*Leningjaren*BegindatumLening&gt;0,1,0),-FV(Rentevoet/12,ROW()-ROW(Lening[[#HEADERS],[BET.NR.]])-1,PMT(Rentevoet/12,AantalBetalingen,GeleendBedrag),GeleendBedrag),""),""),"")</f>
        <v/>
      </c>
      <c r="E354" s="49" t="str">
        <f>IFERROR(IF(IF(B354="","",IF($B354&lt;=AantalBetalingen,1,0)*IF(GeleendBedrag*Rentevoet*Leningjaren*BegindatumLening&gt;0,1,0),-PMT(Rentevoet/12,AantalBetalingen,GeleendBedrag),""),""),"")</f>
        <v/>
      </c>
      <c r="F354" s="49" t="str">
        <f>IFERROR(IF(IF($B354&lt;=AantalBetalingen,1,0)*IF(GeleendBedrag*Rentevoet*Leningjaren*BegindatumLening&gt;0,1,0),-PPMT(Rentevoet/12,ROW()-ROW(Lening[[#HEADERS],[BET.NR.]]),AantalBetalingen,GeleendBedrag),""),"")</f>
        <v/>
      </c>
      <c r="G354" s="49" t="str">
        <f>IFERROR(IF(IF($B354&lt;=AantalBetalingen,1,0)*IF(GeleendBedrag*Rentevoet*Leningjaren*BegindatumLening&gt;0,1,0),-IPMT(Rentevoet/12,$B354,AantalBetalingen,GeleendBedrag),""),"")</f>
        <v/>
      </c>
      <c r="H354" s="49" t="str">
        <f>IFERROR(IF(IF(B354="","",IF($B354&lt;=AantalBetalingen,1,0)*IF(GeleendBedrag*Rentevoet*Leningjaren*BegindatumLening&gt;0,1,0),-FV(Rentevoet/12,$B354,PMT(Rentevoet/12,AantalBetalingen,GeleendBedrag),GeleendBedrag),""),""),"")</f>
        <v/>
      </c>
    </row>
  </sheetData>
  <mergeCells count="23">
    <mergeCell ref="L2:M2"/>
    <mergeCell ref="L3:M3"/>
    <mergeCell ref="B4:C4"/>
    <mergeCell ref="B5:C5"/>
    <mergeCell ref="B6:C6"/>
    <mergeCell ref="B1:H1"/>
    <mergeCell ref="J1:K1"/>
    <mergeCell ref="N1:O1"/>
    <mergeCell ref="B2:C2"/>
    <mergeCell ref="F2:G2"/>
    <mergeCell ref="B3:C3"/>
    <mergeCell ref="L4:M4"/>
    <mergeCell ref="L6:M6"/>
    <mergeCell ref="L7:M7"/>
    <mergeCell ref="L9:M9"/>
    <mergeCell ref="K12:L12"/>
    <mergeCell ref="F3:G3"/>
    <mergeCell ref="F4:G4"/>
    <mergeCell ref="F5:G5"/>
    <mergeCell ref="J5:K5"/>
    <mergeCell ref="N5:O5"/>
    <mergeCell ref="F6:G6"/>
    <mergeCell ref="F7:G7"/>
  </mergeCells>
  <dataValidations>
    <dataValidation type="list" allowBlank="1" showErrorMessage="1" sqref="L1 P1">
      <formula1>'CRM '!$A$2:$A354</formula1>
    </dataValidation>
    <dataValidation type="custom" allowBlank="1" showDropDown="1" sqref="D10:D354">
      <formula1>AND(ISNUMBER(D10),(NOT(OR(NOT(ISERROR(DATEVALUE(D10))), AND(ISNUMBER(D10), LEFT(CELL("format", D10))="D")))))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89.0"/>
  </cols>
  <sheetData>
    <row r="1">
      <c r="A1" s="53"/>
      <c r="B1" s="53"/>
      <c r="C1" s="53"/>
      <c r="D1" s="53"/>
      <c r="E1" s="53"/>
      <c r="F1" s="53"/>
      <c r="G1" s="53"/>
      <c r="H1" s="53"/>
      <c r="I1" s="53"/>
      <c r="J1" s="53"/>
      <c r="K1" s="54"/>
      <c r="L1" s="54"/>
      <c r="M1" s="54"/>
      <c r="N1" s="54"/>
      <c r="O1" s="54"/>
      <c r="P1" s="54"/>
      <c r="Q1" s="54"/>
      <c r="R1" s="54"/>
      <c r="S1" s="54"/>
      <c r="T1" s="54"/>
      <c r="U1" s="54"/>
      <c r="V1" s="54"/>
      <c r="W1" s="54"/>
      <c r="X1" s="54"/>
      <c r="Y1" s="54"/>
      <c r="Z1" s="54"/>
    </row>
    <row r="2">
      <c r="A2" s="53"/>
      <c r="B2" s="55" t="s">
        <v>39</v>
      </c>
      <c r="C2" s="56"/>
      <c r="D2" s="56"/>
      <c r="E2" s="56"/>
      <c r="F2" s="56"/>
      <c r="G2" s="56"/>
      <c r="H2" s="56"/>
      <c r="I2" s="56"/>
      <c r="J2" s="56"/>
      <c r="K2" s="54"/>
      <c r="L2" s="54"/>
      <c r="M2" s="54"/>
      <c r="N2" s="54"/>
      <c r="O2" s="54"/>
      <c r="P2" s="54"/>
      <c r="Q2" s="54"/>
      <c r="R2" s="54"/>
      <c r="S2" s="54"/>
      <c r="T2" s="54"/>
      <c r="U2" s="54"/>
      <c r="V2" s="54"/>
      <c r="W2" s="54"/>
      <c r="X2" s="54"/>
      <c r="Y2" s="54"/>
      <c r="Z2" s="54"/>
    </row>
    <row r="3">
      <c r="A3" s="53"/>
      <c r="B3" s="53"/>
      <c r="C3" s="53"/>
      <c r="D3" s="53"/>
      <c r="E3" s="53"/>
      <c r="F3" s="53"/>
      <c r="G3" s="53"/>
      <c r="H3" s="53"/>
      <c r="I3" s="53"/>
      <c r="J3" s="53"/>
      <c r="K3" s="54"/>
      <c r="L3" s="54"/>
      <c r="M3" s="54"/>
      <c r="N3" s="54"/>
      <c r="O3" s="54"/>
      <c r="P3" s="54"/>
      <c r="Q3" s="54"/>
      <c r="R3" s="54"/>
      <c r="S3" s="54"/>
      <c r="T3" s="54"/>
      <c r="U3" s="54"/>
      <c r="V3" s="54"/>
      <c r="W3" s="54"/>
      <c r="X3" s="54"/>
      <c r="Y3" s="54"/>
      <c r="Z3" s="54"/>
    </row>
    <row r="4">
      <c r="A4" s="53"/>
      <c r="B4" s="57" t="s">
        <v>40</v>
      </c>
      <c r="C4" s="53"/>
      <c r="D4" s="53"/>
      <c r="E4" s="53"/>
      <c r="F4" s="53"/>
      <c r="G4" s="53"/>
      <c r="H4" s="53"/>
      <c r="I4" s="53"/>
      <c r="J4" s="53"/>
      <c r="K4" s="54"/>
      <c r="L4" s="54"/>
      <c r="M4" s="54"/>
      <c r="N4" s="54"/>
      <c r="O4" s="54"/>
      <c r="P4" s="54"/>
      <c r="Q4" s="54"/>
      <c r="R4" s="54"/>
      <c r="S4" s="54"/>
      <c r="T4" s="54"/>
      <c r="U4" s="54"/>
      <c r="V4" s="54"/>
      <c r="W4" s="54"/>
      <c r="X4" s="54"/>
      <c r="Y4" s="54"/>
      <c r="Z4" s="54"/>
    </row>
    <row r="5">
      <c r="A5" s="53"/>
      <c r="B5" s="58"/>
      <c r="C5" s="53"/>
      <c r="D5" s="53"/>
      <c r="E5" s="53"/>
      <c r="F5" s="53"/>
      <c r="G5" s="53"/>
      <c r="H5" s="53"/>
      <c r="I5" s="53"/>
      <c r="J5" s="53"/>
      <c r="K5" s="54"/>
      <c r="L5" s="54"/>
      <c r="M5" s="54"/>
      <c r="N5" s="54"/>
      <c r="O5" s="54"/>
      <c r="P5" s="54"/>
      <c r="Q5" s="54"/>
      <c r="R5" s="54"/>
      <c r="S5" s="54"/>
      <c r="T5" s="54"/>
      <c r="U5" s="54"/>
      <c r="V5" s="54"/>
      <c r="W5" s="54"/>
      <c r="X5" s="54"/>
      <c r="Y5" s="54"/>
      <c r="Z5" s="54"/>
    </row>
    <row r="6">
      <c r="A6" s="53"/>
      <c r="B6" s="59" t="str">
        <f>Ontvanger&amp;", gevestigd aan de "&amp;Adresontvanger&amp;", te dezen rechtsgeldig vertegenwoordigd door "&amp;Naamontvanger&amp;", hierna genoemd “Schuldenaar”."</f>
        <v>Denis Beheer B.V., gevestigd aan de Kievit 8, 2991ME Barendrecht, te dezen rechtsgeldig vertegenwoordigd door de heer D.O. Ibryam, hierna genoemd “Schuldenaar”.</v>
      </c>
      <c r="C6" s="60"/>
      <c r="D6" s="60"/>
      <c r="E6" s="60"/>
      <c r="F6" s="60"/>
      <c r="G6" s="60"/>
      <c r="H6" s="60"/>
      <c r="I6" s="60"/>
      <c r="J6" s="60"/>
      <c r="K6" s="54"/>
      <c r="L6" s="54"/>
      <c r="M6" s="54"/>
      <c r="N6" s="54"/>
      <c r="O6" s="54"/>
      <c r="P6" s="54"/>
      <c r="Q6" s="54"/>
      <c r="R6" s="54"/>
      <c r="S6" s="54"/>
      <c r="T6" s="54"/>
      <c r="U6" s="54"/>
      <c r="V6" s="54"/>
      <c r="W6" s="54"/>
      <c r="X6" s="54"/>
      <c r="Y6" s="54"/>
      <c r="Z6" s="54"/>
    </row>
    <row r="7">
      <c r="A7" s="53"/>
      <c r="B7" s="61"/>
      <c r="C7" s="53"/>
      <c r="D7" s="53"/>
      <c r="E7" s="53"/>
      <c r="F7" s="53"/>
      <c r="G7" s="53"/>
      <c r="H7" s="53"/>
      <c r="I7" s="53"/>
      <c r="J7" s="53"/>
      <c r="K7" s="54"/>
      <c r="L7" s="54"/>
      <c r="M7" s="54"/>
      <c r="N7" s="54"/>
      <c r="O7" s="54"/>
      <c r="P7" s="54"/>
      <c r="Q7" s="54"/>
      <c r="R7" s="54"/>
      <c r="S7" s="54"/>
      <c r="T7" s="54"/>
      <c r="U7" s="54"/>
      <c r="V7" s="54"/>
      <c r="W7" s="54"/>
      <c r="X7" s="54"/>
      <c r="Y7" s="54"/>
      <c r="Z7" s="54"/>
    </row>
    <row r="8">
      <c r="A8" s="53"/>
      <c r="B8" s="62" t="s">
        <v>41</v>
      </c>
      <c r="C8" s="53"/>
      <c r="D8" s="53"/>
      <c r="E8" s="53"/>
      <c r="F8" s="53"/>
      <c r="G8" s="53"/>
      <c r="H8" s="53"/>
      <c r="I8" s="53"/>
      <c r="J8" s="53"/>
      <c r="K8" s="54"/>
      <c r="L8" s="54"/>
      <c r="M8" s="54"/>
      <c r="N8" s="54"/>
      <c r="O8" s="54"/>
      <c r="P8" s="54"/>
      <c r="Q8" s="54"/>
      <c r="R8" s="54"/>
      <c r="S8" s="54"/>
      <c r="T8" s="54"/>
      <c r="U8" s="54"/>
      <c r="V8" s="54"/>
      <c r="W8" s="54"/>
      <c r="X8" s="54"/>
      <c r="Y8" s="54"/>
      <c r="Z8" s="54"/>
    </row>
    <row r="9">
      <c r="A9" s="53"/>
      <c r="B9" s="61"/>
      <c r="C9" s="53"/>
      <c r="D9" s="53"/>
      <c r="E9" s="53"/>
      <c r="F9" s="53"/>
      <c r="G9" s="53"/>
      <c r="H9" s="53"/>
      <c r="I9" s="53"/>
      <c r="J9" s="53"/>
      <c r="K9" s="54"/>
      <c r="L9" s="54"/>
      <c r="M9" s="54"/>
      <c r="N9" s="54"/>
      <c r="O9" s="54"/>
      <c r="P9" s="54"/>
      <c r="Q9" s="54"/>
      <c r="R9" s="54"/>
      <c r="S9" s="54"/>
      <c r="T9" s="54"/>
      <c r="U9" s="54"/>
      <c r="V9" s="54"/>
      <c r="W9" s="54"/>
      <c r="X9" s="54"/>
      <c r="Y9" s="54"/>
      <c r="Z9" s="54"/>
    </row>
    <row r="10">
      <c r="A10" s="53"/>
      <c r="B10" s="59" t="str">
        <f>Lening!L1&amp;", gevestigd aan de "&amp;Lening!L3&amp;", te dezen rechtsgeldig vertegenwoordigd door "&amp;Lening!L2&amp;", hierna genoemd “Schuldeiser”."</f>
        <v>Denis Express B.V., gevestigd aan de Gebroken Meeldijk 66 Unit 1.15, 2991 VD Barendrecht, te dezen rechtsgeldig vertegenwoordigd door de heer D.O. Ibryam, hierna genoemd “Schuldeiser”.</v>
      </c>
      <c r="C10" s="60"/>
      <c r="D10" s="60"/>
      <c r="E10" s="60"/>
      <c r="F10" s="60"/>
      <c r="G10" s="60"/>
      <c r="H10" s="60"/>
      <c r="I10" s="60"/>
      <c r="J10" s="60"/>
      <c r="K10" s="54"/>
      <c r="L10" s="54"/>
      <c r="M10" s="54"/>
      <c r="N10" s="54"/>
      <c r="O10" s="54"/>
      <c r="P10" s="54"/>
      <c r="Q10" s="54"/>
      <c r="R10" s="54"/>
      <c r="S10" s="54"/>
      <c r="T10" s="54"/>
      <c r="U10" s="54"/>
      <c r="V10" s="54"/>
      <c r="W10" s="54"/>
      <c r="X10" s="54"/>
      <c r="Y10" s="54"/>
      <c r="Z10" s="54"/>
    </row>
    <row r="11">
      <c r="A11" s="53"/>
      <c r="B11" s="61"/>
      <c r="C11" s="53"/>
      <c r="D11" s="53"/>
      <c r="E11" s="53"/>
      <c r="F11" s="53"/>
      <c r="G11" s="53"/>
      <c r="H11" s="53"/>
      <c r="I11" s="53"/>
      <c r="J11" s="53"/>
      <c r="K11" s="54"/>
      <c r="L11" s="54"/>
      <c r="M11" s="54"/>
      <c r="N11" s="54"/>
      <c r="O11" s="54"/>
      <c r="P11" s="54"/>
      <c r="Q11" s="54"/>
      <c r="R11" s="54"/>
      <c r="S11" s="54"/>
      <c r="T11" s="54"/>
      <c r="U11" s="54"/>
      <c r="V11" s="54"/>
      <c r="W11" s="54"/>
      <c r="X11" s="54"/>
      <c r="Y11" s="54"/>
      <c r="Z11" s="54"/>
    </row>
    <row r="12">
      <c r="A12" s="53"/>
      <c r="B12" s="59" t="s">
        <v>42</v>
      </c>
      <c r="C12" s="53"/>
      <c r="D12" s="53"/>
      <c r="E12" s="53"/>
      <c r="F12" s="53"/>
      <c r="G12" s="53"/>
      <c r="H12" s="53"/>
      <c r="I12" s="53"/>
      <c r="J12" s="53"/>
      <c r="K12" s="54"/>
      <c r="L12" s="54"/>
      <c r="M12" s="54"/>
      <c r="N12" s="54"/>
      <c r="O12" s="54"/>
      <c r="P12" s="54"/>
      <c r="Q12" s="54"/>
      <c r="R12" s="54"/>
      <c r="S12" s="54"/>
      <c r="T12" s="54"/>
      <c r="U12" s="54"/>
      <c r="V12" s="54"/>
      <c r="W12" s="54"/>
      <c r="X12" s="54"/>
      <c r="Y12" s="54"/>
      <c r="Z12" s="54"/>
    </row>
    <row r="13">
      <c r="A13" s="53"/>
      <c r="B13" s="61"/>
      <c r="C13" s="53"/>
      <c r="D13" s="53"/>
      <c r="E13" s="53"/>
      <c r="F13" s="53"/>
      <c r="G13" s="53"/>
      <c r="H13" s="53"/>
      <c r="I13" s="53"/>
      <c r="J13" s="53"/>
      <c r="K13" s="54"/>
      <c r="L13" s="54"/>
      <c r="M13" s="54"/>
      <c r="N13" s="54"/>
      <c r="O13" s="54"/>
      <c r="P13" s="54"/>
      <c r="Q13" s="54"/>
      <c r="R13" s="54"/>
      <c r="S13" s="54"/>
      <c r="T13" s="54"/>
      <c r="U13" s="54"/>
      <c r="V13" s="54"/>
      <c r="W13" s="54"/>
      <c r="X13" s="54"/>
      <c r="Y13" s="54"/>
      <c r="Z13" s="54"/>
    </row>
    <row r="14">
      <c r="A14" s="53"/>
      <c r="B14" s="63" t="s">
        <v>43</v>
      </c>
      <c r="C14" s="53"/>
      <c r="D14" s="53"/>
      <c r="E14" s="53"/>
      <c r="F14" s="53"/>
      <c r="G14" s="53"/>
      <c r="H14" s="53"/>
      <c r="I14" s="53"/>
      <c r="J14" s="53"/>
      <c r="K14" s="54"/>
      <c r="L14" s="54"/>
      <c r="M14" s="54"/>
      <c r="N14" s="54"/>
      <c r="O14" s="54"/>
      <c r="P14" s="54"/>
      <c r="Q14" s="54"/>
      <c r="R14" s="54"/>
      <c r="S14" s="54"/>
      <c r="T14" s="54"/>
      <c r="U14" s="54"/>
      <c r="V14" s="54"/>
      <c r="W14" s="54"/>
      <c r="X14" s="54"/>
      <c r="Y14" s="54"/>
      <c r="Z14" s="54"/>
    </row>
    <row r="15">
      <c r="A15" s="53"/>
      <c r="B15" s="61"/>
      <c r="C15" s="53"/>
      <c r="D15" s="53"/>
      <c r="E15" s="53"/>
      <c r="F15" s="53"/>
      <c r="G15" s="53"/>
      <c r="H15" s="53"/>
      <c r="I15" s="53"/>
      <c r="J15" s="53"/>
      <c r="K15" s="54"/>
      <c r="L15" s="54"/>
      <c r="M15" s="54"/>
      <c r="N15" s="54"/>
      <c r="O15" s="54"/>
      <c r="P15" s="54"/>
      <c r="Q15" s="54"/>
      <c r="R15" s="54"/>
      <c r="S15" s="54"/>
      <c r="T15" s="54"/>
      <c r="U15" s="54"/>
      <c r="V15" s="54"/>
      <c r="W15" s="54"/>
      <c r="X15" s="54"/>
      <c r="Y15" s="54"/>
      <c r="Z15" s="54"/>
    </row>
    <row r="16">
      <c r="A16" s="53"/>
      <c r="B16" s="64" t="str">
        <f>"1.       De hoofdsom van de lening bedroeg "&amp;TEXT(GeleendBedrag,"€ #,##0.00")&amp;". Dit bedrag dient de schuldenaar terug te betalen."</f>
        <v>1.       De hoofdsom van de lening bedroeg € 10.000,00. Dit bedrag dient de schuldenaar terug te betalen.</v>
      </c>
      <c r="C16" s="53"/>
      <c r="D16" s="53"/>
      <c r="E16" s="53"/>
      <c r="F16" s="53"/>
      <c r="G16" s="53"/>
      <c r="H16" s="53"/>
      <c r="I16" s="53"/>
      <c r="J16" s="53"/>
      <c r="K16" s="54"/>
      <c r="L16" s="54"/>
      <c r="M16" s="54"/>
      <c r="N16" s="54"/>
      <c r="O16" s="54"/>
      <c r="P16" s="54"/>
      <c r="Q16" s="54"/>
      <c r="R16" s="54"/>
      <c r="S16" s="54"/>
      <c r="T16" s="54"/>
      <c r="U16" s="54"/>
      <c r="V16" s="54"/>
      <c r="W16" s="54"/>
      <c r="X16" s="54"/>
      <c r="Y16" s="54"/>
      <c r="Z16" s="54"/>
    </row>
    <row r="17">
      <c r="A17" s="53"/>
      <c r="B17" s="65"/>
      <c r="C17" s="53"/>
      <c r="D17" s="53"/>
      <c r="E17" s="53"/>
      <c r="F17" s="53"/>
      <c r="G17" s="53"/>
      <c r="H17" s="53"/>
      <c r="I17" s="53"/>
      <c r="J17" s="53"/>
      <c r="K17" s="54"/>
      <c r="L17" s="54"/>
      <c r="M17" s="54"/>
      <c r="N17" s="54"/>
      <c r="O17" s="54"/>
      <c r="P17" s="54"/>
      <c r="Q17" s="54"/>
      <c r="R17" s="54"/>
      <c r="S17" s="54"/>
      <c r="T17" s="54"/>
      <c r="U17" s="54"/>
      <c r="V17" s="54"/>
      <c r="W17" s="54"/>
      <c r="X17" s="54"/>
      <c r="Y17" s="54"/>
      <c r="Z17" s="54"/>
    </row>
    <row r="18">
      <c r="A18" s="53"/>
      <c r="B18" s="64" t="str">
        <f>"2.       De datum van lening is "&amp;TEXT(BegindatumLening,"dd mmmm yyyy")</f>
        <v>2.       De datum van lening is 01 februari 2026</v>
      </c>
      <c r="C18" s="53"/>
      <c r="D18" s="53"/>
      <c r="E18" s="53"/>
      <c r="F18" s="53"/>
      <c r="G18" s="53"/>
      <c r="H18" s="53"/>
      <c r="I18" s="53"/>
      <c r="J18" s="53"/>
      <c r="K18" s="54"/>
      <c r="L18" s="54"/>
      <c r="M18" s="54"/>
      <c r="N18" s="54"/>
      <c r="O18" s="54"/>
      <c r="P18" s="54"/>
      <c r="Q18" s="54"/>
      <c r="R18" s="54"/>
      <c r="S18" s="54"/>
      <c r="T18" s="54"/>
      <c r="U18" s="54"/>
      <c r="V18" s="54"/>
      <c r="W18" s="54"/>
      <c r="X18" s="54"/>
      <c r="Y18" s="54"/>
      <c r="Z18" s="54"/>
    </row>
    <row r="19">
      <c r="A19" s="53"/>
      <c r="B19" s="61"/>
      <c r="C19" s="53"/>
      <c r="D19" s="53"/>
      <c r="E19" s="53"/>
      <c r="F19" s="66"/>
      <c r="G19" s="53"/>
      <c r="H19" s="53"/>
      <c r="I19" s="53"/>
      <c r="J19" s="53"/>
      <c r="K19" s="54"/>
      <c r="L19" s="54"/>
      <c r="M19" s="54"/>
      <c r="N19" s="54"/>
      <c r="O19" s="54"/>
      <c r="P19" s="54"/>
      <c r="Q19" s="54"/>
      <c r="R19" s="54"/>
      <c r="S19" s="54"/>
      <c r="T19" s="54"/>
      <c r="U19" s="54"/>
      <c r="V19" s="54"/>
      <c r="W19" s="54"/>
      <c r="X19" s="54"/>
      <c r="Y19" s="54"/>
      <c r="Z19" s="54"/>
    </row>
    <row r="20">
      <c r="A20" s="53"/>
      <c r="B20" s="63" t="s">
        <v>44</v>
      </c>
      <c r="C20" s="53"/>
      <c r="D20" s="53"/>
      <c r="E20" s="53"/>
      <c r="F20" s="53"/>
      <c r="G20" s="53"/>
      <c r="H20" s="53"/>
      <c r="I20" s="53"/>
      <c r="J20" s="53"/>
      <c r="K20" s="54"/>
      <c r="L20" s="54"/>
      <c r="M20" s="54"/>
      <c r="N20" s="54"/>
      <c r="O20" s="54"/>
      <c r="P20" s="54"/>
      <c r="Q20" s="54"/>
      <c r="R20" s="54"/>
      <c r="S20" s="54"/>
      <c r="T20" s="54"/>
      <c r="U20" s="54"/>
      <c r="V20" s="54"/>
      <c r="W20" s="54"/>
      <c r="X20" s="54"/>
      <c r="Y20" s="54"/>
      <c r="Z20" s="54"/>
    </row>
    <row r="21">
      <c r="A21" s="53"/>
      <c r="B21" s="58"/>
      <c r="C21" s="53"/>
      <c r="D21" s="53"/>
      <c r="E21" s="53"/>
      <c r="F21" s="53"/>
      <c r="G21" s="53"/>
      <c r="H21" s="53"/>
      <c r="I21" s="53"/>
      <c r="J21" s="53"/>
      <c r="K21" s="54"/>
      <c r="L21" s="54"/>
      <c r="M21" s="54"/>
      <c r="N21" s="54"/>
      <c r="O21" s="54"/>
      <c r="P21" s="54"/>
      <c r="Q21" s="54"/>
      <c r="R21" s="54"/>
      <c r="S21" s="54"/>
      <c r="T21" s="54"/>
      <c r="U21" s="54"/>
      <c r="V21" s="54"/>
      <c r="W21" s="54"/>
      <c r="X21" s="54"/>
      <c r="Y21" s="54"/>
      <c r="Z21" s="54"/>
    </row>
    <row r="22">
      <c r="A22" s="53"/>
      <c r="B22" s="64" t="str">
        <f>"1.       De hoofdsom wordt afgelost met een bedrag van "&amp;TEXT(Aflossing,"€ #,##0.00")&amp;" per maand, ingaande op "&amp;TEXT(EersteBetaling,"dd mmmm yyyy")&amp;" en vervolgens op de laatste dag van iedere maand. Deze bepaling vervalt op het moment dat de schuldeiser het bedrag onmiddellijk geheel opeist, zoals omschreven in bepaling 2.4."</f>
        <v>1.       De hoofdsom wordt afgelost met een bedrag van € 466,08 per maand, ingaande op 01 maart 2026 en vervolgens op de laatste dag van iedere maand. Deze bepaling vervalt op het moment dat de schuldeiser het bedrag onmiddellijk geheel opeist, zoals omschreven in bepaling 2.4.</v>
      </c>
      <c r="C22" s="53"/>
      <c r="D22" s="53"/>
      <c r="E22" s="53"/>
      <c r="F22" s="53"/>
      <c r="G22" s="53"/>
      <c r="H22" s="53"/>
      <c r="I22" s="53"/>
      <c r="J22" s="53"/>
      <c r="K22" s="54"/>
      <c r="L22" s="54"/>
      <c r="M22" s="54"/>
      <c r="N22" s="54"/>
      <c r="O22" s="54"/>
      <c r="P22" s="54"/>
      <c r="Q22" s="54"/>
      <c r="R22" s="54"/>
      <c r="S22" s="54"/>
      <c r="T22" s="54"/>
      <c r="U22" s="54"/>
      <c r="V22" s="54"/>
      <c r="W22" s="54"/>
      <c r="X22" s="54"/>
      <c r="Y22" s="54"/>
      <c r="Z22" s="54"/>
    </row>
    <row r="23">
      <c r="A23" s="53"/>
      <c r="B23" s="65"/>
      <c r="C23" s="53"/>
      <c r="D23" s="53"/>
      <c r="E23" s="53"/>
      <c r="F23" s="53"/>
      <c r="G23" s="53"/>
      <c r="H23" s="53"/>
      <c r="I23" s="53"/>
      <c r="J23" s="53"/>
      <c r="K23" s="54"/>
      <c r="L23" s="54"/>
      <c r="M23" s="54"/>
      <c r="N23" s="54"/>
      <c r="O23" s="54"/>
      <c r="P23" s="54"/>
      <c r="Q23" s="54"/>
      <c r="R23" s="54"/>
      <c r="S23" s="54"/>
      <c r="T23" s="54"/>
      <c r="U23" s="54"/>
      <c r="V23" s="54"/>
      <c r="W23" s="54"/>
      <c r="X23" s="54"/>
      <c r="Y23" s="54"/>
      <c r="Z23" s="54"/>
    </row>
    <row r="24">
      <c r="A24" s="53"/>
      <c r="B24" s="64" t="str">
        <f>"2.       De looptijd van de lening bedraagt "&amp;AantalBetalingen&amp;" maanden, met ingang van de datum genoemd in 2.1. De schuldenaar mag op ieder moment de schuld geheel of gedeeltelijk aflossen, mits in ronde sommen van € (100) of een veelvoud daarvan."</f>
        <v>2.       De looptijd van de lening bedraagt 24 maanden, met ingang van de datum genoemd in 2.1. De schuldenaar mag op ieder moment de schuld geheel of gedeeltelijk aflossen, mits in ronde sommen van € (100) of een veelvoud daarvan.</v>
      </c>
      <c r="C24" s="53"/>
      <c r="D24" s="53"/>
      <c r="E24" s="53"/>
      <c r="F24" s="53"/>
      <c r="G24" s="53"/>
      <c r="H24" s="53"/>
      <c r="I24" s="53"/>
      <c r="J24" s="53"/>
      <c r="K24" s="54"/>
      <c r="L24" s="54"/>
      <c r="M24" s="54"/>
      <c r="N24" s="54"/>
      <c r="O24" s="54"/>
      <c r="P24" s="54"/>
      <c r="Q24" s="54"/>
      <c r="R24" s="54"/>
      <c r="S24" s="54"/>
      <c r="T24" s="54"/>
      <c r="U24" s="54"/>
      <c r="V24" s="54"/>
      <c r="W24" s="54"/>
      <c r="X24" s="54"/>
      <c r="Y24" s="54"/>
      <c r="Z24" s="54"/>
    </row>
    <row r="25">
      <c r="A25" s="53"/>
      <c r="B25" s="65"/>
      <c r="C25" s="53"/>
      <c r="D25" s="53"/>
      <c r="E25" s="53"/>
      <c r="F25" s="53"/>
      <c r="G25" s="53"/>
      <c r="H25" s="53"/>
      <c r="I25" s="53"/>
      <c r="J25" s="53"/>
      <c r="K25" s="54"/>
      <c r="L25" s="54"/>
      <c r="M25" s="54"/>
      <c r="N25" s="54"/>
      <c r="O25" s="54"/>
      <c r="P25" s="54"/>
      <c r="Q25" s="54"/>
      <c r="R25" s="54"/>
      <c r="S25" s="54"/>
      <c r="T25" s="54"/>
      <c r="U25" s="54"/>
      <c r="V25" s="54"/>
      <c r="W25" s="54"/>
      <c r="X25" s="54"/>
      <c r="Y25" s="54"/>
      <c r="Z25" s="54"/>
    </row>
    <row r="26">
      <c r="A26" s="53"/>
      <c r="B26" s="64" t="str">
        <f>"3.       De over de hoofdsom of het restant verschuldigde rente van "&amp;TEXT(Rentevoet,"0.00%")&amp;" wordt maandelijks voldaan, tegelijk en binnen de aflossing van die maand."</f>
        <v>3.       De over de hoofdsom of het restant verschuldigde rente van 11,00% wordt maandelijks voldaan, tegelijk en binnen de aflossing van die maand.</v>
      </c>
      <c r="C26" s="53"/>
      <c r="D26" s="53"/>
      <c r="E26" s="53"/>
      <c r="F26" s="53"/>
      <c r="G26" s="53"/>
      <c r="H26" s="53"/>
      <c r="I26" s="53"/>
      <c r="J26" s="53"/>
      <c r="K26" s="54"/>
      <c r="L26" s="54"/>
      <c r="M26" s="54"/>
      <c r="N26" s="54"/>
      <c r="O26" s="54"/>
      <c r="P26" s="54"/>
      <c r="Q26" s="54"/>
      <c r="R26" s="54"/>
      <c r="S26" s="54"/>
      <c r="T26" s="54"/>
      <c r="U26" s="54"/>
      <c r="V26" s="54"/>
      <c r="W26" s="54"/>
      <c r="X26" s="54"/>
      <c r="Y26" s="54"/>
      <c r="Z26" s="54"/>
    </row>
    <row r="27">
      <c r="A27" s="53"/>
      <c r="B27" s="65"/>
      <c r="C27" s="53"/>
      <c r="D27" s="53"/>
      <c r="E27" s="53"/>
      <c r="F27" s="53"/>
      <c r="G27" s="53"/>
      <c r="H27" s="53"/>
      <c r="I27" s="53"/>
      <c r="J27" s="53"/>
      <c r="K27" s="54"/>
      <c r="L27" s="54"/>
      <c r="M27" s="54"/>
      <c r="N27" s="54"/>
      <c r="O27" s="54"/>
      <c r="P27" s="54"/>
      <c r="Q27" s="54"/>
      <c r="R27" s="54"/>
      <c r="S27" s="54"/>
      <c r="T27" s="54"/>
      <c r="U27" s="54"/>
      <c r="V27" s="54"/>
      <c r="W27" s="54"/>
      <c r="X27" s="54"/>
      <c r="Y27" s="54"/>
      <c r="Z27" s="54"/>
    </row>
    <row r="28">
      <c r="A28" s="53"/>
      <c r="B28" s="64" t="s">
        <v>45</v>
      </c>
      <c r="C28" s="53"/>
      <c r="D28" s="53"/>
      <c r="E28" s="53"/>
      <c r="F28" s="53"/>
      <c r="G28" s="53"/>
      <c r="H28" s="53"/>
      <c r="I28" s="53"/>
      <c r="J28" s="53"/>
      <c r="K28" s="54"/>
      <c r="L28" s="54"/>
      <c r="M28" s="54"/>
      <c r="N28" s="54"/>
      <c r="O28" s="54"/>
      <c r="P28" s="54"/>
      <c r="Q28" s="54"/>
      <c r="R28" s="54"/>
      <c r="S28" s="54"/>
      <c r="T28" s="54"/>
      <c r="U28" s="54"/>
      <c r="V28" s="54"/>
      <c r="W28" s="54"/>
      <c r="X28" s="54"/>
      <c r="Y28" s="54"/>
      <c r="Z28" s="54"/>
    </row>
    <row r="29">
      <c r="A29" s="53"/>
      <c r="B29" s="64" t="s">
        <v>46</v>
      </c>
      <c r="C29" s="53"/>
      <c r="D29" s="53"/>
      <c r="E29" s="53"/>
      <c r="F29" s="53"/>
      <c r="G29" s="53"/>
      <c r="H29" s="53"/>
      <c r="I29" s="53"/>
      <c r="J29" s="53"/>
      <c r="K29" s="54"/>
      <c r="L29" s="54"/>
      <c r="M29" s="54"/>
      <c r="N29" s="54"/>
      <c r="O29" s="54"/>
      <c r="P29" s="54"/>
      <c r="Q29" s="54"/>
      <c r="R29" s="54"/>
      <c r="S29" s="54"/>
      <c r="T29" s="54"/>
      <c r="U29" s="54"/>
      <c r="V29" s="54"/>
      <c r="W29" s="54"/>
      <c r="X29" s="54"/>
      <c r="Y29" s="54"/>
      <c r="Z29" s="54"/>
    </row>
    <row r="30">
      <c r="A30" s="53"/>
      <c r="B30" s="64" t="s">
        <v>47</v>
      </c>
      <c r="C30" s="53"/>
      <c r="D30" s="53"/>
      <c r="E30" s="53"/>
      <c r="F30" s="53"/>
      <c r="G30" s="53"/>
      <c r="H30" s="53"/>
      <c r="I30" s="53"/>
      <c r="J30" s="53"/>
      <c r="K30" s="54"/>
      <c r="L30" s="54"/>
      <c r="M30" s="54"/>
      <c r="N30" s="54"/>
      <c r="O30" s="54"/>
      <c r="P30" s="54"/>
      <c r="Q30" s="54"/>
      <c r="R30" s="54"/>
      <c r="S30" s="54"/>
      <c r="T30" s="54"/>
      <c r="U30" s="54"/>
      <c r="V30" s="54"/>
      <c r="W30" s="54"/>
      <c r="X30" s="54"/>
      <c r="Y30" s="54"/>
      <c r="Z30" s="54"/>
    </row>
    <row r="31">
      <c r="A31" s="53"/>
      <c r="B31" s="64" t="s">
        <v>48</v>
      </c>
      <c r="C31" s="53"/>
      <c r="D31" s="53"/>
      <c r="E31" s="53"/>
      <c r="F31" s="53"/>
      <c r="G31" s="53"/>
      <c r="H31" s="53"/>
      <c r="I31" s="53"/>
      <c r="J31" s="53"/>
      <c r="K31" s="54"/>
      <c r="L31" s="54"/>
      <c r="M31" s="54"/>
      <c r="N31" s="54"/>
      <c r="O31" s="54"/>
      <c r="P31" s="54"/>
      <c r="Q31" s="54"/>
      <c r="R31" s="54"/>
      <c r="S31" s="54"/>
      <c r="T31" s="54"/>
      <c r="U31" s="54"/>
      <c r="V31" s="54"/>
      <c r="W31" s="54"/>
      <c r="X31" s="54"/>
      <c r="Y31" s="54"/>
      <c r="Z31" s="54"/>
    </row>
    <row r="32">
      <c r="A32" s="53"/>
      <c r="B32" s="64" t="s">
        <v>49</v>
      </c>
      <c r="C32" s="53"/>
      <c r="D32" s="53"/>
      <c r="E32" s="53"/>
      <c r="F32" s="53"/>
      <c r="G32" s="53"/>
      <c r="H32" s="53"/>
      <c r="I32" s="53"/>
      <c r="J32" s="53"/>
      <c r="K32" s="54"/>
      <c r="L32" s="54"/>
      <c r="M32" s="54"/>
      <c r="N32" s="54"/>
      <c r="O32" s="54"/>
      <c r="P32" s="54"/>
      <c r="Q32" s="54"/>
      <c r="R32" s="54"/>
      <c r="S32" s="54"/>
      <c r="T32" s="54"/>
      <c r="U32" s="54"/>
      <c r="V32" s="54"/>
      <c r="W32" s="54"/>
      <c r="X32" s="54"/>
      <c r="Y32" s="54"/>
      <c r="Z32" s="54"/>
    </row>
    <row r="33">
      <c r="A33" s="53"/>
      <c r="B33" s="64" t="s">
        <v>50</v>
      </c>
      <c r="C33" s="53"/>
      <c r="D33" s="53"/>
      <c r="E33" s="53"/>
      <c r="F33" s="53"/>
      <c r="G33" s="53"/>
      <c r="H33" s="53"/>
      <c r="I33" s="53"/>
      <c r="J33" s="53"/>
      <c r="K33" s="54"/>
      <c r="L33" s="54"/>
      <c r="M33" s="54"/>
      <c r="N33" s="54"/>
      <c r="O33" s="54"/>
      <c r="P33" s="54"/>
      <c r="Q33" s="54"/>
      <c r="R33" s="54"/>
      <c r="S33" s="54"/>
      <c r="T33" s="54"/>
      <c r="U33" s="54"/>
      <c r="V33" s="54"/>
      <c r="W33" s="54"/>
      <c r="X33" s="54"/>
      <c r="Y33" s="54"/>
      <c r="Z33" s="54"/>
    </row>
    <row r="34">
      <c r="A34" s="53"/>
      <c r="B34" s="65"/>
      <c r="C34" s="53"/>
      <c r="D34" s="53"/>
      <c r="E34" s="53"/>
      <c r="F34" s="53"/>
      <c r="G34" s="53"/>
      <c r="H34" s="53"/>
      <c r="I34" s="53"/>
      <c r="J34" s="53"/>
      <c r="K34" s="54"/>
      <c r="L34" s="54"/>
      <c r="M34" s="54"/>
      <c r="N34" s="54"/>
      <c r="O34" s="54"/>
      <c r="P34" s="54"/>
      <c r="Q34" s="54"/>
      <c r="R34" s="54"/>
      <c r="S34" s="54"/>
      <c r="T34" s="54"/>
      <c r="U34" s="54"/>
      <c r="V34" s="54"/>
      <c r="W34" s="54"/>
      <c r="X34" s="54"/>
      <c r="Y34" s="54"/>
      <c r="Z34" s="54"/>
    </row>
    <row r="35">
      <c r="A35" s="53"/>
      <c r="B35" s="64" t="s">
        <v>51</v>
      </c>
      <c r="C35" s="53"/>
      <c r="D35" s="53"/>
      <c r="E35" s="53"/>
      <c r="F35" s="53"/>
      <c r="G35" s="53"/>
      <c r="H35" s="53"/>
      <c r="I35" s="53"/>
      <c r="J35" s="53"/>
      <c r="K35" s="54"/>
      <c r="L35" s="54"/>
      <c r="M35" s="54"/>
      <c r="N35" s="54"/>
      <c r="O35" s="54"/>
      <c r="P35" s="54"/>
      <c r="Q35" s="54"/>
      <c r="R35" s="54"/>
      <c r="S35" s="54"/>
      <c r="T35" s="54"/>
      <c r="U35" s="54"/>
      <c r="V35" s="54"/>
      <c r="W35" s="54"/>
      <c r="X35" s="54"/>
      <c r="Y35" s="54"/>
      <c r="Z35" s="54"/>
    </row>
    <row r="36">
      <c r="A36" s="53"/>
      <c r="B36" s="67"/>
      <c r="C36" s="53"/>
      <c r="D36" s="53"/>
      <c r="E36" s="53"/>
      <c r="F36" s="53"/>
      <c r="G36" s="53"/>
      <c r="H36" s="53"/>
      <c r="I36" s="53"/>
      <c r="J36" s="53"/>
      <c r="K36" s="54"/>
      <c r="L36" s="54"/>
      <c r="M36" s="54"/>
      <c r="N36" s="54"/>
      <c r="O36" s="54"/>
      <c r="P36" s="54"/>
      <c r="Q36" s="54"/>
      <c r="R36" s="54"/>
      <c r="S36" s="54"/>
      <c r="T36" s="54"/>
      <c r="U36" s="54"/>
      <c r="V36" s="54"/>
      <c r="W36" s="54"/>
      <c r="X36" s="54"/>
      <c r="Y36" s="54"/>
      <c r="Z36" s="54"/>
    </row>
    <row r="37">
      <c r="A37" s="53"/>
      <c r="B37" s="64" t="str">
        <f>"6.      De rente en aflossing, moeten worden gestort naar een rekening die de schuldeiser aanwijst: "&amp;Lening!L4&amp;" tnv "&amp;Verstrekker</f>
        <v>6.      De rente en aflossing, moeten worden gestort naar een rekening die de schuldeiser aanwijst: NL02INGB0008214041 tnv Denis Express B.V.</v>
      </c>
      <c r="C37" s="53"/>
      <c r="D37" s="53"/>
      <c r="E37" s="53"/>
      <c r="F37" s="53"/>
      <c r="G37" s="53"/>
      <c r="H37" s="53"/>
      <c r="I37" s="53"/>
      <c r="J37" s="53"/>
      <c r="K37" s="54"/>
      <c r="L37" s="54"/>
      <c r="M37" s="54"/>
      <c r="N37" s="54"/>
      <c r="O37" s="54"/>
      <c r="P37" s="54"/>
      <c r="Q37" s="54"/>
      <c r="R37" s="54"/>
      <c r="S37" s="54"/>
      <c r="T37" s="54"/>
      <c r="U37" s="54"/>
      <c r="V37" s="54"/>
      <c r="W37" s="54"/>
      <c r="X37" s="54"/>
      <c r="Y37" s="54"/>
      <c r="Z37" s="54"/>
    </row>
    <row r="38">
      <c r="A38" s="53"/>
      <c r="B38" s="65"/>
      <c r="C38" s="53"/>
      <c r="D38" s="53"/>
      <c r="E38" s="53"/>
      <c r="F38" s="53"/>
      <c r="G38" s="53"/>
      <c r="H38" s="53"/>
      <c r="I38" s="53"/>
      <c r="J38" s="53"/>
      <c r="K38" s="54"/>
      <c r="L38" s="54"/>
      <c r="M38" s="54"/>
      <c r="N38" s="54"/>
      <c r="O38" s="54"/>
      <c r="P38" s="54"/>
      <c r="Q38" s="54"/>
      <c r="R38" s="54"/>
      <c r="S38" s="54"/>
      <c r="T38" s="54"/>
      <c r="U38" s="54"/>
      <c r="V38" s="54"/>
      <c r="W38" s="54"/>
      <c r="X38" s="54"/>
      <c r="Y38" s="54"/>
      <c r="Z38" s="54"/>
    </row>
    <row r="39">
      <c r="A39" s="53"/>
      <c r="B39" s="64" t="s">
        <v>52</v>
      </c>
      <c r="C39" s="53"/>
      <c r="D39" s="53"/>
      <c r="E39" s="53"/>
      <c r="F39" s="53"/>
      <c r="G39" s="53"/>
      <c r="H39" s="53"/>
      <c r="I39" s="53"/>
      <c r="J39" s="53"/>
      <c r="K39" s="54"/>
      <c r="L39" s="54"/>
      <c r="M39" s="54"/>
      <c r="N39" s="54"/>
      <c r="O39" s="54"/>
      <c r="P39" s="54"/>
      <c r="Q39" s="54"/>
      <c r="R39" s="54"/>
      <c r="S39" s="54"/>
      <c r="T39" s="54"/>
      <c r="U39" s="54"/>
      <c r="V39" s="54"/>
      <c r="W39" s="54"/>
      <c r="X39" s="54"/>
      <c r="Y39" s="54"/>
      <c r="Z39" s="54"/>
    </row>
    <row r="40">
      <c r="A40" s="53"/>
      <c r="B40" s="65"/>
      <c r="C40" s="53"/>
      <c r="D40" s="53"/>
      <c r="E40" s="53"/>
      <c r="F40" s="53"/>
      <c r="G40" s="53"/>
      <c r="H40" s="53"/>
      <c r="I40" s="53"/>
      <c r="J40" s="53"/>
      <c r="K40" s="54"/>
      <c r="L40" s="54"/>
      <c r="M40" s="54"/>
      <c r="N40" s="54"/>
      <c r="O40" s="54"/>
      <c r="P40" s="54"/>
      <c r="Q40" s="54"/>
      <c r="R40" s="54"/>
      <c r="S40" s="54"/>
      <c r="T40" s="54"/>
      <c r="U40" s="54"/>
      <c r="V40" s="54"/>
      <c r="W40" s="54"/>
      <c r="X40" s="54"/>
      <c r="Y40" s="54"/>
      <c r="Z40" s="54"/>
    </row>
    <row r="41">
      <c r="A41" s="53"/>
      <c r="B41" s="59" t="str">
        <f>"Aldus overeengekomen en in tweevoud getekend te "&amp;VLOOKUP(Verstrekker,CRM,10,FALSE)&amp;" op "&amp;TEXT(BegindatumLening-1,"dd mmmm yyyy")&amp;"."</f>
        <v>Aldus overeengekomen en in tweevoud getekend te Barendrecht op 31 januari 2026.</v>
      </c>
      <c r="C41" s="53"/>
      <c r="D41" s="53"/>
      <c r="E41" s="53"/>
      <c r="F41" s="53"/>
      <c r="G41" s="53"/>
      <c r="H41" s="53"/>
      <c r="I41" s="53"/>
      <c r="J41" s="53"/>
      <c r="K41" s="54"/>
      <c r="L41" s="54"/>
      <c r="M41" s="54"/>
      <c r="N41" s="54"/>
      <c r="O41" s="54"/>
      <c r="P41" s="54"/>
      <c r="Q41" s="54"/>
      <c r="R41" s="54"/>
      <c r="S41" s="54"/>
      <c r="T41" s="54"/>
      <c r="U41" s="54"/>
      <c r="V41" s="54"/>
      <c r="W41" s="54"/>
      <c r="X41" s="54"/>
      <c r="Y41" s="54"/>
      <c r="Z41" s="54"/>
    </row>
    <row r="42">
      <c r="A42" s="53"/>
      <c r="B42" s="61"/>
      <c r="C42" s="53"/>
      <c r="D42" s="53"/>
      <c r="E42" s="53"/>
      <c r="F42" s="53"/>
      <c r="G42" s="53"/>
      <c r="H42" s="53"/>
      <c r="I42" s="53"/>
      <c r="J42" s="53"/>
      <c r="K42" s="54"/>
      <c r="L42" s="54"/>
      <c r="M42" s="54"/>
      <c r="N42" s="54"/>
      <c r="O42" s="54"/>
      <c r="P42" s="54"/>
      <c r="Q42" s="54"/>
      <c r="R42" s="54"/>
      <c r="S42" s="54"/>
      <c r="T42" s="54"/>
      <c r="U42" s="54"/>
      <c r="V42" s="54"/>
      <c r="W42" s="54"/>
      <c r="X42" s="54"/>
      <c r="Y42" s="54"/>
      <c r="Z42" s="54"/>
    </row>
    <row r="43">
      <c r="A43" s="53"/>
      <c r="B43" s="59" t="str">
        <f>"Schuldverklaring voor een bedrag van "&amp;TEXT(MID(TotaleLeningkosten,1,FIND(",",TotaleLeningkosten)-1),"#,##0")&amp;" euro en "&amp;LEFT(MID(TotaleLeningkosten,FIND(",",TotaleLeningkosten)+1,LEN(TotaleLeningkosten))&amp;"0",2)&amp;" eurocent."</f>
        <v>Schuldverklaring voor een bedrag van 11.185 euro en 88 eurocent.</v>
      </c>
      <c r="C43" s="53"/>
      <c r="D43" s="53"/>
      <c r="E43" s="53"/>
      <c r="F43" s="53"/>
      <c r="G43" s="53"/>
      <c r="H43" s="53"/>
      <c r="I43" s="53"/>
      <c r="J43" s="53"/>
      <c r="K43" s="54"/>
      <c r="L43" s="54"/>
      <c r="M43" s="54"/>
      <c r="N43" s="54"/>
      <c r="O43" s="54"/>
      <c r="P43" s="54"/>
      <c r="Q43" s="54"/>
      <c r="R43" s="54"/>
      <c r="S43" s="54"/>
      <c r="T43" s="54"/>
      <c r="U43" s="54"/>
      <c r="V43" s="54"/>
      <c r="W43" s="54"/>
      <c r="X43" s="54"/>
      <c r="Y43" s="54"/>
      <c r="Z43" s="54"/>
    </row>
    <row r="44">
      <c r="A44" s="53"/>
      <c r="B44" s="61"/>
      <c r="C44" s="53"/>
      <c r="D44" s="53"/>
      <c r="E44" s="53"/>
      <c r="F44" s="53"/>
      <c r="G44" s="53"/>
      <c r="H44" s="53"/>
      <c r="I44" s="53"/>
      <c r="J44" s="53"/>
      <c r="K44" s="54"/>
      <c r="L44" s="54"/>
      <c r="M44" s="54"/>
      <c r="N44" s="54"/>
      <c r="O44" s="54"/>
      <c r="P44" s="54"/>
      <c r="Q44" s="54"/>
      <c r="R44" s="54"/>
      <c r="S44" s="54"/>
      <c r="T44" s="54"/>
      <c r="U44" s="54"/>
      <c r="V44" s="54"/>
      <c r="W44" s="54"/>
      <c r="X44" s="54"/>
      <c r="Y44" s="54"/>
      <c r="Z44" s="54"/>
    </row>
    <row r="45">
      <c r="A45" s="53"/>
      <c r="B45" s="59" t="s">
        <v>53</v>
      </c>
      <c r="C45" s="53"/>
      <c r="D45" s="53"/>
      <c r="E45" s="53"/>
      <c r="F45" s="53"/>
      <c r="G45" s="53"/>
      <c r="H45" s="53"/>
      <c r="I45" s="53"/>
      <c r="J45" s="53"/>
      <c r="K45" s="54"/>
      <c r="L45" s="54"/>
      <c r="M45" s="54"/>
      <c r="N45" s="54"/>
      <c r="O45" s="54"/>
      <c r="P45" s="54"/>
      <c r="Q45" s="54"/>
      <c r="R45" s="54"/>
      <c r="S45" s="54"/>
      <c r="T45" s="54"/>
      <c r="U45" s="54"/>
      <c r="V45" s="54"/>
      <c r="W45" s="54"/>
      <c r="X45" s="54"/>
      <c r="Y45" s="54"/>
      <c r="Z45" s="54"/>
    </row>
    <row r="46">
      <c r="A46" s="53"/>
      <c r="B46" s="61"/>
      <c r="C46" s="53"/>
      <c r="D46" s="53"/>
      <c r="E46" s="53"/>
      <c r="F46" s="53"/>
      <c r="G46" s="53"/>
      <c r="H46" s="53"/>
      <c r="I46" s="53"/>
      <c r="J46" s="53"/>
      <c r="K46" s="54"/>
      <c r="L46" s="54"/>
      <c r="M46" s="54"/>
      <c r="N46" s="54"/>
      <c r="O46" s="54"/>
      <c r="P46" s="54"/>
      <c r="Q46" s="54"/>
      <c r="R46" s="54"/>
      <c r="S46" s="54"/>
      <c r="T46" s="54"/>
      <c r="U46" s="54"/>
      <c r="V46" s="54"/>
      <c r="W46" s="54"/>
      <c r="X46" s="54"/>
      <c r="Y46" s="54"/>
      <c r="Z46" s="54"/>
    </row>
    <row r="47">
      <c r="A47" s="53"/>
      <c r="B47" s="61"/>
      <c r="C47" s="53"/>
      <c r="D47" s="53"/>
      <c r="E47" s="53"/>
      <c r="F47" s="53"/>
      <c r="G47" s="53"/>
      <c r="H47" s="53"/>
      <c r="I47" s="53"/>
      <c r="J47" s="53"/>
      <c r="K47" s="54"/>
      <c r="L47" s="54"/>
      <c r="M47" s="54"/>
      <c r="N47" s="54"/>
      <c r="O47" s="54"/>
      <c r="P47" s="54"/>
      <c r="Q47" s="54"/>
      <c r="R47" s="54"/>
      <c r="S47" s="54"/>
      <c r="T47" s="54"/>
      <c r="U47" s="54"/>
      <c r="V47" s="54"/>
      <c r="W47" s="54"/>
      <c r="X47" s="54"/>
      <c r="Y47" s="54"/>
      <c r="Z47" s="54"/>
    </row>
    <row r="48">
      <c r="A48" s="53"/>
      <c r="B48" s="61"/>
      <c r="C48" s="53"/>
      <c r="D48" s="53"/>
      <c r="E48" s="53"/>
      <c r="F48" s="53"/>
      <c r="G48" s="53"/>
      <c r="H48" s="53"/>
      <c r="I48" s="53"/>
      <c r="J48" s="53"/>
      <c r="K48" s="54"/>
      <c r="L48" s="54"/>
      <c r="M48" s="54"/>
      <c r="N48" s="54"/>
      <c r="O48" s="54"/>
      <c r="P48" s="54"/>
      <c r="Q48" s="54"/>
      <c r="R48" s="54"/>
      <c r="S48" s="54"/>
      <c r="T48" s="54"/>
      <c r="U48" s="54"/>
      <c r="V48" s="54"/>
      <c r="W48" s="54"/>
      <c r="X48" s="54"/>
      <c r="Y48" s="54"/>
      <c r="Z48" s="54"/>
    </row>
    <row r="49">
      <c r="A49" s="53"/>
      <c r="B49" s="59" t="str">
        <f>"................................................ (schuldenaar) "&amp;Naamontvanger</f>
        <v>................................................ (schuldenaar) de heer D.O. Ibryam</v>
      </c>
      <c r="C49" s="53"/>
      <c r="D49" s="53"/>
      <c r="E49" s="53"/>
      <c r="F49" s="53"/>
      <c r="G49" s="53"/>
      <c r="H49" s="53"/>
      <c r="I49" s="53"/>
      <c r="J49" s="53"/>
      <c r="K49" s="54"/>
      <c r="L49" s="54"/>
      <c r="M49" s="54"/>
      <c r="N49" s="54"/>
      <c r="O49" s="54"/>
      <c r="P49" s="54"/>
      <c r="Q49" s="54"/>
      <c r="R49" s="54"/>
      <c r="S49" s="54"/>
      <c r="T49" s="54"/>
      <c r="U49" s="54"/>
      <c r="V49" s="54"/>
      <c r="W49" s="54"/>
      <c r="X49" s="54"/>
      <c r="Y49" s="54"/>
      <c r="Z49" s="54"/>
    </row>
    <row r="50">
      <c r="A50" s="53"/>
      <c r="B50" s="61"/>
      <c r="C50" s="53"/>
      <c r="D50" s="53"/>
      <c r="E50" s="53"/>
      <c r="F50" s="53"/>
      <c r="G50" s="53"/>
      <c r="H50" s="53"/>
      <c r="I50" s="53"/>
      <c r="J50" s="53"/>
      <c r="K50" s="54"/>
      <c r="L50" s="54"/>
      <c r="M50" s="54"/>
      <c r="N50" s="54"/>
      <c r="O50" s="54"/>
      <c r="P50" s="54"/>
      <c r="Q50" s="54"/>
      <c r="R50" s="54"/>
      <c r="S50" s="54"/>
      <c r="T50" s="54"/>
      <c r="U50" s="54"/>
      <c r="V50" s="54"/>
      <c r="W50" s="54"/>
      <c r="X50" s="54"/>
      <c r="Y50" s="54"/>
      <c r="Z50" s="54"/>
    </row>
    <row r="51">
      <c r="A51" s="53"/>
      <c r="B51" s="61"/>
      <c r="C51" s="53"/>
      <c r="D51" s="53"/>
      <c r="E51" s="53"/>
      <c r="F51" s="53"/>
      <c r="G51" s="53"/>
      <c r="H51" s="53"/>
      <c r="I51" s="53"/>
      <c r="J51" s="53"/>
      <c r="K51" s="54"/>
      <c r="L51" s="54"/>
      <c r="M51" s="54"/>
      <c r="N51" s="54"/>
      <c r="O51" s="54"/>
      <c r="P51" s="54"/>
      <c r="Q51" s="54"/>
      <c r="R51" s="54"/>
      <c r="S51" s="54"/>
      <c r="T51" s="54"/>
      <c r="U51" s="54"/>
      <c r="V51" s="54"/>
      <c r="W51" s="54"/>
      <c r="X51" s="54"/>
      <c r="Y51" s="54"/>
      <c r="Z51" s="54"/>
    </row>
    <row r="52">
      <c r="A52" s="53"/>
      <c r="B52" s="61"/>
      <c r="C52" s="53"/>
      <c r="D52" s="53"/>
      <c r="E52" s="53"/>
      <c r="F52" s="53"/>
      <c r="G52" s="53"/>
      <c r="H52" s="53"/>
      <c r="I52" s="53"/>
      <c r="J52" s="53"/>
      <c r="K52" s="54"/>
      <c r="L52" s="54"/>
      <c r="M52" s="54"/>
      <c r="N52" s="54"/>
      <c r="O52" s="54"/>
      <c r="P52" s="54"/>
      <c r="Q52" s="54"/>
      <c r="R52" s="54"/>
      <c r="S52" s="54"/>
      <c r="T52" s="54"/>
      <c r="U52" s="54"/>
      <c r="V52" s="54"/>
      <c r="W52" s="54"/>
      <c r="X52" s="54"/>
      <c r="Y52" s="54"/>
      <c r="Z52" s="54"/>
    </row>
    <row r="53">
      <c r="A53" s="53"/>
      <c r="B53" s="61"/>
      <c r="C53" s="53"/>
      <c r="D53" s="53"/>
      <c r="E53" s="53"/>
      <c r="F53" s="53"/>
      <c r="G53" s="53"/>
      <c r="H53" s="53"/>
      <c r="I53" s="53"/>
      <c r="J53" s="53"/>
      <c r="K53" s="54"/>
      <c r="L53" s="54"/>
      <c r="M53" s="54"/>
      <c r="N53" s="54"/>
      <c r="O53" s="54"/>
      <c r="P53" s="54"/>
      <c r="Q53" s="54"/>
      <c r="R53" s="54"/>
      <c r="S53" s="54"/>
      <c r="T53" s="54"/>
      <c r="U53" s="54"/>
      <c r="V53" s="54"/>
      <c r="W53" s="54"/>
      <c r="X53" s="54"/>
      <c r="Y53" s="54"/>
      <c r="Z53" s="54"/>
    </row>
    <row r="54">
      <c r="A54" s="53"/>
      <c r="B54" s="59" t="str">
        <f>"................................................ (schuldeiser) "&amp;Lening!L2</f>
        <v>................................................ (schuldeiser) de heer D.O. Ibryam</v>
      </c>
      <c r="C54" s="53"/>
      <c r="D54" s="53"/>
      <c r="E54" s="53"/>
      <c r="F54" s="53"/>
      <c r="G54" s="53"/>
      <c r="H54" s="53"/>
      <c r="I54" s="53"/>
      <c r="J54" s="53"/>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89.0"/>
  </cols>
  <sheetData>
    <row r="1">
      <c r="A1" s="53"/>
      <c r="B1" s="53"/>
      <c r="C1" s="53"/>
      <c r="D1" s="53"/>
      <c r="E1" s="53"/>
      <c r="F1" s="53"/>
      <c r="G1" s="53"/>
      <c r="H1" s="53"/>
      <c r="I1" s="53"/>
      <c r="J1" s="53"/>
      <c r="K1" s="54"/>
      <c r="L1" s="54"/>
      <c r="M1" s="54"/>
      <c r="N1" s="54"/>
      <c r="O1" s="54"/>
      <c r="P1" s="54"/>
      <c r="Q1" s="54"/>
      <c r="R1" s="54"/>
      <c r="S1" s="54"/>
      <c r="T1" s="54"/>
      <c r="U1" s="54"/>
      <c r="V1" s="54"/>
      <c r="W1" s="54"/>
      <c r="X1" s="54"/>
      <c r="Y1" s="54"/>
      <c r="Z1" s="54"/>
    </row>
    <row r="2">
      <c r="A2" s="53"/>
      <c r="B2" s="55" t="s">
        <v>39</v>
      </c>
      <c r="C2" s="56"/>
      <c r="D2" s="56"/>
      <c r="E2" s="56"/>
      <c r="F2" s="56"/>
      <c r="G2" s="56"/>
      <c r="H2" s="56"/>
      <c r="I2" s="56"/>
      <c r="J2" s="56"/>
      <c r="K2" s="54"/>
      <c r="L2" s="54"/>
      <c r="M2" s="54"/>
      <c r="N2" s="54"/>
      <c r="O2" s="54"/>
      <c r="P2" s="54"/>
      <c r="Q2" s="54"/>
      <c r="R2" s="54"/>
      <c r="S2" s="54"/>
      <c r="T2" s="54"/>
      <c r="U2" s="54"/>
      <c r="V2" s="54"/>
      <c r="W2" s="54"/>
      <c r="X2" s="54"/>
      <c r="Y2" s="54"/>
      <c r="Z2" s="54"/>
    </row>
    <row r="3">
      <c r="A3" s="53"/>
      <c r="B3" s="53"/>
      <c r="C3" s="53"/>
      <c r="D3" s="53"/>
      <c r="E3" s="53"/>
      <c r="F3" s="53"/>
      <c r="G3" s="53"/>
      <c r="H3" s="53"/>
      <c r="I3" s="53"/>
      <c r="J3" s="53"/>
      <c r="K3" s="54"/>
      <c r="L3" s="54"/>
      <c r="M3" s="54"/>
      <c r="N3" s="54"/>
      <c r="O3" s="54"/>
      <c r="P3" s="54"/>
      <c r="Q3" s="54"/>
      <c r="R3" s="54"/>
      <c r="S3" s="54"/>
      <c r="T3" s="54"/>
      <c r="U3" s="54"/>
      <c r="V3" s="54"/>
      <c r="W3" s="54"/>
      <c r="X3" s="54"/>
      <c r="Y3" s="54"/>
      <c r="Z3" s="54"/>
    </row>
    <row r="4">
      <c r="A4" s="53"/>
      <c r="B4" s="57" t="s">
        <v>40</v>
      </c>
      <c r="C4" s="53"/>
      <c r="D4" s="53"/>
      <c r="E4" s="53"/>
      <c r="F4" s="53"/>
      <c r="G4" s="53"/>
      <c r="H4" s="53"/>
      <c r="I4" s="53"/>
      <c r="J4" s="53"/>
      <c r="K4" s="54"/>
      <c r="L4" s="54"/>
      <c r="M4" s="54"/>
      <c r="N4" s="54"/>
      <c r="O4" s="54"/>
      <c r="P4" s="54"/>
      <c r="Q4" s="54"/>
      <c r="R4" s="54"/>
      <c r="S4" s="54"/>
      <c r="T4" s="54"/>
      <c r="U4" s="54"/>
      <c r="V4" s="54"/>
      <c r="W4" s="54"/>
      <c r="X4" s="54"/>
      <c r="Y4" s="54"/>
      <c r="Z4" s="54"/>
    </row>
    <row r="5">
      <c r="A5" s="53"/>
      <c r="B5" s="58"/>
      <c r="C5" s="53"/>
      <c r="D5" s="53"/>
      <c r="E5" s="53"/>
      <c r="F5" s="53"/>
      <c r="G5" s="53"/>
      <c r="H5" s="53"/>
      <c r="I5" s="53"/>
      <c r="J5" s="53"/>
      <c r="K5" s="54"/>
      <c r="L5" s="54"/>
      <c r="M5" s="54"/>
      <c r="N5" s="54"/>
      <c r="O5" s="54"/>
      <c r="P5" s="54"/>
      <c r="Q5" s="54"/>
      <c r="R5" s="54"/>
      <c r="S5" s="54"/>
      <c r="T5" s="54"/>
      <c r="U5" s="54"/>
      <c r="V5" s="54"/>
      <c r="W5" s="54"/>
      <c r="X5" s="54"/>
      <c r="Y5" s="54"/>
      <c r="Z5" s="54"/>
    </row>
    <row r="6">
      <c r="A6" s="53"/>
      <c r="B6" s="59" t="str">
        <f>Pontvanger&amp;", gevestigd aan de "&amp;Padresontvanger&amp;", hierna genoemd “Schuldenaar”."</f>
        <v>de heer D.O. Ibryam, gevestigd aan de Kievit 8, 2991ME Barendrecht, hierna genoemd “Schuldenaar”.</v>
      </c>
      <c r="C6" s="60"/>
      <c r="D6" s="60"/>
      <c r="E6" s="60"/>
      <c r="F6" s="60"/>
      <c r="G6" s="60"/>
      <c r="H6" s="60"/>
      <c r="I6" s="60"/>
      <c r="J6" s="60"/>
      <c r="K6" s="54"/>
      <c r="L6" s="54"/>
      <c r="M6" s="54"/>
      <c r="N6" s="54"/>
      <c r="O6" s="54"/>
      <c r="P6" s="54"/>
      <c r="Q6" s="54"/>
      <c r="R6" s="54"/>
      <c r="S6" s="54"/>
      <c r="T6" s="54"/>
      <c r="U6" s="54"/>
      <c r="V6" s="54"/>
      <c r="W6" s="54"/>
      <c r="X6" s="54"/>
      <c r="Y6" s="54"/>
      <c r="Z6" s="54"/>
    </row>
    <row r="7">
      <c r="A7" s="53"/>
      <c r="B7" s="61"/>
      <c r="C7" s="53"/>
      <c r="D7" s="53"/>
      <c r="E7" s="53"/>
      <c r="F7" s="53"/>
      <c r="G7" s="53"/>
      <c r="H7" s="53"/>
      <c r="I7" s="53"/>
      <c r="J7" s="53"/>
      <c r="K7" s="54"/>
      <c r="L7" s="54"/>
      <c r="M7" s="54"/>
      <c r="N7" s="54"/>
      <c r="O7" s="54"/>
      <c r="P7" s="54"/>
      <c r="Q7" s="54"/>
      <c r="R7" s="54"/>
      <c r="S7" s="54"/>
      <c r="T7" s="54"/>
      <c r="U7" s="54"/>
      <c r="V7" s="54"/>
      <c r="W7" s="54"/>
      <c r="X7" s="54"/>
      <c r="Y7" s="54"/>
      <c r="Z7" s="54"/>
    </row>
    <row r="8">
      <c r="A8" s="53"/>
      <c r="B8" s="62" t="s">
        <v>41</v>
      </c>
      <c r="C8" s="53"/>
      <c r="D8" s="53"/>
      <c r="E8" s="53"/>
      <c r="F8" s="53"/>
      <c r="G8" s="53"/>
      <c r="H8" s="53"/>
      <c r="I8" s="53"/>
      <c r="J8" s="53"/>
      <c r="K8" s="54"/>
      <c r="L8" s="54"/>
      <c r="M8" s="54"/>
      <c r="N8" s="54"/>
      <c r="O8" s="54"/>
      <c r="P8" s="54"/>
      <c r="Q8" s="54"/>
      <c r="R8" s="54"/>
      <c r="S8" s="54"/>
      <c r="T8" s="54"/>
      <c r="U8" s="54"/>
      <c r="V8" s="54"/>
      <c r="W8" s="54"/>
      <c r="X8" s="54"/>
      <c r="Y8" s="54"/>
      <c r="Z8" s="54"/>
    </row>
    <row r="9">
      <c r="A9" s="53"/>
      <c r="B9" s="61"/>
      <c r="C9" s="53"/>
      <c r="D9" s="53"/>
      <c r="E9" s="53"/>
      <c r="F9" s="53"/>
      <c r="G9" s="53"/>
      <c r="H9" s="53"/>
      <c r="I9" s="53"/>
      <c r="J9" s="53"/>
      <c r="K9" s="54"/>
      <c r="L9" s="54"/>
      <c r="M9" s="54"/>
      <c r="N9" s="54"/>
      <c r="O9" s="54"/>
      <c r="P9" s="54"/>
      <c r="Q9" s="54"/>
      <c r="R9" s="54"/>
      <c r="S9" s="54"/>
      <c r="T9" s="54"/>
      <c r="U9" s="54"/>
      <c r="V9" s="54"/>
      <c r="W9" s="54"/>
      <c r="X9" s="54"/>
      <c r="Y9" s="54"/>
      <c r="Z9" s="54"/>
    </row>
    <row r="10">
      <c r="A10" s="53"/>
      <c r="B10" s="59" t="str">
        <f>Lening!L2&amp;", gevestigd aan de "&amp;Lening!L3&amp;", hierna genoemd “Schuldeiser”."</f>
        <v>de heer D.O. Ibryam, gevestigd aan de Gebroken Meeldijk 66 Unit 1.15, 2991 VD Barendrecht, hierna genoemd “Schuldeiser”.</v>
      </c>
      <c r="C10" s="60"/>
      <c r="D10" s="60"/>
      <c r="E10" s="60"/>
      <c r="F10" s="60"/>
      <c r="G10" s="60"/>
      <c r="H10" s="60"/>
      <c r="I10" s="60"/>
      <c r="J10" s="60"/>
      <c r="K10" s="54"/>
      <c r="L10" s="54"/>
      <c r="M10" s="54"/>
      <c r="N10" s="54"/>
      <c r="O10" s="54"/>
      <c r="P10" s="54"/>
      <c r="Q10" s="54"/>
      <c r="R10" s="54"/>
      <c r="S10" s="54"/>
      <c r="T10" s="54"/>
      <c r="U10" s="54"/>
      <c r="V10" s="54"/>
      <c r="W10" s="54"/>
      <c r="X10" s="54"/>
      <c r="Y10" s="54"/>
      <c r="Z10" s="54"/>
    </row>
    <row r="11">
      <c r="A11" s="53"/>
      <c r="B11" s="61"/>
      <c r="C11" s="53"/>
      <c r="D11" s="53"/>
      <c r="E11" s="53"/>
      <c r="F11" s="53"/>
      <c r="G11" s="53"/>
      <c r="H11" s="53"/>
      <c r="I11" s="53"/>
      <c r="J11" s="53"/>
      <c r="K11" s="54"/>
      <c r="L11" s="54"/>
      <c r="M11" s="54"/>
      <c r="N11" s="54"/>
      <c r="O11" s="54"/>
      <c r="P11" s="54"/>
      <c r="Q11" s="54"/>
      <c r="R11" s="54"/>
      <c r="S11" s="54"/>
      <c r="T11" s="54"/>
      <c r="U11" s="54"/>
      <c r="V11" s="54"/>
      <c r="W11" s="54"/>
      <c r="X11" s="54"/>
      <c r="Y11" s="54"/>
      <c r="Z11" s="54"/>
    </row>
    <row r="12">
      <c r="A12" s="53"/>
      <c r="B12" s="59" t="s">
        <v>42</v>
      </c>
      <c r="C12" s="53"/>
      <c r="D12" s="53"/>
      <c r="E12" s="53"/>
      <c r="F12" s="53"/>
      <c r="G12" s="53"/>
      <c r="H12" s="53"/>
      <c r="I12" s="53"/>
      <c r="J12" s="53"/>
      <c r="K12" s="54"/>
      <c r="L12" s="54"/>
      <c r="M12" s="54"/>
      <c r="N12" s="54"/>
      <c r="O12" s="54"/>
      <c r="P12" s="54"/>
      <c r="Q12" s="54"/>
      <c r="R12" s="54"/>
      <c r="S12" s="54"/>
      <c r="T12" s="54"/>
      <c r="U12" s="54"/>
      <c r="V12" s="54"/>
      <c r="W12" s="54"/>
      <c r="X12" s="54"/>
      <c r="Y12" s="54"/>
      <c r="Z12" s="54"/>
    </row>
    <row r="13">
      <c r="A13" s="53"/>
      <c r="B13" s="61"/>
      <c r="C13" s="53"/>
      <c r="D13" s="53"/>
      <c r="E13" s="53"/>
      <c r="F13" s="53"/>
      <c r="G13" s="53"/>
      <c r="H13" s="53"/>
      <c r="I13" s="53"/>
      <c r="J13" s="53"/>
      <c r="K13" s="54"/>
      <c r="L13" s="54"/>
      <c r="M13" s="54"/>
      <c r="N13" s="54"/>
      <c r="O13" s="54"/>
      <c r="P13" s="54"/>
      <c r="Q13" s="54"/>
      <c r="R13" s="54"/>
      <c r="S13" s="54"/>
      <c r="T13" s="54"/>
      <c r="U13" s="54"/>
      <c r="V13" s="54"/>
      <c r="W13" s="54"/>
      <c r="X13" s="54"/>
      <c r="Y13" s="54"/>
      <c r="Z13" s="54"/>
    </row>
    <row r="14">
      <c r="A14" s="53"/>
      <c r="B14" s="63" t="s">
        <v>43</v>
      </c>
      <c r="C14" s="53"/>
      <c r="D14" s="53"/>
      <c r="E14" s="53"/>
      <c r="F14" s="53"/>
      <c r="G14" s="53"/>
      <c r="H14" s="53"/>
      <c r="I14" s="53"/>
      <c r="J14" s="53"/>
      <c r="K14" s="54"/>
      <c r="L14" s="54"/>
      <c r="M14" s="54"/>
      <c r="N14" s="54"/>
      <c r="O14" s="54"/>
      <c r="P14" s="54"/>
      <c r="Q14" s="54"/>
      <c r="R14" s="54"/>
      <c r="S14" s="54"/>
      <c r="T14" s="54"/>
      <c r="U14" s="54"/>
      <c r="V14" s="54"/>
      <c r="W14" s="54"/>
      <c r="X14" s="54"/>
      <c r="Y14" s="54"/>
      <c r="Z14" s="54"/>
    </row>
    <row r="15">
      <c r="A15" s="53"/>
      <c r="B15" s="61"/>
      <c r="C15" s="53"/>
      <c r="D15" s="53"/>
      <c r="E15" s="53"/>
      <c r="F15" s="53"/>
      <c r="G15" s="53"/>
      <c r="H15" s="53"/>
      <c r="I15" s="53"/>
      <c r="J15" s="53"/>
      <c r="K15" s="54"/>
      <c r="L15" s="54"/>
      <c r="M15" s="54"/>
      <c r="N15" s="54"/>
      <c r="O15" s="54"/>
      <c r="P15" s="54"/>
      <c r="Q15" s="54"/>
      <c r="R15" s="54"/>
      <c r="S15" s="54"/>
      <c r="T15" s="54"/>
      <c r="U15" s="54"/>
      <c r="V15" s="54"/>
      <c r="W15" s="54"/>
      <c r="X15" s="54"/>
      <c r="Y15" s="54"/>
      <c r="Z15" s="54"/>
    </row>
    <row r="16">
      <c r="A16" s="53"/>
      <c r="B16" s="64" t="str">
        <f>"1.       De hoofdsom van de lening bedroeg "&amp;TEXT(GeleendBedrag,"€ #,##0.00")&amp;". Dit bedrag dient de schuldenaar terug te betalen."</f>
        <v>1.       De hoofdsom van de lening bedroeg € 10.000,00. Dit bedrag dient de schuldenaar terug te betalen.</v>
      </c>
      <c r="C16" s="53"/>
      <c r="D16" s="53"/>
      <c r="E16" s="53"/>
      <c r="F16" s="53"/>
      <c r="G16" s="53"/>
      <c r="H16" s="53"/>
      <c r="I16" s="53"/>
      <c r="J16" s="53"/>
      <c r="K16" s="54"/>
      <c r="L16" s="54"/>
      <c r="M16" s="54"/>
      <c r="N16" s="54"/>
      <c r="O16" s="54"/>
      <c r="P16" s="54"/>
      <c r="Q16" s="54"/>
      <c r="R16" s="54"/>
      <c r="S16" s="54"/>
      <c r="T16" s="54"/>
      <c r="U16" s="54"/>
      <c r="V16" s="54"/>
      <c r="W16" s="54"/>
      <c r="X16" s="54"/>
      <c r="Y16" s="54"/>
      <c r="Z16" s="54"/>
    </row>
    <row r="17">
      <c r="A17" s="53"/>
      <c r="B17" s="65"/>
      <c r="C17" s="53"/>
      <c r="D17" s="53"/>
      <c r="E17" s="53"/>
      <c r="F17" s="53"/>
      <c r="G17" s="53"/>
      <c r="H17" s="53"/>
      <c r="I17" s="53"/>
      <c r="J17" s="53"/>
      <c r="K17" s="54"/>
      <c r="L17" s="54"/>
      <c r="M17" s="54"/>
      <c r="N17" s="54"/>
      <c r="O17" s="54"/>
      <c r="P17" s="54"/>
      <c r="Q17" s="54"/>
      <c r="R17" s="54"/>
      <c r="S17" s="54"/>
      <c r="T17" s="54"/>
      <c r="U17" s="54"/>
      <c r="V17" s="54"/>
      <c r="W17" s="54"/>
      <c r="X17" s="54"/>
      <c r="Y17" s="54"/>
      <c r="Z17" s="54"/>
    </row>
    <row r="18">
      <c r="A18" s="53"/>
      <c r="B18" s="64" t="str">
        <f>"2.       De datum van lening is "&amp;TEXT(BegindatumLening,"dd mmmm yyyy")</f>
        <v>2.       De datum van lening is 01 februari 2026</v>
      </c>
      <c r="C18" s="53"/>
      <c r="D18" s="53"/>
      <c r="E18" s="53"/>
      <c r="F18" s="53"/>
      <c r="G18" s="53"/>
      <c r="H18" s="53"/>
      <c r="I18" s="53"/>
      <c r="J18" s="53"/>
      <c r="K18" s="54"/>
      <c r="L18" s="54"/>
      <c r="M18" s="54"/>
      <c r="N18" s="54"/>
      <c r="O18" s="54"/>
      <c r="P18" s="54"/>
      <c r="Q18" s="54"/>
      <c r="R18" s="54"/>
      <c r="S18" s="54"/>
      <c r="T18" s="54"/>
      <c r="U18" s="54"/>
      <c r="V18" s="54"/>
      <c r="W18" s="54"/>
      <c r="X18" s="54"/>
      <c r="Y18" s="54"/>
      <c r="Z18" s="54"/>
    </row>
    <row r="19">
      <c r="A19" s="53"/>
      <c r="B19" s="61"/>
      <c r="C19" s="53"/>
      <c r="D19" s="53"/>
      <c r="E19" s="53"/>
      <c r="F19" s="66"/>
      <c r="G19" s="53"/>
      <c r="H19" s="53"/>
      <c r="I19" s="53"/>
      <c r="J19" s="53"/>
      <c r="K19" s="54"/>
      <c r="L19" s="54"/>
      <c r="M19" s="54"/>
      <c r="N19" s="54"/>
      <c r="O19" s="54"/>
      <c r="P19" s="54"/>
      <c r="Q19" s="54"/>
      <c r="R19" s="54"/>
      <c r="S19" s="54"/>
      <c r="T19" s="54"/>
      <c r="U19" s="54"/>
      <c r="V19" s="54"/>
      <c r="W19" s="54"/>
      <c r="X19" s="54"/>
      <c r="Y19" s="54"/>
      <c r="Z19" s="54"/>
    </row>
    <row r="20">
      <c r="A20" s="53"/>
      <c r="B20" s="63" t="s">
        <v>44</v>
      </c>
      <c r="C20" s="53"/>
      <c r="D20" s="53"/>
      <c r="E20" s="53"/>
      <c r="F20" s="53"/>
      <c r="G20" s="53"/>
      <c r="H20" s="53"/>
      <c r="I20" s="53"/>
      <c r="J20" s="53"/>
      <c r="K20" s="54"/>
      <c r="L20" s="54"/>
      <c r="M20" s="54"/>
      <c r="N20" s="54"/>
      <c r="O20" s="54"/>
      <c r="P20" s="54"/>
      <c r="Q20" s="54"/>
      <c r="R20" s="54"/>
      <c r="S20" s="54"/>
      <c r="T20" s="54"/>
      <c r="U20" s="54"/>
      <c r="V20" s="54"/>
      <c r="W20" s="54"/>
      <c r="X20" s="54"/>
      <c r="Y20" s="54"/>
      <c r="Z20" s="54"/>
    </row>
    <row r="21">
      <c r="A21" s="53"/>
      <c r="B21" s="58"/>
      <c r="C21" s="53"/>
      <c r="D21" s="53"/>
      <c r="E21" s="53"/>
      <c r="F21" s="53"/>
      <c r="G21" s="53"/>
      <c r="H21" s="53"/>
      <c r="I21" s="53"/>
      <c r="J21" s="53"/>
      <c r="K21" s="54"/>
      <c r="L21" s="54"/>
      <c r="M21" s="54"/>
      <c r="N21" s="54"/>
      <c r="O21" s="54"/>
      <c r="P21" s="54"/>
      <c r="Q21" s="54"/>
      <c r="R21" s="54"/>
      <c r="S21" s="54"/>
      <c r="T21" s="54"/>
      <c r="U21" s="54"/>
      <c r="V21" s="54"/>
      <c r="W21" s="54"/>
      <c r="X21" s="54"/>
      <c r="Y21" s="54"/>
      <c r="Z21" s="54"/>
    </row>
    <row r="22">
      <c r="A22" s="53"/>
      <c r="B22" s="64" t="str">
        <f>"1.       De hoofdsom wordt afgelost met een bedrag van "&amp;TEXT(Aflossing,"€ #,##0.00")&amp;" per maand, ingaande op "&amp;TEXT(EersteBetaling,"dd mmmm yyyy")&amp;" en vervolgens op de laatste dag van iedere maand. Deze bepaling vervalt op het moment dat de schuldeiser het bedrag onmiddellijk geheel opeist, zoals omschreven in bepaling 2.4."</f>
        <v>1.       De hoofdsom wordt afgelost met een bedrag van € 466,08 per maand, ingaande op 01 maart 2026 en vervolgens op de laatste dag van iedere maand. Deze bepaling vervalt op het moment dat de schuldeiser het bedrag onmiddellijk geheel opeist, zoals omschreven in bepaling 2.4.</v>
      </c>
      <c r="C22" s="53"/>
      <c r="D22" s="53"/>
      <c r="E22" s="53"/>
      <c r="F22" s="53"/>
      <c r="G22" s="53"/>
      <c r="H22" s="53"/>
      <c r="I22" s="53"/>
      <c r="J22" s="53"/>
      <c r="K22" s="54"/>
      <c r="L22" s="54"/>
      <c r="M22" s="54"/>
      <c r="N22" s="54"/>
      <c r="O22" s="54"/>
      <c r="P22" s="54"/>
      <c r="Q22" s="54"/>
      <c r="R22" s="54"/>
      <c r="S22" s="54"/>
      <c r="T22" s="54"/>
      <c r="U22" s="54"/>
      <c r="V22" s="54"/>
      <c r="W22" s="54"/>
      <c r="X22" s="54"/>
      <c r="Y22" s="54"/>
      <c r="Z22" s="54"/>
    </row>
    <row r="23">
      <c r="A23" s="53"/>
      <c r="B23" s="65"/>
      <c r="C23" s="53"/>
      <c r="D23" s="53"/>
      <c r="E23" s="53"/>
      <c r="F23" s="53"/>
      <c r="G23" s="53"/>
      <c r="H23" s="53"/>
      <c r="I23" s="53"/>
      <c r="J23" s="53"/>
      <c r="K23" s="54"/>
      <c r="L23" s="54"/>
      <c r="M23" s="54"/>
      <c r="N23" s="54"/>
      <c r="O23" s="54"/>
      <c r="P23" s="54"/>
      <c r="Q23" s="54"/>
      <c r="R23" s="54"/>
      <c r="S23" s="54"/>
      <c r="T23" s="54"/>
      <c r="U23" s="54"/>
      <c r="V23" s="54"/>
      <c r="W23" s="54"/>
      <c r="X23" s="54"/>
      <c r="Y23" s="54"/>
      <c r="Z23" s="54"/>
    </row>
    <row r="24">
      <c r="A24" s="53"/>
      <c r="B24" s="64" t="str">
        <f>"2.       De looptijd van de lening bedraagt "&amp;AantalBetalingen&amp;" maanden, met ingang van de datum genoemd in 2.1. De schuldenaar mag op ieder moment de schuld geheel of gedeeltelijk aflossen, mits in ronde sommen van € (100) of een veelvoud daarvan."</f>
        <v>2.       De looptijd van de lening bedraagt 24 maanden, met ingang van de datum genoemd in 2.1. De schuldenaar mag op ieder moment de schuld geheel of gedeeltelijk aflossen, mits in ronde sommen van € (100) of een veelvoud daarvan.</v>
      </c>
      <c r="C24" s="53"/>
      <c r="D24" s="53"/>
      <c r="E24" s="53"/>
      <c r="F24" s="53"/>
      <c r="G24" s="53"/>
      <c r="H24" s="53"/>
      <c r="I24" s="53"/>
      <c r="J24" s="53"/>
      <c r="K24" s="54"/>
      <c r="L24" s="54"/>
      <c r="M24" s="54"/>
      <c r="N24" s="54"/>
      <c r="O24" s="54"/>
      <c r="P24" s="54"/>
      <c r="Q24" s="54"/>
      <c r="R24" s="54"/>
      <c r="S24" s="54"/>
      <c r="T24" s="54"/>
      <c r="U24" s="54"/>
      <c r="V24" s="54"/>
      <c r="W24" s="54"/>
      <c r="X24" s="54"/>
      <c r="Y24" s="54"/>
      <c r="Z24" s="54"/>
    </row>
    <row r="25">
      <c r="A25" s="53"/>
      <c r="B25" s="65"/>
      <c r="C25" s="53"/>
      <c r="D25" s="53"/>
      <c r="E25" s="53"/>
      <c r="F25" s="53"/>
      <c r="G25" s="53"/>
      <c r="H25" s="53"/>
      <c r="I25" s="53"/>
      <c r="J25" s="53"/>
      <c r="K25" s="54"/>
      <c r="L25" s="54"/>
      <c r="M25" s="54"/>
      <c r="N25" s="54"/>
      <c r="O25" s="54"/>
      <c r="P25" s="54"/>
      <c r="Q25" s="54"/>
      <c r="R25" s="54"/>
      <c r="S25" s="54"/>
      <c r="T25" s="54"/>
      <c r="U25" s="54"/>
      <c r="V25" s="54"/>
      <c r="W25" s="54"/>
      <c r="X25" s="54"/>
      <c r="Y25" s="54"/>
      <c r="Z25" s="54"/>
    </row>
    <row r="26">
      <c r="A26" s="53"/>
      <c r="B26" s="64" t="str">
        <f>"3.       De over de hoofdsom of het restant verschuldigde rente van "&amp;TEXT(Rentevoet,"0.00%")&amp;" wordt maandelijks voldaan, tegelijk en binnen de aflossing van die maand."</f>
        <v>3.       De over de hoofdsom of het restant verschuldigde rente van 11,00% wordt maandelijks voldaan, tegelijk en binnen de aflossing van die maand.</v>
      </c>
      <c r="C26" s="53"/>
      <c r="D26" s="53"/>
      <c r="E26" s="53"/>
      <c r="F26" s="53"/>
      <c r="G26" s="53"/>
      <c r="H26" s="53"/>
      <c r="I26" s="53"/>
      <c r="J26" s="53"/>
      <c r="K26" s="54"/>
      <c r="L26" s="54"/>
      <c r="M26" s="54"/>
      <c r="N26" s="54"/>
      <c r="O26" s="54"/>
      <c r="P26" s="54"/>
      <c r="Q26" s="54"/>
      <c r="R26" s="54"/>
      <c r="S26" s="54"/>
      <c r="T26" s="54"/>
      <c r="U26" s="54"/>
      <c r="V26" s="54"/>
      <c r="W26" s="54"/>
      <c r="X26" s="54"/>
      <c r="Y26" s="54"/>
      <c r="Z26" s="54"/>
    </row>
    <row r="27">
      <c r="A27" s="53"/>
      <c r="B27" s="65"/>
      <c r="C27" s="53"/>
      <c r="D27" s="53"/>
      <c r="E27" s="53"/>
      <c r="F27" s="53"/>
      <c r="G27" s="53"/>
      <c r="H27" s="53"/>
      <c r="I27" s="53"/>
      <c r="J27" s="53"/>
      <c r="K27" s="54"/>
      <c r="L27" s="54"/>
      <c r="M27" s="54"/>
      <c r="N27" s="54"/>
      <c r="O27" s="54"/>
      <c r="P27" s="54"/>
      <c r="Q27" s="54"/>
      <c r="R27" s="54"/>
      <c r="S27" s="54"/>
      <c r="T27" s="54"/>
      <c r="U27" s="54"/>
      <c r="V27" s="54"/>
      <c r="W27" s="54"/>
      <c r="X27" s="54"/>
      <c r="Y27" s="54"/>
      <c r="Z27" s="54"/>
    </row>
    <row r="28">
      <c r="A28" s="53"/>
      <c r="B28" s="64" t="s">
        <v>45</v>
      </c>
      <c r="C28" s="53"/>
      <c r="D28" s="53"/>
      <c r="E28" s="53"/>
      <c r="F28" s="53"/>
      <c r="G28" s="53"/>
      <c r="H28" s="53"/>
      <c r="I28" s="53"/>
      <c r="J28" s="53"/>
      <c r="K28" s="54"/>
      <c r="L28" s="54"/>
      <c r="M28" s="54"/>
      <c r="N28" s="54"/>
      <c r="O28" s="54"/>
      <c r="P28" s="54"/>
      <c r="Q28" s="54"/>
      <c r="R28" s="54"/>
      <c r="S28" s="54"/>
      <c r="T28" s="54"/>
      <c r="U28" s="54"/>
      <c r="V28" s="54"/>
      <c r="W28" s="54"/>
      <c r="X28" s="54"/>
      <c r="Y28" s="54"/>
      <c r="Z28" s="54"/>
    </row>
    <row r="29">
      <c r="A29" s="53"/>
      <c r="B29" s="64" t="s">
        <v>46</v>
      </c>
      <c r="C29" s="53"/>
      <c r="D29" s="53"/>
      <c r="E29" s="53"/>
      <c r="F29" s="53"/>
      <c r="G29" s="53"/>
      <c r="H29" s="53"/>
      <c r="I29" s="53"/>
      <c r="J29" s="53"/>
      <c r="K29" s="54"/>
      <c r="L29" s="54"/>
      <c r="M29" s="54"/>
      <c r="N29" s="54"/>
      <c r="O29" s="54"/>
      <c r="P29" s="54"/>
      <c r="Q29" s="54"/>
      <c r="R29" s="54"/>
      <c r="S29" s="54"/>
      <c r="T29" s="54"/>
      <c r="U29" s="54"/>
      <c r="V29" s="54"/>
      <c r="W29" s="54"/>
      <c r="X29" s="54"/>
      <c r="Y29" s="54"/>
      <c r="Z29" s="54"/>
    </row>
    <row r="30">
      <c r="A30" s="53"/>
      <c r="B30" s="64" t="s">
        <v>47</v>
      </c>
      <c r="C30" s="53"/>
      <c r="D30" s="53"/>
      <c r="E30" s="53"/>
      <c r="F30" s="53"/>
      <c r="G30" s="53"/>
      <c r="H30" s="53"/>
      <c r="I30" s="53"/>
      <c r="J30" s="53"/>
      <c r="K30" s="54"/>
      <c r="L30" s="54"/>
      <c r="M30" s="54"/>
      <c r="N30" s="54"/>
      <c r="O30" s="54"/>
      <c r="P30" s="54"/>
      <c r="Q30" s="54"/>
      <c r="R30" s="54"/>
      <c r="S30" s="54"/>
      <c r="T30" s="54"/>
      <c r="U30" s="54"/>
      <c r="V30" s="54"/>
      <c r="W30" s="54"/>
      <c r="X30" s="54"/>
      <c r="Y30" s="54"/>
      <c r="Z30" s="54"/>
    </row>
    <row r="31">
      <c r="A31" s="53"/>
      <c r="B31" s="64" t="s">
        <v>48</v>
      </c>
      <c r="C31" s="53"/>
      <c r="D31" s="53"/>
      <c r="E31" s="53"/>
      <c r="F31" s="53"/>
      <c r="G31" s="53"/>
      <c r="H31" s="53"/>
      <c r="I31" s="53"/>
      <c r="J31" s="53"/>
      <c r="K31" s="54"/>
      <c r="L31" s="54"/>
      <c r="M31" s="54"/>
      <c r="N31" s="54"/>
      <c r="O31" s="54"/>
      <c r="P31" s="54"/>
      <c r="Q31" s="54"/>
      <c r="R31" s="54"/>
      <c r="S31" s="54"/>
      <c r="T31" s="54"/>
      <c r="U31" s="54"/>
      <c r="V31" s="54"/>
      <c r="W31" s="54"/>
      <c r="X31" s="54"/>
      <c r="Y31" s="54"/>
      <c r="Z31" s="54"/>
    </row>
    <row r="32">
      <c r="A32" s="53"/>
      <c r="B32" s="64" t="s">
        <v>49</v>
      </c>
      <c r="C32" s="53"/>
      <c r="D32" s="53"/>
      <c r="E32" s="53"/>
      <c r="F32" s="53"/>
      <c r="G32" s="53"/>
      <c r="H32" s="53"/>
      <c r="I32" s="53"/>
      <c r="J32" s="53"/>
      <c r="K32" s="54"/>
      <c r="L32" s="54"/>
      <c r="M32" s="54"/>
      <c r="N32" s="54"/>
      <c r="O32" s="54"/>
      <c r="P32" s="54"/>
      <c r="Q32" s="54"/>
      <c r="R32" s="54"/>
      <c r="S32" s="54"/>
      <c r="T32" s="54"/>
      <c r="U32" s="54"/>
      <c r="V32" s="54"/>
      <c r="W32" s="54"/>
      <c r="X32" s="54"/>
      <c r="Y32" s="54"/>
      <c r="Z32" s="54"/>
    </row>
    <row r="33">
      <c r="A33" s="53"/>
      <c r="B33" s="64" t="s">
        <v>50</v>
      </c>
      <c r="C33" s="53"/>
      <c r="D33" s="53"/>
      <c r="E33" s="53"/>
      <c r="F33" s="53"/>
      <c r="G33" s="53"/>
      <c r="H33" s="53"/>
      <c r="I33" s="53"/>
      <c r="J33" s="53"/>
      <c r="K33" s="54"/>
      <c r="L33" s="54"/>
      <c r="M33" s="54"/>
      <c r="N33" s="54"/>
      <c r="O33" s="54"/>
      <c r="P33" s="54"/>
      <c r="Q33" s="54"/>
      <c r="R33" s="54"/>
      <c r="S33" s="54"/>
      <c r="T33" s="54"/>
      <c r="U33" s="54"/>
      <c r="V33" s="54"/>
      <c r="W33" s="54"/>
      <c r="X33" s="54"/>
      <c r="Y33" s="54"/>
      <c r="Z33" s="54"/>
    </row>
    <row r="34">
      <c r="A34" s="53"/>
      <c r="B34" s="65"/>
      <c r="C34" s="53"/>
      <c r="D34" s="53"/>
      <c r="E34" s="53"/>
      <c r="F34" s="53"/>
      <c r="G34" s="53"/>
      <c r="H34" s="53"/>
      <c r="I34" s="53"/>
      <c r="J34" s="53"/>
      <c r="K34" s="54"/>
      <c r="L34" s="54"/>
      <c r="M34" s="54"/>
      <c r="N34" s="54"/>
      <c r="O34" s="54"/>
      <c r="P34" s="54"/>
      <c r="Q34" s="54"/>
      <c r="R34" s="54"/>
      <c r="S34" s="54"/>
      <c r="T34" s="54"/>
      <c r="U34" s="54"/>
      <c r="V34" s="54"/>
      <c r="W34" s="54"/>
      <c r="X34" s="54"/>
      <c r="Y34" s="54"/>
      <c r="Z34" s="54"/>
    </row>
    <row r="35">
      <c r="A35" s="53"/>
      <c r="B35" s="64" t="s">
        <v>51</v>
      </c>
      <c r="C35" s="53"/>
      <c r="D35" s="53"/>
      <c r="E35" s="53"/>
      <c r="F35" s="53"/>
      <c r="G35" s="53"/>
      <c r="H35" s="53"/>
      <c r="I35" s="53"/>
      <c r="J35" s="53"/>
      <c r="K35" s="54"/>
      <c r="L35" s="54"/>
      <c r="M35" s="54"/>
      <c r="N35" s="54"/>
      <c r="O35" s="54"/>
      <c r="P35" s="54"/>
      <c r="Q35" s="54"/>
      <c r="R35" s="54"/>
      <c r="S35" s="54"/>
      <c r="T35" s="54"/>
      <c r="U35" s="54"/>
      <c r="V35" s="54"/>
      <c r="W35" s="54"/>
      <c r="X35" s="54"/>
      <c r="Y35" s="54"/>
      <c r="Z35" s="54"/>
    </row>
    <row r="36">
      <c r="A36" s="53"/>
      <c r="B36" s="67"/>
      <c r="C36" s="53"/>
      <c r="D36" s="53"/>
      <c r="E36" s="53"/>
      <c r="F36" s="53"/>
      <c r="G36" s="53"/>
      <c r="H36" s="53"/>
      <c r="I36" s="53"/>
      <c r="J36" s="53"/>
      <c r="K36" s="54"/>
      <c r="L36" s="54"/>
      <c r="M36" s="54"/>
      <c r="N36" s="54"/>
      <c r="O36" s="54"/>
      <c r="P36" s="54"/>
      <c r="Q36" s="54"/>
      <c r="R36" s="54"/>
      <c r="S36" s="54"/>
      <c r="T36" s="54"/>
      <c r="U36" s="54"/>
      <c r="V36" s="54"/>
      <c r="W36" s="54"/>
      <c r="X36" s="54"/>
      <c r="Y36" s="54"/>
      <c r="Z36" s="54"/>
    </row>
    <row r="37">
      <c r="A37" s="53"/>
      <c r="B37" s="64" t="str">
        <f>"6.      De rente en aflossing, moeten worden gestort naar een rekening die de schuldeiser aanwijst: "&amp;Lening!L9&amp;" tnv "&amp;Lening!L2</f>
        <v>6.      De rente en aflossing, moeten worden gestort naar een rekening die de schuldeiser aanwijst: NL02INGB0000000000 tnv de heer D.O. Ibryam</v>
      </c>
      <c r="C37" s="53"/>
      <c r="D37" s="53"/>
      <c r="E37" s="53"/>
      <c r="F37" s="53"/>
      <c r="G37" s="53"/>
      <c r="H37" s="53"/>
      <c r="I37" s="53"/>
      <c r="J37" s="53"/>
      <c r="K37" s="54"/>
      <c r="L37" s="54"/>
      <c r="M37" s="54"/>
      <c r="N37" s="54"/>
      <c r="O37" s="54"/>
      <c r="P37" s="54"/>
      <c r="Q37" s="54"/>
      <c r="R37" s="54"/>
      <c r="S37" s="54"/>
      <c r="T37" s="54"/>
      <c r="U37" s="54"/>
      <c r="V37" s="54"/>
      <c r="W37" s="54"/>
      <c r="X37" s="54"/>
      <c r="Y37" s="54"/>
      <c r="Z37" s="54"/>
    </row>
    <row r="38">
      <c r="A38" s="53"/>
      <c r="B38" s="65"/>
      <c r="C38" s="53"/>
      <c r="D38" s="53"/>
      <c r="E38" s="53"/>
      <c r="F38" s="53"/>
      <c r="G38" s="53"/>
      <c r="H38" s="53"/>
      <c r="I38" s="53"/>
      <c r="J38" s="53"/>
      <c r="K38" s="54"/>
      <c r="L38" s="54"/>
      <c r="M38" s="54"/>
      <c r="N38" s="54"/>
      <c r="O38" s="54"/>
      <c r="P38" s="54"/>
      <c r="Q38" s="54"/>
      <c r="R38" s="54"/>
      <c r="S38" s="54"/>
      <c r="T38" s="54"/>
      <c r="U38" s="54"/>
      <c r="V38" s="54"/>
      <c r="W38" s="54"/>
      <c r="X38" s="54"/>
      <c r="Y38" s="54"/>
      <c r="Z38" s="54"/>
    </row>
    <row r="39">
      <c r="A39" s="53"/>
      <c r="B39" s="64" t="s">
        <v>52</v>
      </c>
      <c r="C39" s="53"/>
      <c r="D39" s="53"/>
      <c r="E39" s="53"/>
      <c r="F39" s="53"/>
      <c r="G39" s="53"/>
      <c r="H39" s="53"/>
      <c r="I39" s="53"/>
      <c r="J39" s="53"/>
      <c r="K39" s="54"/>
      <c r="L39" s="54"/>
      <c r="M39" s="54"/>
      <c r="N39" s="54"/>
      <c r="O39" s="54"/>
      <c r="P39" s="54"/>
      <c r="Q39" s="54"/>
      <c r="R39" s="54"/>
      <c r="S39" s="54"/>
      <c r="T39" s="54"/>
      <c r="U39" s="54"/>
      <c r="V39" s="54"/>
      <c r="W39" s="54"/>
      <c r="X39" s="54"/>
      <c r="Y39" s="54"/>
      <c r="Z39" s="54"/>
    </row>
    <row r="40">
      <c r="A40" s="53"/>
      <c r="B40" s="65"/>
      <c r="C40" s="53"/>
      <c r="D40" s="53"/>
      <c r="E40" s="53"/>
      <c r="F40" s="53"/>
      <c r="G40" s="53"/>
      <c r="H40" s="53"/>
      <c r="I40" s="53"/>
      <c r="J40" s="53"/>
      <c r="K40" s="54"/>
      <c r="L40" s="54"/>
      <c r="M40" s="54"/>
      <c r="N40" s="54"/>
      <c r="O40" s="54"/>
      <c r="P40" s="54"/>
      <c r="Q40" s="54"/>
      <c r="R40" s="54"/>
      <c r="S40" s="54"/>
      <c r="T40" s="54"/>
      <c r="U40" s="54"/>
      <c r="V40" s="54"/>
      <c r="W40" s="54"/>
      <c r="X40" s="54"/>
      <c r="Y40" s="54"/>
      <c r="Z40" s="54"/>
    </row>
    <row r="41">
      <c r="A41" s="53"/>
      <c r="B41" s="59" t="str">
        <f>"Aldus overeengekomen en in tweevoud getekend te "&amp;VLOOKUP(Lening!L1,CRM,10,FALSE)&amp;" op "&amp;TEXT(BegindatumLening-1,"dd mmmm yyyy")&amp;"."</f>
        <v>Aldus overeengekomen en in tweevoud getekend te Barendrecht op 31 januari 2026.</v>
      </c>
      <c r="C41" s="53"/>
      <c r="D41" s="53"/>
      <c r="E41" s="53"/>
      <c r="F41" s="53"/>
      <c r="G41" s="53"/>
      <c r="H41" s="53"/>
      <c r="I41" s="53"/>
      <c r="J41" s="53"/>
      <c r="K41" s="54"/>
      <c r="L41" s="54"/>
      <c r="M41" s="54"/>
      <c r="N41" s="54"/>
      <c r="O41" s="54"/>
      <c r="P41" s="54"/>
      <c r="Q41" s="54"/>
      <c r="R41" s="54"/>
      <c r="S41" s="54"/>
      <c r="T41" s="54"/>
      <c r="U41" s="54"/>
      <c r="V41" s="54"/>
      <c r="W41" s="54"/>
      <c r="X41" s="54"/>
      <c r="Y41" s="54"/>
      <c r="Z41" s="54"/>
    </row>
    <row r="42">
      <c r="A42" s="53"/>
      <c r="B42" s="61"/>
      <c r="C42" s="53"/>
      <c r="D42" s="53"/>
      <c r="E42" s="53"/>
      <c r="F42" s="53"/>
      <c r="G42" s="53"/>
      <c r="H42" s="53"/>
      <c r="I42" s="53"/>
      <c r="J42" s="53"/>
      <c r="K42" s="54"/>
      <c r="L42" s="54"/>
      <c r="M42" s="54"/>
      <c r="N42" s="54"/>
      <c r="O42" s="54"/>
      <c r="P42" s="54"/>
      <c r="Q42" s="54"/>
      <c r="R42" s="54"/>
      <c r="S42" s="54"/>
      <c r="T42" s="54"/>
      <c r="U42" s="54"/>
      <c r="V42" s="54"/>
      <c r="W42" s="54"/>
      <c r="X42" s="54"/>
      <c r="Y42" s="54"/>
      <c r="Z42" s="54"/>
    </row>
    <row r="43">
      <c r="A43" s="53"/>
      <c r="B43" s="59" t="str">
        <f>"Schuldverklaring voor een bedrag van "&amp;TEXT(MID(TotaleLeningkosten,1,FIND(",",TotaleLeningkosten)-1),"#,##0")&amp;" euro en "&amp;LEFT(MID(TotaleLeningkosten,FIND(",",TotaleLeningkosten)+1,LEN(TotaleLeningkosten))&amp;"0",2)&amp;" eurocent."</f>
        <v>Schuldverklaring voor een bedrag van 11.185 euro en 88 eurocent.</v>
      </c>
      <c r="C43" s="53"/>
      <c r="D43" s="53"/>
      <c r="E43" s="53"/>
      <c r="F43" s="53"/>
      <c r="G43" s="53"/>
      <c r="H43" s="53"/>
      <c r="I43" s="53"/>
      <c r="J43" s="53"/>
      <c r="K43" s="54"/>
      <c r="L43" s="54"/>
      <c r="M43" s="54"/>
      <c r="N43" s="54"/>
      <c r="O43" s="54"/>
      <c r="P43" s="54"/>
      <c r="Q43" s="54"/>
      <c r="R43" s="54"/>
      <c r="S43" s="54"/>
      <c r="T43" s="54"/>
      <c r="U43" s="54"/>
      <c r="V43" s="54"/>
      <c r="W43" s="54"/>
      <c r="X43" s="54"/>
      <c r="Y43" s="54"/>
      <c r="Z43" s="54"/>
    </row>
    <row r="44">
      <c r="A44" s="53"/>
      <c r="B44" s="61"/>
      <c r="C44" s="53"/>
      <c r="D44" s="53"/>
      <c r="E44" s="53"/>
      <c r="F44" s="53"/>
      <c r="G44" s="53"/>
      <c r="H44" s="53"/>
      <c r="I44" s="53"/>
      <c r="J44" s="53"/>
      <c r="K44" s="54"/>
      <c r="L44" s="54"/>
      <c r="M44" s="54"/>
      <c r="N44" s="54"/>
      <c r="O44" s="54"/>
      <c r="P44" s="54"/>
      <c r="Q44" s="54"/>
      <c r="R44" s="54"/>
      <c r="S44" s="54"/>
      <c r="T44" s="54"/>
      <c r="U44" s="54"/>
      <c r="V44" s="54"/>
      <c r="W44" s="54"/>
      <c r="X44" s="54"/>
      <c r="Y44" s="54"/>
      <c r="Z44" s="54"/>
    </row>
    <row r="45">
      <c r="A45" s="53"/>
      <c r="B45" s="59" t="s">
        <v>53</v>
      </c>
      <c r="C45" s="53"/>
      <c r="D45" s="53"/>
      <c r="E45" s="53"/>
      <c r="F45" s="53"/>
      <c r="G45" s="53"/>
      <c r="H45" s="53"/>
      <c r="I45" s="53"/>
      <c r="J45" s="53"/>
      <c r="K45" s="54"/>
      <c r="L45" s="54"/>
      <c r="M45" s="54"/>
      <c r="N45" s="54"/>
      <c r="O45" s="54"/>
      <c r="P45" s="54"/>
      <c r="Q45" s="54"/>
      <c r="R45" s="54"/>
      <c r="S45" s="54"/>
      <c r="T45" s="54"/>
      <c r="U45" s="54"/>
      <c r="V45" s="54"/>
      <c r="W45" s="54"/>
      <c r="X45" s="54"/>
      <c r="Y45" s="54"/>
      <c r="Z45" s="54"/>
    </row>
    <row r="46">
      <c r="A46" s="53"/>
      <c r="B46" s="61"/>
      <c r="C46" s="53"/>
      <c r="D46" s="53"/>
      <c r="E46" s="53"/>
      <c r="F46" s="53"/>
      <c r="G46" s="53"/>
      <c r="H46" s="53"/>
      <c r="I46" s="53"/>
      <c r="J46" s="53"/>
      <c r="K46" s="54"/>
      <c r="L46" s="54"/>
      <c r="M46" s="54"/>
      <c r="N46" s="54"/>
      <c r="O46" s="54"/>
      <c r="P46" s="54"/>
      <c r="Q46" s="54"/>
      <c r="R46" s="54"/>
      <c r="S46" s="54"/>
      <c r="T46" s="54"/>
      <c r="U46" s="54"/>
      <c r="V46" s="54"/>
      <c r="W46" s="54"/>
      <c r="X46" s="54"/>
      <c r="Y46" s="54"/>
      <c r="Z46" s="54"/>
    </row>
    <row r="47">
      <c r="A47" s="53"/>
      <c r="B47" s="61"/>
      <c r="C47" s="53"/>
      <c r="D47" s="53"/>
      <c r="E47" s="53"/>
      <c r="F47" s="53"/>
      <c r="G47" s="53"/>
      <c r="H47" s="53"/>
      <c r="I47" s="53"/>
      <c r="J47" s="53"/>
      <c r="K47" s="54"/>
      <c r="L47" s="54"/>
      <c r="M47" s="54"/>
      <c r="N47" s="54"/>
      <c r="O47" s="54"/>
      <c r="P47" s="54"/>
      <c r="Q47" s="54"/>
      <c r="R47" s="54"/>
      <c r="S47" s="54"/>
      <c r="T47" s="54"/>
      <c r="U47" s="54"/>
      <c r="V47" s="54"/>
      <c r="W47" s="54"/>
      <c r="X47" s="54"/>
      <c r="Y47" s="54"/>
      <c r="Z47" s="54"/>
    </row>
    <row r="48">
      <c r="A48" s="53"/>
      <c r="B48" s="61"/>
      <c r="C48" s="53"/>
      <c r="D48" s="53"/>
      <c r="E48" s="53"/>
      <c r="F48" s="53"/>
      <c r="G48" s="53"/>
      <c r="H48" s="53"/>
      <c r="I48" s="53"/>
      <c r="J48" s="53"/>
      <c r="K48" s="54"/>
      <c r="L48" s="54"/>
      <c r="M48" s="54"/>
      <c r="N48" s="54"/>
      <c r="O48" s="54"/>
      <c r="P48" s="54"/>
      <c r="Q48" s="54"/>
      <c r="R48" s="54"/>
      <c r="S48" s="54"/>
      <c r="T48" s="54"/>
      <c r="U48" s="54"/>
      <c r="V48" s="54"/>
      <c r="W48" s="54"/>
      <c r="X48" s="54"/>
      <c r="Y48" s="54"/>
      <c r="Z48" s="54"/>
    </row>
    <row r="49">
      <c r="A49" s="53"/>
      <c r="B49" s="59" t="str">
        <f>"................................................ (schuldenaar) "&amp;Pontvanger</f>
        <v>................................................ (schuldenaar) de heer D.O. Ibryam</v>
      </c>
      <c r="C49" s="53"/>
      <c r="D49" s="53"/>
      <c r="E49" s="53"/>
      <c r="F49" s="53"/>
      <c r="G49" s="53"/>
      <c r="H49" s="53"/>
      <c r="I49" s="53"/>
      <c r="J49" s="53"/>
      <c r="K49" s="54"/>
      <c r="L49" s="54"/>
      <c r="M49" s="54"/>
      <c r="N49" s="54"/>
      <c r="O49" s="54"/>
      <c r="P49" s="54"/>
      <c r="Q49" s="54"/>
      <c r="R49" s="54"/>
      <c r="S49" s="54"/>
      <c r="T49" s="54"/>
      <c r="U49" s="54"/>
      <c r="V49" s="54"/>
      <c r="W49" s="54"/>
      <c r="X49" s="54"/>
      <c r="Y49" s="54"/>
      <c r="Z49" s="54"/>
    </row>
    <row r="50">
      <c r="A50" s="53"/>
      <c r="B50" s="61"/>
      <c r="C50" s="53"/>
      <c r="D50" s="53"/>
      <c r="E50" s="53"/>
      <c r="F50" s="53"/>
      <c r="G50" s="53"/>
      <c r="H50" s="53"/>
      <c r="I50" s="53"/>
      <c r="J50" s="53"/>
      <c r="K50" s="54"/>
      <c r="L50" s="54"/>
      <c r="M50" s="54"/>
      <c r="N50" s="54"/>
      <c r="O50" s="54"/>
      <c r="P50" s="54"/>
      <c r="Q50" s="54"/>
      <c r="R50" s="54"/>
      <c r="S50" s="54"/>
      <c r="T50" s="54"/>
      <c r="U50" s="54"/>
      <c r="V50" s="54"/>
      <c r="W50" s="54"/>
      <c r="X50" s="54"/>
      <c r="Y50" s="54"/>
      <c r="Z50" s="54"/>
    </row>
    <row r="51">
      <c r="A51" s="53"/>
      <c r="B51" s="61"/>
      <c r="C51" s="53"/>
      <c r="D51" s="53"/>
      <c r="E51" s="53"/>
      <c r="F51" s="53"/>
      <c r="G51" s="53"/>
      <c r="H51" s="53"/>
      <c r="I51" s="53"/>
      <c r="J51" s="53"/>
      <c r="K51" s="54"/>
      <c r="L51" s="54"/>
      <c r="M51" s="54"/>
      <c r="N51" s="54"/>
      <c r="O51" s="54"/>
      <c r="P51" s="54"/>
      <c r="Q51" s="54"/>
      <c r="R51" s="54"/>
      <c r="S51" s="54"/>
      <c r="T51" s="54"/>
      <c r="U51" s="54"/>
      <c r="V51" s="54"/>
      <c r="W51" s="54"/>
      <c r="X51" s="54"/>
      <c r="Y51" s="54"/>
      <c r="Z51" s="54"/>
    </row>
    <row r="52">
      <c r="A52" s="53"/>
      <c r="B52" s="61"/>
      <c r="C52" s="53"/>
      <c r="D52" s="53"/>
      <c r="E52" s="53"/>
      <c r="F52" s="53"/>
      <c r="G52" s="53"/>
      <c r="H52" s="53"/>
      <c r="I52" s="53"/>
      <c r="J52" s="53"/>
      <c r="K52" s="54"/>
      <c r="L52" s="54"/>
      <c r="M52" s="54"/>
      <c r="N52" s="54"/>
      <c r="O52" s="54"/>
      <c r="P52" s="54"/>
      <c r="Q52" s="54"/>
      <c r="R52" s="54"/>
      <c r="S52" s="54"/>
      <c r="T52" s="54"/>
      <c r="U52" s="54"/>
      <c r="V52" s="54"/>
      <c r="W52" s="54"/>
      <c r="X52" s="54"/>
      <c r="Y52" s="54"/>
      <c r="Z52" s="54"/>
    </row>
    <row r="53">
      <c r="A53" s="53"/>
      <c r="B53" s="61"/>
      <c r="C53" s="53"/>
      <c r="D53" s="53"/>
      <c r="E53" s="53"/>
      <c r="F53" s="53"/>
      <c r="G53" s="53"/>
      <c r="H53" s="53"/>
      <c r="I53" s="53"/>
      <c r="J53" s="53"/>
      <c r="K53" s="54"/>
      <c r="L53" s="54"/>
      <c r="M53" s="54"/>
      <c r="N53" s="54"/>
      <c r="O53" s="54"/>
      <c r="P53" s="54"/>
      <c r="Q53" s="54"/>
      <c r="R53" s="54"/>
      <c r="S53" s="54"/>
      <c r="T53" s="54"/>
      <c r="U53" s="54"/>
      <c r="V53" s="54"/>
      <c r="W53" s="54"/>
      <c r="X53" s="54"/>
      <c r="Y53" s="54"/>
      <c r="Z53" s="54"/>
    </row>
    <row r="54">
      <c r="A54" s="53"/>
      <c r="B54" s="59" t="str">
        <f>"................................................ (schuldeiser) "&amp;Lening!L6</f>
        <v>................................................ (schuldeiser) de heer D.O. Ibryam</v>
      </c>
      <c r="C54" s="53"/>
      <c r="D54" s="53"/>
      <c r="E54" s="53"/>
      <c r="F54" s="53"/>
      <c r="G54" s="53"/>
      <c r="H54" s="53"/>
      <c r="I54" s="53"/>
      <c r="J54" s="53"/>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35.88"/>
    <col customWidth="1" min="3" max="3" width="37.25"/>
    <col customWidth="1" min="4" max="4" width="1.5"/>
  </cols>
  <sheetData>
    <row r="1">
      <c r="A1" s="68"/>
      <c r="B1" s="69" t="s">
        <v>54</v>
      </c>
      <c r="D1" s="68"/>
    </row>
    <row r="2">
      <c r="A2" s="68"/>
      <c r="B2" s="68"/>
      <c r="C2" s="68"/>
      <c r="D2" s="68"/>
    </row>
    <row r="3">
      <c r="A3" s="68"/>
      <c r="B3" s="70" t="s">
        <v>55</v>
      </c>
      <c r="C3" s="68"/>
      <c r="D3" s="68"/>
    </row>
    <row r="4">
      <c r="A4" s="68"/>
      <c r="B4" s="68"/>
      <c r="C4" s="68"/>
      <c r="D4" s="68"/>
    </row>
    <row r="5">
      <c r="A5" s="68"/>
      <c r="B5" s="70" t="s">
        <v>56</v>
      </c>
      <c r="C5" s="71" t="str">
        <f>Verstrekker</f>
        <v>Denis Express B.V.</v>
      </c>
      <c r="D5" s="68"/>
    </row>
    <row r="6">
      <c r="A6" s="68"/>
      <c r="B6" s="70" t="s">
        <v>57</v>
      </c>
      <c r="C6" s="72" t="str">
        <f t="array" ref="C6:D6">Adresverstrekker</f>
        <v>Gebroken Meeldijk 66 Unit 1.15, 2991 VD Barendrecht</v>
      </c>
      <c r="D6" s="68"/>
    </row>
    <row r="7">
      <c r="A7" s="68"/>
      <c r="B7" s="70" t="s">
        <v>58</v>
      </c>
      <c r="C7" s="72" t="str">
        <f t="array" ref="C7:D7">Naamverstrekker</f>
        <v>de heer D.O. Ibryam</v>
      </c>
      <c r="D7" s="68"/>
    </row>
    <row r="8">
      <c r="A8" s="68"/>
      <c r="B8" s="73" t="s">
        <v>59</v>
      </c>
      <c r="C8" s="68"/>
      <c r="D8" s="68"/>
    </row>
    <row r="9">
      <c r="A9" s="68"/>
      <c r="B9" s="74"/>
      <c r="C9" s="68"/>
      <c r="D9" s="68"/>
    </row>
    <row r="10">
      <c r="A10" s="68"/>
      <c r="B10" s="70" t="s">
        <v>41</v>
      </c>
      <c r="C10" s="68"/>
      <c r="D10" s="68"/>
    </row>
    <row r="11">
      <c r="A11" s="68"/>
      <c r="B11" s="68"/>
      <c r="C11" s="68"/>
      <c r="D11" s="68"/>
    </row>
    <row r="12">
      <c r="A12" s="68"/>
      <c r="B12" s="70" t="s">
        <v>60</v>
      </c>
      <c r="C12" s="71" t="str">
        <f>Ontvanger</f>
        <v>Denis Beheer B.V.</v>
      </c>
      <c r="D12" s="68"/>
    </row>
    <row r="13">
      <c r="A13" s="68"/>
      <c r="B13" s="70" t="s">
        <v>57</v>
      </c>
      <c r="C13" s="72" t="str">
        <f t="array" ref="C13">Adresontvanger</f>
        <v>Kievit 8, 2991ME Barendrecht</v>
      </c>
      <c r="D13" s="68"/>
      <c r="G13" s="75"/>
    </row>
    <row r="14">
      <c r="A14" s="68"/>
      <c r="B14" s="70" t="s">
        <v>58</v>
      </c>
      <c r="C14" s="72" t="str">
        <f t="array" ref="C14">Naamontvanger</f>
        <v>de heer D.O. Ibryam</v>
      </c>
      <c r="D14" s="68"/>
    </row>
    <row r="15">
      <c r="A15" s="68"/>
      <c r="B15" s="73" t="s">
        <v>61</v>
      </c>
      <c r="C15" s="68"/>
      <c r="D15" s="68"/>
    </row>
    <row r="16">
      <c r="A16" s="68"/>
      <c r="B16" s="76"/>
      <c r="C16" s="68"/>
      <c r="D16" s="68"/>
    </row>
    <row r="17">
      <c r="A17" s="68"/>
      <c r="B17" s="77" t="s">
        <v>62</v>
      </c>
      <c r="D17" s="68"/>
    </row>
    <row r="18">
      <c r="A18" s="68"/>
      <c r="B18" s="78"/>
      <c r="D18" s="68"/>
    </row>
    <row r="19">
      <c r="A19" s="68"/>
      <c r="B19" s="79" t="s">
        <v>63</v>
      </c>
      <c r="D19" s="68"/>
    </row>
    <row r="20">
      <c r="A20" s="68"/>
      <c r="B20" s="78"/>
      <c r="C20" s="78"/>
      <c r="D20" s="68"/>
    </row>
    <row r="21" ht="28.5" customHeight="1">
      <c r="A21" s="68"/>
      <c r="B21" s="79" t="str">
        <f>"1. een trekker met voertuigidentificatienummer "&amp;VoertuigID&amp;", Merk "&amp;Merk&amp;", "&amp;Type&amp;", zulks voor de prijs van € "&amp;TEXT(GeleendBedrag,"#,##0.00")&amp;" exclusief B.T.W."</f>
        <v>1. een trekker met voertuigidentificatienummer WDB96340310235408, Merk Mercedes Benz, Voertuigcategorie N3/BC, Type 963-4-A, zulks voor de prijs van € 10.000,00 exclusief B.T.W.</v>
      </c>
      <c r="D21" s="68"/>
    </row>
    <row r="22">
      <c r="A22" s="68"/>
      <c r="B22" s="78"/>
      <c r="D22" s="68"/>
    </row>
    <row r="23">
      <c r="A23" s="68"/>
      <c r="B23" s="79" t="str">
        <f>"De totale huurkoopsom, bedragend € "&amp;TEXT(GeleendBedrag,"#,##0.00")&amp;", zal moeten worden voldaan zoals hierna zal worden bepaald en voorts onder de navolgende bepalingen en bedingen:"</f>
        <v>De totale huurkoopsom, bedragend € 10.000,00, zal moeten worden voldaan zoals hierna zal worden bepaald en voorts onder de navolgende bepalingen en bedingen:</v>
      </c>
      <c r="D23" s="68"/>
    </row>
    <row r="24">
      <c r="A24" s="68"/>
      <c r="B24" s="80"/>
      <c r="D24" s="68"/>
    </row>
    <row r="25">
      <c r="A25" s="68"/>
      <c r="B25" s="80"/>
      <c r="D25" s="68"/>
    </row>
    <row r="26">
      <c r="A26" s="68"/>
      <c r="B26" s="81" t="s">
        <v>64</v>
      </c>
      <c r="D26" s="68"/>
    </row>
    <row r="27">
      <c r="A27" s="68"/>
      <c r="B27" s="79" t="s">
        <v>65</v>
      </c>
      <c r="D27" s="68"/>
    </row>
    <row r="28">
      <c r="A28" s="68"/>
      <c r="B28" s="80"/>
      <c r="D28" s="68"/>
    </row>
    <row r="29">
      <c r="A29" s="68"/>
      <c r="B29" s="81" t="s">
        <v>66</v>
      </c>
      <c r="D29" s="68"/>
    </row>
    <row r="30">
      <c r="A30" s="68"/>
      <c r="B30" s="79" t="str">
        <f>"1.      De voormelde huurkoopsom zal door de koper moeten worden voldaan in "&amp;AantalBetalingen&amp;" maandelijkse  termijnen van elk € "&amp;TEXT(Aflossing,"#,##0.00")&amp;" voor de eerste maal op de "&amp;TEXT(EersteBetaling,"dd mmmm yyyy")&amp;" en zo vervolgens op de eerste van elke volgende maand."</f>
        <v>1.      De voormelde huurkoopsom zal door de koper moeten worden voldaan in 24 maandelijkse  termijnen van elk € 466,08 voor de eerste maal op de 01 maart 2026 en zo vervolgens op de eerste van elke volgende maand.</v>
      </c>
      <c r="D30" s="68"/>
    </row>
    <row r="31">
      <c r="A31" s="68"/>
      <c r="B31" s="79" t="str">
        <f>"2.      De koper zal bevoegd zijn op de voormelde verschijndagen, boven de alsdan volgens het eerste lid van dit artikel opvorderbare termijn, een of meer eerstvolgende termijnen, geheel of gedeeltelijk, mits in het laatste geval in ronde sommen van € "&amp;TEXT(Aflossing,"#,##0.00")&amp;" of een veelvoud daarvan, dan wel het gehele alsnog verschuldigde bedrag vervroegd te betalen."</f>
        <v>2.      De koper zal bevoegd zijn op de voormelde verschijndagen, boven de alsdan volgens het eerste lid van dit artikel opvorderbare termijn, een of meer eerstvolgende termijnen, geheel of gedeeltelijk, mits in het laatste geval in ronde sommen van € 466,08 of een veelvoud daarvan, dan wel het gehele alsnog verschuldigde bedrag vervroegd te betalen.</v>
      </c>
      <c r="D31" s="68"/>
    </row>
    <row r="32">
      <c r="A32" s="68"/>
      <c r="B32" s="80"/>
      <c r="D32" s="68"/>
    </row>
    <row r="33">
      <c r="A33" s="68"/>
      <c r="B33" s="79" t="s">
        <v>67</v>
      </c>
      <c r="D33" s="68"/>
    </row>
    <row r="34">
      <c r="A34" s="68"/>
      <c r="B34" s="80"/>
      <c r="D34" s="68"/>
    </row>
    <row r="35">
      <c r="A35" s="68"/>
      <c r="B35" s="81" t="s">
        <v>68</v>
      </c>
      <c r="D35" s="68"/>
    </row>
    <row r="36">
      <c r="A36" s="68"/>
      <c r="B36" s="79" t="s">
        <v>69</v>
      </c>
      <c r="D36" s="68"/>
    </row>
    <row r="37">
      <c r="A37" s="68"/>
      <c r="B37" s="79" t="s">
        <v>70</v>
      </c>
      <c r="D37" s="68"/>
    </row>
    <row r="38">
      <c r="A38" s="68"/>
      <c r="B38" s="80"/>
      <c r="D38" s="68"/>
    </row>
    <row r="39">
      <c r="A39" s="68"/>
      <c r="B39" s="81" t="s">
        <v>71</v>
      </c>
      <c r="D39" s="68"/>
    </row>
    <row r="40">
      <c r="A40" s="68"/>
      <c r="B40" s="79" t="s">
        <v>72</v>
      </c>
      <c r="D40" s="68"/>
    </row>
    <row r="41">
      <c r="A41" s="68"/>
      <c r="B41" s="80"/>
      <c r="D41" s="68"/>
    </row>
    <row r="42">
      <c r="A42" s="68"/>
      <c r="B42" s="81" t="s">
        <v>73</v>
      </c>
      <c r="D42" s="68"/>
    </row>
    <row r="43">
      <c r="A43" s="68"/>
      <c r="B43" s="79" t="s">
        <v>74</v>
      </c>
      <c r="D43" s="68"/>
    </row>
    <row r="44">
      <c r="A44" s="68"/>
      <c r="B44" s="80"/>
      <c r="D44" s="68"/>
    </row>
    <row r="45">
      <c r="A45" s="68"/>
      <c r="B45" s="81" t="s">
        <v>75</v>
      </c>
      <c r="D45" s="68"/>
    </row>
    <row r="46">
      <c r="A46" s="68"/>
      <c r="B46" s="79" t="s">
        <v>76</v>
      </c>
      <c r="D46" s="68"/>
    </row>
    <row r="47">
      <c r="A47" s="68"/>
      <c r="B47" s="79" t="s">
        <v>77</v>
      </c>
      <c r="D47" s="68"/>
    </row>
    <row r="48">
      <c r="A48" s="68"/>
      <c r="B48" s="80"/>
      <c r="D48" s="68"/>
    </row>
    <row r="49">
      <c r="A49" s="68"/>
      <c r="B49" s="81" t="s">
        <v>78</v>
      </c>
      <c r="D49" s="68"/>
    </row>
    <row r="50">
      <c r="A50" s="68"/>
      <c r="B50" s="79" t="s">
        <v>79</v>
      </c>
      <c r="D50" s="68"/>
    </row>
    <row r="51">
      <c r="A51" s="68"/>
      <c r="B51" s="80"/>
      <c r="D51" s="68"/>
    </row>
    <row r="52">
      <c r="A52" s="68"/>
      <c r="B52" s="82" t="s">
        <v>80</v>
      </c>
      <c r="D52" s="68"/>
    </row>
    <row r="53">
      <c r="A53" s="68"/>
      <c r="B53" s="83" t="s">
        <v>81</v>
      </c>
      <c r="D53" s="68"/>
    </row>
    <row r="54">
      <c r="A54" s="68"/>
      <c r="B54" s="84" t="s">
        <v>82</v>
      </c>
      <c r="D54" s="68"/>
    </row>
    <row r="55">
      <c r="A55" s="68"/>
      <c r="B55" s="84" t="s">
        <v>83</v>
      </c>
      <c r="D55" s="68"/>
    </row>
    <row r="56">
      <c r="A56" s="68"/>
      <c r="B56" s="84" t="s">
        <v>84</v>
      </c>
      <c r="D56" s="68"/>
    </row>
    <row r="57">
      <c r="A57" s="68"/>
      <c r="B57" s="84" t="s">
        <v>85</v>
      </c>
      <c r="D57" s="68"/>
    </row>
    <row r="58">
      <c r="A58" s="68"/>
      <c r="B58" s="84" t="s">
        <v>86</v>
      </c>
      <c r="D58" s="68"/>
    </row>
    <row r="59">
      <c r="A59" s="68"/>
      <c r="B59" s="84" t="s">
        <v>87</v>
      </c>
      <c r="D59" s="68"/>
    </row>
    <row r="60">
      <c r="A60" s="68"/>
      <c r="B60" s="84" t="s">
        <v>88</v>
      </c>
      <c r="D60" s="68"/>
    </row>
    <row r="61">
      <c r="A61" s="68"/>
      <c r="B61" s="84" t="s">
        <v>89</v>
      </c>
      <c r="D61" s="68"/>
    </row>
    <row r="62">
      <c r="A62" s="68"/>
      <c r="B62" s="84" t="s">
        <v>90</v>
      </c>
      <c r="D62" s="68"/>
    </row>
    <row r="63">
      <c r="A63" s="68"/>
      <c r="B63" s="80"/>
      <c r="D63" s="68"/>
    </row>
    <row r="64">
      <c r="A64" s="68"/>
      <c r="B64" s="81" t="s">
        <v>91</v>
      </c>
      <c r="D64" s="68"/>
    </row>
    <row r="65">
      <c r="A65" s="68"/>
      <c r="B65" s="79" t="s">
        <v>92</v>
      </c>
      <c r="D65" s="68"/>
    </row>
    <row r="66">
      <c r="A66" s="68"/>
      <c r="B66" s="80"/>
      <c r="D66" s="68"/>
    </row>
    <row r="67">
      <c r="A67" s="68"/>
      <c r="B67" s="81" t="s">
        <v>93</v>
      </c>
      <c r="D67" s="68"/>
    </row>
    <row r="68">
      <c r="A68" s="68"/>
      <c r="B68" s="79" t="s">
        <v>94</v>
      </c>
      <c r="D68" s="68"/>
    </row>
    <row r="69">
      <c r="A69" s="68"/>
      <c r="B69" s="80"/>
      <c r="D69" s="68"/>
    </row>
    <row r="70">
      <c r="A70" s="68"/>
      <c r="B70" s="80"/>
      <c r="C70" s="80"/>
      <c r="D70" s="68"/>
    </row>
    <row r="71">
      <c r="A71" s="68"/>
      <c r="B71" s="81" t="s">
        <v>95</v>
      </c>
      <c r="D71" s="68"/>
    </row>
    <row r="72">
      <c r="A72" s="68"/>
      <c r="B72" s="79" t="s">
        <v>96</v>
      </c>
      <c r="D72" s="68"/>
    </row>
    <row r="73">
      <c r="A73" s="68"/>
      <c r="B73" s="80"/>
      <c r="D73" s="68"/>
    </row>
    <row r="74">
      <c r="A74" s="68"/>
      <c r="B74" s="79" t="str">
        <f>"Aldus overeengekomen en in tweevoud getekend te "&amp;VLOOKUP(Verstrekker,CRM,10,FALSE)&amp;" op "&amp;TEXT(BegindatumLening-1,"dd mmmm yyyy")&amp;"."</f>
        <v>Aldus overeengekomen en in tweevoud getekend te Barendrecht op 31 januari 2026.</v>
      </c>
      <c r="D74" s="68"/>
    </row>
    <row r="75">
      <c r="A75" s="68"/>
      <c r="B75" s="68"/>
      <c r="C75" s="68"/>
      <c r="D75" s="68"/>
    </row>
    <row r="76">
      <c r="A76" s="68"/>
      <c r="B76" s="70" t="s">
        <v>97</v>
      </c>
      <c r="C76" s="70" t="s">
        <v>98</v>
      </c>
      <c r="D76" s="68"/>
    </row>
    <row r="77">
      <c r="A77" s="68"/>
      <c r="B77" s="68"/>
      <c r="C77" s="68"/>
      <c r="D77" s="68"/>
    </row>
    <row r="78">
      <c r="A78" s="68"/>
      <c r="B78" s="68"/>
      <c r="C78" s="68"/>
      <c r="D78" s="68"/>
    </row>
    <row r="79">
      <c r="A79" s="68"/>
      <c r="B79" s="68"/>
      <c r="C79" s="68"/>
      <c r="D79" s="68"/>
    </row>
    <row r="80">
      <c r="A80" s="68"/>
      <c r="B80" s="68"/>
      <c r="C80" s="68"/>
      <c r="D80" s="68"/>
    </row>
    <row r="81">
      <c r="A81" s="68"/>
      <c r="B81" s="70" t="str">
        <f>Lening!L2</f>
        <v>de heer D.O. Ibryam</v>
      </c>
      <c r="C81" s="70" t="str">
        <f>Lening!P2</f>
        <v>de heer D.O. Ibryam</v>
      </c>
      <c r="D81" s="68"/>
    </row>
    <row r="82">
      <c r="A82" s="68"/>
      <c r="B82" s="70" t="str">
        <f>"Namens "&amp;Verstrekker</f>
        <v>Namens Denis Express B.V.</v>
      </c>
      <c r="C82" s="70" t="str">
        <f>"Namens "&amp;Naamontvanger</f>
        <v>Namens de heer D.O. Ibryam</v>
      </c>
      <c r="D82" s="68"/>
    </row>
  </sheetData>
  <mergeCells count="57">
    <mergeCell ref="B1:C1"/>
    <mergeCell ref="B17:C17"/>
    <mergeCell ref="B18:C18"/>
    <mergeCell ref="B19:C19"/>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66:C66"/>
    <mergeCell ref="B67:C67"/>
    <mergeCell ref="B68:C68"/>
    <mergeCell ref="B69:C69"/>
    <mergeCell ref="B71:C71"/>
    <mergeCell ref="B72:C72"/>
    <mergeCell ref="B73:C73"/>
    <mergeCell ref="B74:C74"/>
    <mergeCell ref="B59:C59"/>
    <mergeCell ref="B60:C60"/>
    <mergeCell ref="B61:C61"/>
    <mergeCell ref="B62:C62"/>
    <mergeCell ref="B63:C63"/>
    <mergeCell ref="B64:C64"/>
    <mergeCell ref="B65:C6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35.88"/>
    <col customWidth="1" min="3" max="3" width="37.25"/>
    <col customWidth="1" min="4" max="4" width="1.5"/>
  </cols>
  <sheetData>
    <row r="1">
      <c r="A1" s="68"/>
      <c r="B1" s="69" t="s">
        <v>99</v>
      </c>
      <c r="D1" s="68"/>
    </row>
    <row r="2">
      <c r="A2" s="68"/>
      <c r="B2" s="68"/>
      <c r="C2" s="68"/>
      <c r="D2" s="68"/>
    </row>
    <row r="3">
      <c r="A3" s="68"/>
      <c r="B3" s="70" t="s">
        <v>55</v>
      </c>
      <c r="C3" s="68"/>
      <c r="D3" s="68"/>
    </row>
    <row r="4">
      <c r="A4" s="68"/>
      <c r="B4" s="68"/>
      <c r="C4" s="68"/>
      <c r="D4" s="68"/>
    </row>
    <row r="5">
      <c r="A5" s="68"/>
      <c r="B5" s="70" t="s">
        <v>56</v>
      </c>
      <c r="C5" s="71" t="str">
        <f>Verstrekker</f>
        <v>Denis Express B.V.</v>
      </c>
      <c r="D5" s="68"/>
    </row>
    <row r="6">
      <c r="A6" s="68"/>
      <c r="B6" s="70" t="s">
        <v>57</v>
      </c>
      <c r="C6" s="72" t="str">
        <f t="array" ref="C6:D6">Adresverstrekker</f>
        <v>Gebroken Meeldijk 66 Unit 1.15, 2991 VD Barendrecht</v>
      </c>
      <c r="D6" s="68"/>
    </row>
    <row r="7">
      <c r="A7" s="68"/>
      <c r="B7" s="70" t="s">
        <v>58</v>
      </c>
      <c r="C7" s="72" t="str">
        <f t="array" ref="C7:D7">Naamverstrekker</f>
        <v>de heer D.O. Ibryam</v>
      </c>
      <c r="D7" s="68"/>
    </row>
    <row r="8">
      <c r="A8" s="68"/>
      <c r="B8" s="73" t="s">
        <v>100</v>
      </c>
      <c r="C8" s="68"/>
      <c r="D8" s="68"/>
    </row>
    <row r="9">
      <c r="A9" s="68"/>
      <c r="B9" s="74"/>
      <c r="C9" s="68"/>
      <c r="D9" s="68"/>
    </row>
    <row r="10">
      <c r="A10" s="68"/>
      <c r="B10" s="70" t="s">
        <v>41</v>
      </c>
      <c r="C10" s="68"/>
      <c r="D10" s="68"/>
    </row>
    <row r="11">
      <c r="A11" s="68"/>
      <c r="B11" s="68"/>
      <c r="C11" s="68"/>
      <c r="D11" s="68"/>
    </row>
    <row r="12">
      <c r="A12" s="68"/>
      <c r="B12" s="70" t="s">
        <v>60</v>
      </c>
      <c r="C12" s="71" t="str">
        <f>Ontvanger</f>
        <v>Denis Beheer B.V.</v>
      </c>
      <c r="D12" s="68"/>
    </row>
    <row r="13">
      <c r="A13" s="68"/>
      <c r="B13" s="70" t="s">
        <v>57</v>
      </c>
      <c r="C13" s="72" t="str">
        <f t="array" ref="C13">Adresontvanger</f>
        <v>Kievit 8, 2991ME Barendrecht</v>
      </c>
      <c r="D13" s="68"/>
      <c r="F13" s="85" t="s">
        <v>101</v>
      </c>
      <c r="G13" s="75" t="s">
        <v>102</v>
      </c>
    </row>
    <row r="14">
      <c r="A14" s="68"/>
      <c r="B14" s="70" t="s">
        <v>58</v>
      </c>
      <c r="C14" s="72" t="str">
        <f t="array" ref="C14">Naamontvanger</f>
        <v>de heer D.O. Ibryam</v>
      </c>
      <c r="D14" s="68"/>
    </row>
    <row r="15">
      <c r="A15" s="68"/>
      <c r="B15" s="73" t="s">
        <v>103</v>
      </c>
      <c r="C15" s="68"/>
      <c r="D15" s="68"/>
    </row>
    <row r="16">
      <c r="A16" s="68"/>
      <c r="B16" s="76"/>
      <c r="C16" s="68"/>
      <c r="D16" s="68"/>
    </row>
    <row r="17">
      <c r="A17" s="68"/>
      <c r="B17" s="77" t="s">
        <v>62</v>
      </c>
      <c r="D17" s="68"/>
      <c r="F17" s="85" t="s">
        <v>104</v>
      </c>
      <c r="G17" s="85" t="s">
        <v>105</v>
      </c>
      <c r="H17" s="85">
        <v>3.0</v>
      </c>
    </row>
    <row r="18">
      <c r="A18" s="68"/>
      <c r="B18" s="78"/>
      <c r="D18" s="68"/>
      <c r="F18" s="85" t="s">
        <v>106</v>
      </c>
      <c r="G18" s="86">
        <v>46082.0</v>
      </c>
    </row>
    <row r="19">
      <c r="A19" s="68"/>
      <c r="B19" s="79" t="str">
        <f>"De navolgende huurovereenkomst, waarbij de verhuurder in huurovereenkomst verklaart te verhuren aan de huurder, die in huurder verklaart te huren: De voeryuig met een kenteken: "&amp;G13&amp;", "&amp;G14</f>
        <v>De navolgende huurovereenkomst, waarbij de verhuurder in huurovereenkomst verklaart te verhuren aan de huurder, die in huurder verklaart te huren: De voeryuig met een kenteken: V-01-NTB, </v>
      </c>
      <c r="D19" s="68"/>
      <c r="F19" s="85" t="s">
        <v>107</v>
      </c>
      <c r="G19" s="87">
        <f>G18+365*H17+1</f>
        <v>47178</v>
      </c>
    </row>
    <row r="20">
      <c r="A20" s="68"/>
      <c r="B20" s="78"/>
      <c r="C20" s="78"/>
      <c r="D20" s="68"/>
      <c r="F20" s="85" t="s">
        <v>108</v>
      </c>
      <c r="G20" s="88">
        <v>1400.0</v>
      </c>
    </row>
    <row r="21" ht="28.5" customHeight="1">
      <c r="A21" s="68"/>
      <c r="B21" s="81" t="s">
        <v>109</v>
      </c>
      <c r="D21" s="68"/>
    </row>
    <row r="22">
      <c r="A22" s="68"/>
      <c r="B22" s="79" t="str">
        <f>"De huurovereenkomst wordt aangegaan voor de duur van "&amp;G17&amp;"("&amp;H17&amp;") jaar, ingaande op "&amp;TEXT(G18,"dd mmmm yyyy")&amp;" en eindigende op "&amp;TEXT(G19,"dd mmmm yyyy")&amp;" , zonder dat daarvoor opzegging vereist is. "</f>
        <v>De huurovereenkomst wordt aangegaan voor de duur van drie(3) jaar, ingaande op 01 maart 2026 en eindigende op 01 maart 2029 , zonder dat daarvoor opzegging vereist is. </v>
      </c>
      <c r="D22" s="68"/>
    </row>
    <row r="23">
      <c r="A23" s="68"/>
      <c r="B23" s="80"/>
      <c r="D23" s="68"/>
    </row>
    <row r="24">
      <c r="A24" s="68"/>
      <c r="B24" s="81" t="s">
        <v>110</v>
      </c>
      <c r="D24" s="68"/>
    </row>
    <row r="25">
      <c r="A25" s="68"/>
      <c r="B25" s="79" t="str">
        <f>"1.      De huurprijs bedraagt "&amp;TEXT(G20,"€ #,##0")&amp;"- per maand, inclusief gas, water, elektriciteit en overige bijkomende leveringen en diensten (“all-in”). "</f>
        <v>1.      De huurprijs bedraagt € 1.400- per maand, inclusief gas, water, elektriciteit en overige bijkomende leveringen en diensten (“all-in”). </v>
      </c>
      <c r="D25" s="68"/>
    </row>
    <row r="26">
      <c r="A26" s="68"/>
      <c r="B26" s="79" t="str">
        <f>"2.      De huurprijs dient maandelijks, uiterlijk op de eerste dag van de maand, te worden voldaan. "</f>
        <v>2.      De huurprijs dient maandelijks, uiterlijk op de eerste dag van de maand, te worden voldaan. </v>
      </c>
      <c r="D26" s="68"/>
    </row>
    <row r="27">
      <c r="A27" s="68"/>
      <c r="B27" s="80"/>
      <c r="D27" s="68"/>
    </row>
    <row r="28">
      <c r="A28" s="68"/>
      <c r="B28" s="81" t="s">
        <v>111</v>
      </c>
      <c r="D28" s="68"/>
    </row>
    <row r="29">
      <c r="A29" s="68"/>
      <c r="B29" s="79" t="s">
        <v>112</v>
      </c>
      <c r="D29" s="68"/>
    </row>
    <row r="30">
      <c r="A30" s="68"/>
      <c r="B30" s="80"/>
      <c r="D30" s="68"/>
    </row>
    <row r="31">
      <c r="A31" s="68"/>
      <c r="B31" s="81" t="s">
        <v>113</v>
      </c>
      <c r="D31" s="68"/>
    </row>
    <row r="32">
      <c r="A32" s="68"/>
      <c r="B32" s="79" t="s">
        <v>114</v>
      </c>
      <c r="D32" s="68"/>
    </row>
    <row r="33">
      <c r="A33" s="68"/>
      <c r="B33" s="79" t="s">
        <v>115</v>
      </c>
      <c r="D33" s="68"/>
    </row>
    <row r="34">
      <c r="A34" s="68"/>
      <c r="B34" s="79" t="s">
        <v>116</v>
      </c>
      <c r="D34" s="68"/>
    </row>
    <row r="35">
      <c r="A35" s="68"/>
      <c r="B35" s="80"/>
      <c r="D35" s="68"/>
    </row>
    <row r="36">
      <c r="A36" s="68"/>
      <c r="B36" s="81" t="s">
        <v>117</v>
      </c>
      <c r="D36" s="68"/>
    </row>
    <row r="37">
      <c r="A37" s="68"/>
      <c r="B37" s="79" t="s">
        <v>118</v>
      </c>
      <c r="D37" s="68"/>
    </row>
    <row r="38">
      <c r="A38" s="68"/>
      <c r="B38" s="79" t="s">
        <v>119</v>
      </c>
      <c r="D38" s="68"/>
    </row>
    <row r="39">
      <c r="A39" s="68"/>
      <c r="B39" s="79"/>
      <c r="D39" s="68"/>
    </row>
    <row r="40">
      <c r="A40" s="68"/>
      <c r="B40" s="80"/>
      <c r="D40" s="68"/>
    </row>
    <row r="41">
      <c r="A41" s="68"/>
      <c r="B41" s="79" t="str">
        <f>"Aldus overeengekomen en in tweevoud getekend te "&amp;VLOOKUP(Verstrekker,CRM,10,FALSE)&amp;" op "&amp;TEXT(G18-1,"dd mmmm yyyy")&amp;"."</f>
        <v>Aldus overeengekomen en in tweevoud getekend te Barendrecht op 28 februari 2026.</v>
      </c>
      <c r="D41" s="68"/>
    </row>
    <row r="42">
      <c r="A42" s="68"/>
      <c r="B42" s="68"/>
      <c r="C42" s="68"/>
      <c r="D42" s="68"/>
    </row>
    <row r="43">
      <c r="A43" s="68"/>
      <c r="B43" s="70" t="s">
        <v>120</v>
      </c>
      <c r="C43" s="70" t="s">
        <v>121</v>
      </c>
      <c r="D43" s="68"/>
    </row>
    <row r="44">
      <c r="A44" s="68"/>
      <c r="B44" s="68"/>
      <c r="C44" s="68"/>
      <c r="D44" s="68"/>
    </row>
    <row r="45">
      <c r="A45" s="68"/>
      <c r="B45" s="68"/>
      <c r="C45" s="68"/>
      <c r="D45" s="68"/>
    </row>
    <row r="46">
      <c r="A46" s="68"/>
      <c r="B46" s="68"/>
      <c r="C46" s="68"/>
      <c r="D46" s="68"/>
    </row>
    <row r="47">
      <c r="A47" s="68"/>
      <c r="B47" s="68"/>
      <c r="C47" s="68"/>
      <c r="D47" s="68"/>
    </row>
    <row r="48">
      <c r="A48" s="68"/>
      <c r="B48" s="70" t="str">
        <f>Lening!L2</f>
        <v>de heer D.O. Ibryam</v>
      </c>
      <c r="C48" s="70" t="str">
        <f>Lening!P2</f>
        <v>de heer D.O. Ibryam</v>
      </c>
      <c r="D48" s="68"/>
    </row>
    <row r="49">
      <c r="A49" s="68"/>
      <c r="B49" s="70" t="str">
        <f>"Namens "&amp;Verstrekker</f>
        <v>Namens Denis Express B.V.</v>
      </c>
      <c r="C49" s="70" t="str">
        <f>"Namens "&amp;Naamontvanger</f>
        <v>Namens de heer D.O. Ibryam</v>
      </c>
      <c r="D49" s="68"/>
    </row>
  </sheetData>
  <mergeCells count="25">
    <mergeCell ref="B1:C1"/>
    <mergeCell ref="B17:C17"/>
    <mergeCell ref="B18:C18"/>
    <mergeCell ref="B19:C19"/>
    <mergeCell ref="B21:C21"/>
    <mergeCell ref="B22:C22"/>
    <mergeCell ref="B23:C23"/>
    <mergeCell ref="B24:C24"/>
    <mergeCell ref="B25:C25"/>
    <mergeCell ref="B26:C26"/>
    <mergeCell ref="B27:C27"/>
    <mergeCell ref="B28:C28"/>
    <mergeCell ref="B29:C29"/>
    <mergeCell ref="B30:C30"/>
    <mergeCell ref="B38:C38"/>
    <mergeCell ref="B39:C39"/>
    <mergeCell ref="B40:C40"/>
    <mergeCell ref="B41:C41"/>
    <mergeCell ref="B31:C31"/>
    <mergeCell ref="B32:C32"/>
    <mergeCell ref="B33:C33"/>
    <mergeCell ref="B34:C34"/>
    <mergeCell ref="B35:C35"/>
    <mergeCell ref="B36:C36"/>
    <mergeCell ref="B37:C3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25"/>
    <col customWidth="1" min="2" max="2" width="35.88"/>
    <col customWidth="1" min="3" max="3" width="37.25"/>
    <col customWidth="1" min="4" max="4" width="1.5"/>
  </cols>
  <sheetData>
    <row r="1">
      <c r="A1" s="68"/>
      <c r="B1" s="69" t="s">
        <v>122</v>
      </c>
      <c r="D1" s="68"/>
    </row>
    <row r="2">
      <c r="A2" s="68"/>
      <c r="B2" s="68"/>
      <c r="C2" s="68"/>
      <c r="D2" s="68"/>
    </row>
    <row r="3">
      <c r="A3" s="68"/>
      <c r="B3" s="70" t="s">
        <v>55</v>
      </c>
      <c r="C3" s="68"/>
      <c r="D3" s="68"/>
    </row>
    <row r="4">
      <c r="A4" s="68"/>
      <c r="B4" s="68"/>
      <c r="C4" s="68"/>
      <c r="D4" s="68"/>
    </row>
    <row r="5">
      <c r="A5" s="68"/>
      <c r="B5" s="70" t="s">
        <v>121</v>
      </c>
      <c r="C5" s="71" t="str">
        <f>Naamontvanger</f>
        <v>de heer D.O. Ibryam</v>
      </c>
      <c r="D5" s="68"/>
    </row>
    <row r="6">
      <c r="A6" s="68"/>
      <c r="B6" s="70" t="s">
        <v>123</v>
      </c>
      <c r="C6" s="72" t="str">
        <f t="array" ref="C6">Adresontvanger</f>
        <v>Kievit 8, 2991ME Barendrecht</v>
      </c>
      <c r="D6" s="68"/>
    </row>
    <row r="7">
      <c r="A7" s="68"/>
      <c r="B7" s="70" t="s">
        <v>124</v>
      </c>
      <c r="C7" s="72"/>
      <c r="D7" s="68"/>
    </row>
    <row r="8">
      <c r="A8" s="68"/>
      <c r="B8" s="73" t="s">
        <v>125</v>
      </c>
      <c r="C8" s="68"/>
      <c r="D8" s="68"/>
    </row>
    <row r="9">
      <c r="A9" s="68"/>
      <c r="B9" s="74"/>
      <c r="C9" s="68"/>
      <c r="D9" s="68"/>
    </row>
    <row r="10">
      <c r="A10" s="68"/>
      <c r="B10" s="70" t="s">
        <v>41</v>
      </c>
      <c r="C10" s="68"/>
      <c r="D10" s="68"/>
    </row>
    <row r="11">
      <c r="A11" s="68"/>
      <c r="B11" s="68"/>
      <c r="C11" s="68"/>
      <c r="D11" s="68"/>
    </row>
    <row r="12">
      <c r="A12" s="68"/>
      <c r="B12" s="70" t="s">
        <v>60</v>
      </c>
      <c r="C12" s="71" t="str">
        <f>Verstrekker</f>
        <v>Denis Express B.V.</v>
      </c>
      <c r="D12" s="68"/>
    </row>
    <row r="13">
      <c r="A13" s="68"/>
      <c r="B13" s="70" t="s">
        <v>57</v>
      </c>
      <c r="C13" s="72" t="str">
        <f t="array" ref="C13">Adresontvanger</f>
        <v>Kievit 8, 2991ME Barendrecht</v>
      </c>
      <c r="D13" s="68"/>
      <c r="F13" s="85" t="s">
        <v>126</v>
      </c>
      <c r="G13" s="75" t="s">
        <v>127</v>
      </c>
    </row>
    <row r="14">
      <c r="A14" s="68"/>
      <c r="B14" s="70" t="s">
        <v>58</v>
      </c>
      <c r="C14" s="72" t="str">
        <f t="array" ref="C14">Naamontvanger</f>
        <v>de heer D.O. Ibryam</v>
      </c>
      <c r="D14" s="68"/>
      <c r="G14" s="85" t="s">
        <v>128</v>
      </c>
    </row>
    <row r="15">
      <c r="A15" s="68"/>
      <c r="B15" s="73" t="s">
        <v>129</v>
      </c>
      <c r="C15" s="68"/>
      <c r="D15" s="68"/>
    </row>
    <row r="16">
      <c r="A16" s="68"/>
      <c r="B16" s="76"/>
      <c r="C16" s="68"/>
      <c r="D16" s="68"/>
    </row>
    <row r="17">
      <c r="A17" s="68"/>
      <c r="B17" s="77" t="s">
        <v>62</v>
      </c>
      <c r="D17" s="68"/>
      <c r="F17" s="85" t="s">
        <v>104</v>
      </c>
      <c r="G17" s="85" t="s">
        <v>130</v>
      </c>
      <c r="H17" s="85">
        <v>10.0</v>
      </c>
    </row>
    <row r="18">
      <c r="A18" s="68"/>
      <c r="B18" s="78"/>
      <c r="D18" s="68"/>
      <c r="F18" s="85" t="s">
        <v>106</v>
      </c>
      <c r="G18" s="86">
        <v>45536.0</v>
      </c>
    </row>
    <row r="19">
      <c r="A19" s="68"/>
      <c r="B19" s="79" t="str">
        <f>"De navolgende huurovereenkomst, waarbij de verhuurder in huurovereenkomst verklaart te verhuren aan de huurder, die in huurder verklaart te huren: De huurobject gelegen aan de "&amp;G13&amp;", "&amp;G14</f>
        <v>De navolgende huurovereenkomst, waarbij de verhuurder in huurovereenkomst verklaart te verhuren aan de huurder, die in huurder verklaart te huren: De huurobject gelegen aan de Straat en nummer, 2222XX Barendrecht</v>
      </c>
      <c r="D19" s="68"/>
      <c r="F19" s="85" t="s">
        <v>107</v>
      </c>
      <c r="G19" s="87">
        <f>G18+365*H17+1</f>
        <v>49187</v>
      </c>
    </row>
    <row r="20">
      <c r="A20" s="68"/>
      <c r="B20" s="78"/>
      <c r="C20" s="78"/>
      <c r="D20" s="68"/>
      <c r="F20" s="85" t="s">
        <v>108</v>
      </c>
      <c r="G20" s="88">
        <v>2200.0</v>
      </c>
    </row>
    <row r="21">
      <c r="A21" s="68"/>
      <c r="B21" s="81" t="s">
        <v>109</v>
      </c>
      <c r="D21" s="68"/>
    </row>
    <row r="22">
      <c r="A22" s="68"/>
      <c r="B22" s="79" t="str">
        <f>"De huurovereenkomst wordt aangegaan voor de duur van "&amp;G17&amp;"("&amp;H17&amp;") jaar, ingaande op "&amp;TEXT(G18,"dd mmmm yyyy")&amp;" en eindigende op "&amp;TEXT(G19,"dd mmmm yyyy")&amp;" , zonder dat daarvoor opzegging vereist is. "</f>
        <v>De huurovereenkomst wordt aangegaan voor de duur van tien(10) jaar, ingaande op 01 september 2024 en eindigende op 31 augustus 2034 , zonder dat daarvoor opzegging vereist is. </v>
      </c>
      <c r="D22" s="68"/>
    </row>
    <row r="23">
      <c r="A23" s="68"/>
      <c r="B23" s="80"/>
      <c r="D23" s="68"/>
    </row>
    <row r="24">
      <c r="A24" s="68"/>
      <c r="B24" s="81" t="s">
        <v>110</v>
      </c>
      <c r="D24" s="68"/>
    </row>
    <row r="25">
      <c r="A25" s="68"/>
      <c r="B25" s="79" t="str">
        <f>"1.      De huurprijs bedraagt "&amp;TEXT(G20,"€ #,##0")&amp;"- per maand, inclusief gas, water, elektriciteit en overige bijkomende leveringen en diensten (“all-in”). "</f>
        <v>1.      De huurprijs bedraagt € 2.200- per maand, inclusief gas, water, elektriciteit en overige bijkomende leveringen en diensten (“all-in”). </v>
      </c>
      <c r="D25" s="68"/>
    </row>
    <row r="26">
      <c r="A26" s="68"/>
      <c r="B26" s="79" t="str">
        <f>"2.      De huurprijs dient maandelijks, uiterlijk op de eerste dag van de maand, te worden voldaan. "</f>
        <v>2.      De huurprijs dient maandelijks, uiterlijk op de eerste dag van de maand, te worden voldaan. </v>
      </c>
      <c r="D26" s="68"/>
    </row>
    <row r="27">
      <c r="A27" s="68"/>
      <c r="B27" s="80"/>
      <c r="D27" s="68"/>
    </row>
    <row r="28">
      <c r="A28" s="68"/>
      <c r="B28" s="81" t="s">
        <v>111</v>
      </c>
      <c r="D28" s="68"/>
    </row>
    <row r="29">
      <c r="A29" s="68"/>
      <c r="B29" s="79" t="s">
        <v>112</v>
      </c>
      <c r="D29" s="68"/>
    </row>
    <row r="30">
      <c r="A30" s="68"/>
      <c r="B30" s="80"/>
      <c r="D30" s="68"/>
    </row>
    <row r="31">
      <c r="A31" s="68"/>
      <c r="B31" s="81" t="s">
        <v>113</v>
      </c>
      <c r="D31" s="68"/>
    </row>
    <row r="32">
      <c r="A32" s="68"/>
      <c r="B32" s="79" t="s">
        <v>114</v>
      </c>
      <c r="D32" s="68"/>
    </row>
    <row r="33">
      <c r="A33" s="68"/>
      <c r="B33" s="79" t="s">
        <v>115</v>
      </c>
      <c r="D33" s="68"/>
    </row>
    <row r="34">
      <c r="A34" s="68"/>
      <c r="B34" s="79" t="s">
        <v>116</v>
      </c>
      <c r="D34" s="68"/>
    </row>
    <row r="35">
      <c r="A35" s="68"/>
      <c r="B35" s="80"/>
      <c r="D35" s="68"/>
    </row>
    <row r="36">
      <c r="A36" s="68"/>
      <c r="B36" s="81" t="s">
        <v>117</v>
      </c>
      <c r="D36" s="68"/>
    </row>
    <row r="37">
      <c r="A37" s="68"/>
      <c r="B37" s="79" t="s">
        <v>118</v>
      </c>
      <c r="D37" s="68"/>
    </row>
    <row r="38">
      <c r="A38" s="68"/>
      <c r="B38" s="79" t="s">
        <v>119</v>
      </c>
      <c r="D38" s="68"/>
    </row>
    <row r="39">
      <c r="A39" s="68"/>
      <c r="B39" s="79"/>
      <c r="D39" s="68"/>
    </row>
    <row r="40">
      <c r="A40" s="68"/>
      <c r="B40" s="80"/>
      <c r="D40" s="68"/>
    </row>
    <row r="41">
      <c r="A41" s="68"/>
      <c r="B41" s="79" t="str">
        <f>"Aldus overeengekomen en in tweevoud getekend te "&amp;VLOOKUP(Verstrekker,CRM,10,FALSE)&amp;" op "&amp;TEXT(G18-1,"dd mmmm yyyy")&amp;"."</f>
        <v>Aldus overeengekomen en in tweevoud getekend te Barendrecht op 31 augustus 2024.</v>
      </c>
      <c r="D41" s="68"/>
    </row>
    <row r="42">
      <c r="A42" s="68"/>
      <c r="B42" s="68"/>
      <c r="C42" s="68"/>
      <c r="D42" s="68"/>
    </row>
    <row r="43">
      <c r="A43" s="68"/>
      <c r="B43" s="70" t="s">
        <v>120</v>
      </c>
      <c r="C43" s="70" t="s">
        <v>121</v>
      </c>
      <c r="D43" s="68"/>
    </row>
    <row r="44">
      <c r="A44" s="68"/>
      <c r="B44" s="68"/>
      <c r="C44" s="68"/>
      <c r="D44" s="68"/>
    </row>
    <row r="45">
      <c r="A45" s="68"/>
      <c r="B45" s="68"/>
      <c r="C45" s="68"/>
      <c r="D45" s="68"/>
    </row>
    <row r="46">
      <c r="A46" s="68"/>
      <c r="B46" s="68"/>
      <c r="C46" s="68"/>
      <c r="D46" s="68"/>
    </row>
    <row r="47">
      <c r="A47" s="68"/>
      <c r="B47" s="68"/>
      <c r="C47" s="68"/>
      <c r="D47" s="68"/>
    </row>
    <row r="48">
      <c r="A48" s="68"/>
      <c r="B48" s="70" t="str">
        <f>Lening!L2</f>
        <v>de heer D.O. Ibryam</v>
      </c>
      <c r="C48" s="70" t="str">
        <f>Lening!P2</f>
        <v>de heer D.O. Ibryam</v>
      </c>
      <c r="D48" s="68"/>
    </row>
    <row r="49">
      <c r="A49" s="68"/>
      <c r="B49" s="70" t="str">
        <f>"Namens "&amp;Verstrekker</f>
        <v>Namens Denis Express B.V.</v>
      </c>
      <c r="C49" s="70" t="str">
        <f>"Namens "&amp;Naamontvanger</f>
        <v>Namens de heer D.O. Ibryam</v>
      </c>
      <c r="D49" s="68"/>
    </row>
  </sheetData>
  <mergeCells count="25">
    <mergeCell ref="B1:C1"/>
    <mergeCell ref="B17:C17"/>
    <mergeCell ref="B18:C18"/>
    <mergeCell ref="B19:C19"/>
    <mergeCell ref="B21:C21"/>
    <mergeCell ref="B22:C22"/>
    <mergeCell ref="B23:C23"/>
    <mergeCell ref="B24:C24"/>
    <mergeCell ref="B25:C25"/>
    <mergeCell ref="B26:C26"/>
    <mergeCell ref="B27:C27"/>
    <mergeCell ref="B28:C28"/>
    <mergeCell ref="B29:C29"/>
    <mergeCell ref="B30:C30"/>
    <mergeCell ref="B38:C38"/>
    <mergeCell ref="B39:C39"/>
    <mergeCell ref="B40:C40"/>
    <mergeCell ref="B41:C41"/>
    <mergeCell ref="B31:C31"/>
    <mergeCell ref="B32:C32"/>
    <mergeCell ref="B33:C33"/>
    <mergeCell ref="B34:C34"/>
    <mergeCell ref="B35:C35"/>
    <mergeCell ref="B36:C36"/>
    <mergeCell ref="B37:C37"/>
  </mergeCells>
  <printOptions gridLines="1" horizontalCentered="1"/>
  <pageMargins bottom="0.75" footer="0.0" header="0.0" left="0.7" right="0.7" top="0.75"/>
  <pageSetup fitToHeight="0" paperSize="9" cellComments="atEnd" orientation="portrait" pageOrder="overThenDown"/>
  <drawing r:id="rId1"/>
</worksheet>
</file>